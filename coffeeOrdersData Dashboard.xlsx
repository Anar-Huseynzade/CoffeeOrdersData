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C4471DBE-FEDE-4973-AD2A-F4CD6D2B9288}" xr6:coauthVersionLast="47" xr6:coauthVersionMax="47" xr10:uidLastSave="{00000000-0000-0000-0000-000000000000}"/>
  <bookViews>
    <workbookView showHorizontalScroll="0" showVerticalScroll="0" showSheetTabs="0" xWindow="-110" yWindow="-110" windowWidth="25820" windowHeight="15500" xr2:uid="{00000000-000D-0000-FFFF-FFFF00000000}"/>
  </bookViews>
  <sheets>
    <sheet name="Dashboard" sheetId="21" r:id="rId1"/>
    <sheet name="TotalSales" sheetId="18" r:id="rId2"/>
    <sheet name="CountryBarChart" sheetId="19" r:id="rId3"/>
    <sheet name="Top5Customers" sheetId="20" r:id="rId4"/>
    <sheet name="orders" sheetId="17" r:id="rId5"/>
    <sheet name="customers" sheetId="13" r:id="rId6"/>
    <sheet name="products" sheetId="2" r:id="rId7"/>
  </sheets>
  <definedNames>
    <definedName name="_xlnm._FilterDatabase" localSheetId="4" hidden="1">orders!$A$1:$M$1001</definedName>
    <definedName name="_xlnm._FilterDatabase" localSheetId="6" hidden="1">products!$A$1:$G$49</definedName>
    <definedName name="NativeTimeline_Order_Date">#N/A</definedName>
    <definedName name="Slicer_Loyalty_Card">#N/A</definedName>
    <definedName name="Slicer_Roast_Type_Name">#N/A</definedName>
    <definedName name="Slicer_Size">#N/A</definedName>
  </definedNames>
  <calcPr calcId="191028"/>
  <pivotCaches>
    <pivotCache cacheId="55"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O340" i="17" a="1"/>
  <c r="O340" i="17" s="1"/>
  <c r="O375" i="17" a="1"/>
  <c r="O375" i="17" s="1"/>
  <c r="O697" i="17" a="1"/>
  <c r="O697" i="17" s="1"/>
  <c r="O924" i="17" a="1"/>
  <c r="O924" i="17" s="1"/>
  <c r="O954" i="17" a="1"/>
  <c r="O954" i="17" s="1"/>
  <c r="N152" i="17" a="1"/>
  <c r="N152" i="17" s="1"/>
  <c r="N285" i="17" a="1"/>
  <c r="N285" i="17" s="1"/>
  <c r="N300" i="17" a="1"/>
  <c r="N300" i="17" s="1"/>
  <c r="N403" i="17" a="1"/>
  <c r="N403" i="17" s="1"/>
  <c r="N417" i="17" a="1"/>
  <c r="N417" i="17" s="1"/>
  <c r="N524" i="17" a="1"/>
  <c r="N524" i="17" s="1"/>
  <c r="N538" i="17" a="1"/>
  <c r="N538" i="17" s="1"/>
  <c r="N647" i="17" a="1"/>
  <c r="N647" i="17" s="1"/>
  <c r="N661" i="17" a="1"/>
  <c r="N661" i="17" s="1"/>
  <c r="N731" i="17" a="1"/>
  <c r="N731" i="17" s="1"/>
  <c r="N740" i="17" a="1"/>
  <c r="N740" i="17" s="1"/>
  <c r="N814" i="17" a="1"/>
  <c r="N814" i="17" s="1"/>
  <c r="N826" i="17" a="1"/>
  <c r="N826" i="17" s="1"/>
  <c r="N895" i="17" a="1"/>
  <c r="N895" i="17"/>
  <c r="N908" i="17" a="1"/>
  <c r="N908" i="17" s="1"/>
  <c r="N920" i="17" a="1"/>
  <c r="N920" i="17" s="1"/>
  <c r="N921" i="17" a="1"/>
  <c r="N921" i="17" s="1"/>
  <c r="N933" i="17" a="1"/>
  <c r="N933" i="17" s="1"/>
  <c r="N934" i="17" a="1"/>
  <c r="N934" i="17" s="1"/>
  <c r="N946" i="17" a="1"/>
  <c r="N946" i="17" s="1"/>
  <c r="N947" i="17" a="1"/>
  <c r="N947" i="17" s="1"/>
  <c r="N959" i="17" a="1"/>
  <c r="N959" i="17"/>
  <c r="N972" i="17" a="1"/>
  <c r="N972" i="17" s="1"/>
  <c r="N984" i="17" a="1"/>
  <c r="N984" i="17" s="1"/>
  <c r="N985" i="17" a="1"/>
  <c r="N985" i="17" s="1"/>
  <c r="N998" i="17" a="1"/>
  <c r="N998" i="17" s="1"/>
  <c r="N999" i="17" a="1"/>
  <c r="N999" i="17" s="1"/>
  <c r="M13" i="17"/>
  <c r="M14" i="17"/>
  <c r="M29" i="17"/>
  <c r="M30" i="17"/>
  <c r="M45" i="17"/>
  <c r="M46" i="17"/>
  <c r="M61" i="17"/>
  <c r="M62" i="17"/>
  <c r="M77" i="17"/>
  <c r="M78" i="17"/>
  <c r="M93" i="17"/>
  <c r="M94" i="17"/>
  <c r="M109" i="17"/>
  <c r="M110" i="17"/>
  <c r="M125" i="17"/>
  <c r="M126" i="17"/>
  <c r="M141" i="17"/>
  <c r="M142" i="17"/>
  <c r="M157" i="17"/>
  <c r="M158" i="17"/>
  <c r="M173" i="17"/>
  <c r="M174" i="17"/>
  <c r="M189" i="17"/>
  <c r="M190" i="17"/>
  <c r="M205" i="17"/>
  <c r="M206" i="17"/>
  <c r="M221" i="17"/>
  <c r="M222" i="17"/>
  <c r="M237" i="17"/>
  <c r="M238" i="17"/>
  <c r="M253" i="17"/>
  <c r="M254" i="17"/>
  <c r="M269" i="17"/>
  <c r="M270" i="17"/>
  <c r="M285" i="17"/>
  <c r="M286" i="17"/>
  <c r="M301" i="17"/>
  <c r="M302" i="17"/>
  <c r="M317" i="17"/>
  <c r="M318" i="17"/>
  <c r="M333" i="17"/>
  <c r="M334" i="17"/>
  <c r="M349" i="17"/>
  <c r="M350" i="17"/>
  <c r="M365" i="17"/>
  <c r="M366" i="17"/>
  <c r="M381" i="17"/>
  <c r="M382" i="17"/>
  <c r="M397" i="17"/>
  <c r="M398" i="17"/>
  <c r="M413" i="17"/>
  <c r="M414" i="17"/>
  <c r="M429" i="17"/>
  <c r="M430" i="17"/>
  <c r="M445" i="17"/>
  <c r="M446" i="17"/>
  <c r="M461" i="17"/>
  <c r="M462" i="17"/>
  <c r="M477" i="17"/>
  <c r="M478" i="17"/>
  <c r="M493" i="17"/>
  <c r="M494" i="17"/>
  <c r="M509" i="17"/>
  <c r="M510" i="17"/>
  <c r="M525" i="17"/>
  <c r="M526" i="17"/>
  <c r="M541" i="17"/>
  <c r="M542" i="17"/>
  <c r="M557" i="17"/>
  <c r="M558" i="17"/>
  <c r="M573" i="17"/>
  <c r="M574" i="17"/>
  <c r="M589" i="17"/>
  <c r="M590" i="17"/>
  <c r="M605" i="17"/>
  <c r="M606" i="17"/>
  <c r="M621" i="17"/>
  <c r="M622" i="17"/>
  <c r="M637" i="17"/>
  <c r="M638" i="17"/>
  <c r="M653" i="17"/>
  <c r="M654" i="17"/>
  <c r="M669" i="17"/>
  <c r="M670" i="17"/>
  <c r="M685" i="17"/>
  <c r="M686" i="17"/>
  <c r="M701" i="17"/>
  <c r="M702" i="17"/>
  <c r="M717" i="17"/>
  <c r="M718" i="17"/>
  <c r="M733" i="17"/>
  <c r="M734" i="17"/>
  <c r="M749" i="17"/>
  <c r="M750" i="17"/>
  <c r="M765" i="17"/>
  <c r="M766" i="17"/>
  <c r="M781" i="17"/>
  <c r="M782" i="17"/>
  <c r="M797" i="17"/>
  <c r="M798" i="17"/>
  <c r="M813" i="17"/>
  <c r="M814" i="17"/>
  <c r="M829" i="17"/>
  <c r="M830" i="17"/>
  <c r="M845" i="17"/>
  <c r="M846" i="17"/>
  <c r="M861" i="17"/>
  <c r="M862" i="17"/>
  <c r="M877" i="17"/>
  <c r="M878" i="17"/>
  <c r="M893" i="17"/>
  <c r="M894" i="17"/>
  <c r="M909" i="17"/>
  <c r="M910" i="17"/>
  <c r="M925" i="17"/>
  <c r="M926" i="17"/>
  <c r="M941" i="17"/>
  <c r="M942" i="17"/>
  <c r="M957" i="17"/>
  <c r="M958" i="17"/>
  <c r="M973" i="17"/>
  <c r="M974" i="17"/>
  <c r="M989" i="17"/>
  <c r="M990" i="17"/>
  <c r="I3" i="17"/>
  <c r="N3" i="17" s="1" a="1"/>
  <c r="N3" i="17" s="1"/>
  <c r="J3" i="17"/>
  <c r="O3" i="17" s="1" a="1"/>
  <c r="O3" i="17" s="1"/>
  <c r="K3" i="17"/>
  <c r="L3" i="17"/>
  <c r="M3" i="17" s="1"/>
  <c r="I4" i="17"/>
  <c r="N4" i="17" s="1" a="1"/>
  <c r="N4" i="17" s="1"/>
  <c r="J4" i="17"/>
  <c r="O4" i="17" s="1" a="1"/>
  <c r="O4" i="17" s="1"/>
  <c r="K4" i="17"/>
  <c r="L4" i="17"/>
  <c r="M4" i="17" s="1"/>
  <c r="I5" i="17"/>
  <c r="N5" i="17" s="1" a="1"/>
  <c r="N5" i="17" s="1"/>
  <c r="J5" i="17"/>
  <c r="O5" i="17" s="1" a="1"/>
  <c r="O5" i="17" s="1"/>
  <c r="K5" i="17"/>
  <c r="L5" i="17"/>
  <c r="M5" i="17" s="1"/>
  <c r="I6" i="17"/>
  <c r="N6" i="17" s="1" a="1"/>
  <c r="N6" i="17" s="1"/>
  <c r="J6" i="17"/>
  <c r="O6" i="17" s="1" a="1"/>
  <c r="O6" i="17" s="1"/>
  <c r="K6" i="17"/>
  <c r="L6" i="17"/>
  <c r="M6" i="17" s="1"/>
  <c r="I7" i="17"/>
  <c r="N7" i="17" s="1" a="1"/>
  <c r="N7" i="17" s="1"/>
  <c r="J7" i="17"/>
  <c r="O7" i="17" s="1" a="1"/>
  <c r="O7" i="17" s="1"/>
  <c r="K7" i="17"/>
  <c r="L7" i="17"/>
  <c r="M7" i="17" s="1"/>
  <c r="I8" i="17"/>
  <c r="N8" i="17" s="1" a="1"/>
  <c r="N8" i="17" s="1"/>
  <c r="J8" i="17"/>
  <c r="O8" i="17" s="1" a="1"/>
  <c r="O8" i="17" s="1"/>
  <c r="K8" i="17"/>
  <c r="L8" i="17"/>
  <c r="M8" i="17" s="1"/>
  <c r="I9" i="17"/>
  <c r="N9" i="17" s="1" a="1"/>
  <c r="N9" i="17" s="1"/>
  <c r="J9" i="17"/>
  <c r="O9" i="17" s="1" a="1"/>
  <c r="O9" i="17" s="1"/>
  <c r="K9" i="17"/>
  <c r="L9" i="17"/>
  <c r="M9" i="17" s="1"/>
  <c r="I10" i="17"/>
  <c r="N10" i="17" s="1" a="1"/>
  <c r="N10" i="17" s="1"/>
  <c r="J10" i="17"/>
  <c r="O10" i="17" s="1" a="1"/>
  <c r="O10" i="17" s="1"/>
  <c r="K10" i="17"/>
  <c r="L10" i="17"/>
  <c r="M10" i="17" s="1"/>
  <c r="I11" i="17"/>
  <c r="N11" i="17" s="1" a="1"/>
  <c r="N11" i="17" s="1"/>
  <c r="J11" i="17"/>
  <c r="O11" i="17" s="1" a="1"/>
  <c r="O11" i="17" s="1"/>
  <c r="K11" i="17"/>
  <c r="L11" i="17"/>
  <c r="M11" i="17" s="1"/>
  <c r="I12" i="17"/>
  <c r="N12" i="17" s="1" a="1"/>
  <c r="N12" i="17" s="1"/>
  <c r="J12" i="17"/>
  <c r="O12" i="17" s="1" a="1"/>
  <c r="O12" i="17" s="1"/>
  <c r="K12" i="17"/>
  <c r="L12" i="17"/>
  <c r="M12" i="17" s="1"/>
  <c r="I13" i="17"/>
  <c r="N13" i="17" s="1" a="1"/>
  <c r="N13" i="17" s="1"/>
  <c r="J13" i="17"/>
  <c r="O13" i="17" s="1" a="1"/>
  <c r="O13" i="17" s="1"/>
  <c r="K13" i="17"/>
  <c r="L13" i="17"/>
  <c r="I14" i="17"/>
  <c r="N14" i="17" s="1" a="1"/>
  <c r="N14" i="17" s="1"/>
  <c r="J14" i="17"/>
  <c r="O14" i="17" s="1" a="1"/>
  <c r="O14" i="17" s="1"/>
  <c r="K14" i="17"/>
  <c r="L14" i="17"/>
  <c r="I15" i="17"/>
  <c r="N15" i="17" s="1" a="1"/>
  <c r="N15" i="17" s="1"/>
  <c r="J15" i="17"/>
  <c r="O15" i="17" s="1" a="1"/>
  <c r="O15" i="17" s="1"/>
  <c r="K15" i="17"/>
  <c r="L15" i="17"/>
  <c r="M15" i="17" s="1"/>
  <c r="I16" i="17"/>
  <c r="N16" i="17" s="1" a="1"/>
  <c r="N16" i="17" s="1"/>
  <c r="J16" i="17"/>
  <c r="O16" i="17" s="1" a="1"/>
  <c r="O16" i="17" s="1"/>
  <c r="K16" i="17"/>
  <c r="L16" i="17"/>
  <c r="M16" i="17" s="1"/>
  <c r="I17" i="17"/>
  <c r="N17" i="17" s="1" a="1"/>
  <c r="N17" i="17" s="1"/>
  <c r="J17" i="17"/>
  <c r="O17" i="17" s="1" a="1"/>
  <c r="O17" i="17" s="1"/>
  <c r="K17" i="17"/>
  <c r="L17" i="17"/>
  <c r="M17" i="17" s="1"/>
  <c r="I18" i="17"/>
  <c r="N18" i="17" s="1" a="1"/>
  <c r="N18" i="17" s="1"/>
  <c r="J18" i="17"/>
  <c r="O18" i="17" s="1" a="1"/>
  <c r="O18" i="17" s="1"/>
  <c r="K18" i="17"/>
  <c r="L18" i="17"/>
  <c r="M18" i="17" s="1"/>
  <c r="I19" i="17"/>
  <c r="N19" i="17" s="1" a="1"/>
  <c r="N19" i="17" s="1"/>
  <c r="J19" i="17"/>
  <c r="O19" i="17" s="1" a="1"/>
  <c r="O19" i="17" s="1"/>
  <c r="K19" i="17"/>
  <c r="L19" i="17"/>
  <c r="M19" i="17" s="1"/>
  <c r="I20" i="17"/>
  <c r="N20" i="17" s="1" a="1"/>
  <c r="N20" i="17" s="1"/>
  <c r="J20" i="17"/>
  <c r="O20" i="17" s="1" a="1"/>
  <c r="O20" i="17" s="1"/>
  <c r="K20" i="17"/>
  <c r="L20" i="17"/>
  <c r="M20" i="17" s="1"/>
  <c r="I21" i="17"/>
  <c r="N21" i="17" s="1" a="1"/>
  <c r="N21" i="17" s="1"/>
  <c r="J21" i="17"/>
  <c r="O21" i="17" s="1" a="1"/>
  <c r="O21" i="17" s="1"/>
  <c r="K21" i="17"/>
  <c r="L21" i="17"/>
  <c r="M21" i="17" s="1"/>
  <c r="I22" i="17"/>
  <c r="N22" i="17" s="1" a="1"/>
  <c r="N22" i="17" s="1"/>
  <c r="J22" i="17"/>
  <c r="O22" i="17" s="1" a="1"/>
  <c r="O22" i="17" s="1"/>
  <c r="K22" i="17"/>
  <c r="L22" i="17"/>
  <c r="M22" i="17" s="1"/>
  <c r="I23" i="17"/>
  <c r="N23" i="17" s="1" a="1"/>
  <c r="N23" i="17" s="1"/>
  <c r="J23" i="17"/>
  <c r="O23" i="17" s="1" a="1"/>
  <c r="O23" i="17" s="1"/>
  <c r="K23" i="17"/>
  <c r="L23" i="17"/>
  <c r="M23" i="17" s="1"/>
  <c r="I24" i="17"/>
  <c r="N24" i="17" s="1" a="1"/>
  <c r="N24" i="17" s="1"/>
  <c r="J24" i="17"/>
  <c r="O24" i="17" s="1" a="1"/>
  <c r="O24" i="17" s="1"/>
  <c r="K24" i="17"/>
  <c r="L24" i="17"/>
  <c r="M24" i="17" s="1"/>
  <c r="I25" i="17"/>
  <c r="N25" i="17" s="1" a="1"/>
  <c r="N25" i="17" s="1"/>
  <c r="J25" i="17"/>
  <c r="O25" i="17" s="1" a="1"/>
  <c r="O25" i="17" s="1"/>
  <c r="K25" i="17"/>
  <c r="L25" i="17"/>
  <c r="M25" i="17" s="1"/>
  <c r="I26" i="17"/>
  <c r="N26" i="17" s="1" a="1"/>
  <c r="N26" i="17" s="1"/>
  <c r="J26" i="17"/>
  <c r="O26" i="17" s="1" a="1"/>
  <c r="O26" i="17" s="1"/>
  <c r="K26" i="17"/>
  <c r="L26" i="17"/>
  <c r="M26" i="17" s="1"/>
  <c r="I27" i="17"/>
  <c r="N27" i="17" s="1" a="1"/>
  <c r="N27" i="17" s="1"/>
  <c r="J27" i="17"/>
  <c r="O27" i="17" s="1" a="1"/>
  <c r="O27" i="17" s="1"/>
  <c r="K27" i="17"/>
  <c r="L27" i="17"/>
  <c r="M27" i="17" s="1"/>
  <c r="I28" i="17"/>
  <c r="N28" i="17" s="1" a="1"/>
  <c r="N28" i="17" s="1"/>
  <c r="J28" i="17"/>
  <c r="O28" i="17" s="1" a="1"/>
  <c r="O28" i="17" s="1"/>
  <c r="K28" i="17"/>
  <c r="L28" i="17"/>
  <c r="M28" i="17" s="1"/>
  <c r="I29" i="17"/>
  <c r="N29" i="17" s="1" a="1"/>
  <c r="N29" i="17" s="1"/>
  <c r="J29" i="17"/>
  <c r="O29" i="17" s="1" a="1"/>
  <c r="O29" i="17" s="1"/>
  <c r="K29" i="17"/>
  <c r="L29" i="17"/>
  <c r="I30" i="17"/>
  <c r="N30" i="17" s="1" a="1"/>
  <c r="N30" i="17" s="1"/>
  <c r="J30" i="17"/>
  <c r="O30" i="17" s="1" a="1"/>
  <c r="O30" i="17" s="1"/>
  <c r="K30" i="17"/>
  <c r="L30" i="17"/>
  <c r="I31" i="17"/>
  <c r="N31" i="17" s="1" a="1"/>
  <c r="N31" i="17" s="1"/>
  <c r="J31" i="17"/>
  <c r="O31" i="17" s="1" a="1"/>
  <c r="O31" i="17" s="1"/>
  <c r="K31" i="17"/>
  <c r="L31" i="17"/>
  <c r="M31" i="17" s="1"/>
  <c r="I32" i="17"/>
  <c r="N32" i="17" s="1" a="1"/>
  <c r="N32" i="17" s="1"/>
  <c r="J32" i="17"/>
  <c r="O32" i="17" s="1" a="1"/>
  <c r="O32" i="17" s="1"/>
  <c r="K32" i="17"/>
  <c r="L32" i="17"/>
  <c r="M32" i="17" s="1"/>
  <c r="I33" i="17"/>
  <c r="N33" i="17" s="1" a="1"/>
  <c r="N33" i="17" s="1"/>
  <c r="J33" i="17"/>
  <c r="O33" i="17" s="1" a="1"/>
  <c r="O33" i="17" s="1"/>
  <c r="K33" i="17"/>
  <c r="L33" i="17"/>
  <c r="M33" i="17" s="1"/>
  <c r="I34" i="17"/>
  <c r="N34" i="17" s="1" a="1"/>
  <c r="N34" i="17" s="1"/>
  <c r="J34" i="17"/>
  <c r="O34" i="17" s="1" a="1"/>
  <c r="O34" i="17" s="1"/>
  <c r="K34" i="17"/>
  <c r="L34" i="17"/>
  <c r="M34" i="17" s="1"/>
  <c r="I35" i="17"/>
  <c r="N35" i="17" s="1" a="1"/>
  <c r="N35" i="17" s="1"/>
  <c r="J35" i="17"/>
  <c r="O35" i="17" s="1" a="1"/>
  <c r="O35" i="17" s="1"/>
  <c r="K35" i="17"/>
  <c r="L35" i="17"/>
  <c r="M35" i="17" s="1"/>
  <c r="I36" i="17"/>
  <c r="N36" i="17" s="1" a="1"/>
  <c r="N36" i="17" s="1"/>
  <c r="J36" i="17"/>
  <c r="O36" i="17" s="1" a="1"/>
  <c r="O36" i="17" s="1"/>
  <c r="K36" i="17"/>
  <c r="L36" i="17"/>
  <c r="M36" i="17" s="1"/>
  <c r="I37" i="17"/>
  <c r="N37" i="17" s="1" a="1"/>
  <c r="N37" i="17" s="1"/>
  <c r="J37" i="17"/>
  <c r="O37" i="17" s="1" a="1"/>
  <c r="O37" i="17" s="1"/>
  <c r="K37" i="17"/>
  <c r="L37" i="17"/>
  <c r="M37" i="17" s="1"/>
  <c r="I38" i="17"/>
  <c r="N38" i="17" s="1" a="1"/>
  <c r="N38" i="17" s="1"/>
  <c r="J38" i="17"/>
  <c r="O38" i="17" s="1" a="1"/>
  <c r="O38" i="17" s="1"/>
  <c r="K38" i="17"/>
  <c r="L38" i="17"/>
  <c r="M38" i="17" s="1"/>
  <c r="I39" i="17"/>
  <c r="N39" i="17" s="1" a="1"/>
  <c r="N39" i="17" s="1"/>
  <c r="J39" i="17"/>
  <c r="O39" i="17" s="1" a="1"/>
  <c r="O39" i="17" s="1"/>
  <c r="K39" i="17"/>
  <c r="L39" i="17"/>
  <c r="M39" i="17" s="1"/>
  <c r="I40" i="17"/>
  <c r="N40" i="17" s="1" a="1"/>
  <c r="N40" i="17" s="1"/>
  <c r="J40" i="17"/>
  <c r="O40" i="17" s="1" a="1"/>
  <c r="O40" i="17" s="1"/>
  <c r="K40" i="17"/>
  <c r="L40" i="17"/>
  <c r="M40" i="17" s="1"/>
  <c r="I41" i="17"/>
  <c r="N41" i="17" s="1" a="1"/>
  <c r="N41" i="17" s="1"/>
  <c r="J41" i="17"/>
  <c r="O41" i="17" s="1" a="1"/>
  <c r="O41" i="17" s="1"/>
  <c r="K41" i="17"/>
  <c r="L41" i="17"/>
  <c r="M41" i="17" s="1"/>
  <c r="I42" i="17"/>
  <c r="N42" i="17" s="1" a="1"/>
  <c r="N42" i="17" s="1"/>
  <c r="J42" i="17"/>
  <c r="O42" i="17" s="1" a="1"/>
  <c r="O42" i="17" s="1"/>
  <c r="K42" i="17"/>
  <c r="L42" i="17"/>
  <c r="M42" i="17" s="1"/>
  <c r="I43" i="17"/>
  <c r="N43" i="17" s="1" a="1"/>
  <c r="N43" i="17" s="1"/>
  <c r="J43" i="17"/>
  <c r="O43" i="17" s="1" a="1"/>
  <c r="O43" i="17" s="1"/>
  <c r="K43" i="17"/>
  <c r="L43" i="17"/>
  <c r="M43" i="17" s="1"/>
  <c r="I44" i="17"/>
  <c r="N44" i="17" s="1" a="1"/>
  <c r="N44" i="17" s="1"/>
  <c r="J44" i="17"/>
  <c r="O44" i="17" s="1" a="1"/>
  <c r="O44" i="17" s="1"/>
  <c r="K44" i="17"/>
  <c r="L44" i="17"/>
  <c r="M44" i="17" s="1"/>
  <c r="I45" i="17"/>
  <c r="N45" i="17" s="1" a="1"/>
  <c r="N45" i="17" s="1"/>
  <c r="J45" i="17"/>
  <c r="O45" i="17" s="1" a="1"/>
  <c r="O45" i="17" s="1"/>
  <c r="K45" i="17"/>
  <c r="L45" i="17"/>
  <c r="I46" i="17"/>
  <c r="N46" i="17" s="1" a="1"/>
  <c r="N46" i="17" s="1"/>
  <c r="J46" i="17"/>
  <c r="O46" i="17" s="1" a="1"/>
  <c r="O46" i="17" s="1"/>
  <c r="K46" i="17"/>
  <c r="L46" i="17"/>
  <c r="I47" i="17"/>
  <c r="N47" i="17" s="1" a="1"/>
  <c r="N47" i="17" s="1"/>
  <c r="J47" i="17"/>
  <c r="O47" i="17" s="1" a="1"/>
  <c r="O47" i="17" s="1"/>
  <c r="K47" i="17"/>
  <c r="L47" i="17"/>
  <c r="M47" i="17" s="1"/>
  <c r="I48" i="17"/>
  <c r="N48" i="17" s="1" a="1"/>
  <c r="N48" i="17" s="1"/>
  <c r="J48" i="17"/>
  <c r="O48" i="17" s="1" a="1"/>
  <c r="O48" i="17" s="1"/>
  <c r="K48" i="17"/>
  <c r="L48" i="17"/>
  <c r="M48" i="17" s="1"/>
  <c r="I49" i="17"/>
  <c r="N49" i="17" s="1" a="1"/>
  <c r="N49" i="17" s="1"/>
  <c r="J49" i="17"/>
  <c r="O49" i="17" s="1" a="1"/>
  <c r="O49" i="17" s="1"/>
  <c r="K49" i="17"/>
  <c r="L49" i="17"/>
  <c r="M49" i="17" s="1"/>
  <c r="I50" i="17"/>
  <c r="N50" i="17" s="1" a="1"/>
  <c r="N50" i="17" s="1"/>
  <c r="J50" i="17"/>
  <c r="O50" i="17" s="1" a="1"/>
  <c r="O50" i="17" s="1"/>
  <c r="K50" i="17"/>
  <c r="L50" i="17"/>
  <c r="M50" i="17" s="1"/>
  <c r="I51" i="17"/>
  <c r="N51" i="17" s="1" a="1"/>
  <c r="N51" i="17" s="1"/>
  <c r="J51" i="17"/>
  <c r="O51" i="17" s="1" a="1"/>
  <c r="O51" i="17" s="1"/>
  <c r="K51" i="17"/>
  <c r="L51" i="17"/>
  <c r="M51" i="17" s="1"/>
  <c r="I52" i="17"/>
  <c r="N52" i="17" s="1" a="1"/>
  <c r="N52" i="17" s="1"/>
  <c r="J52" i="17"/>
  <c r="O52" i="17" s="1" a="1"/>
  <c r="O52" i="17" s="1"/>
  <c r="K52" i="17"/>
  <c r="L52" i="17"/>
  <c r="M52" i="17" s="1"/>
  <c r="I53" i="17"/>
  <c r="N53" i="17" s="1" a="1"/>
  <c r="N53" i="17" s="1"/>
  <c r="J53" i="17"/>
  <c r="O53" i="17" s="1" a="1"/>
  <c r="O53" i="17" s="1"/>
  <c r="K53" i="17"/>
  <c r="L53" i="17"/>
  <c r="M53" i="17" s="1"/>
  <c r="I54" i="17"/>
  <c r="N54" i="17" s="1" a="1"/>
  <c r="N54" i="17" s="1"/>
  <c r="J54" i="17"/>
  <c r="O54" i="17" s="1" a="1"/>
  <c r="O54" i="17" s="1"/>
  <c r="K54" i="17"/>
  <c r="L54" i="17"/>
  <c r="M54" i="17" s="1"/>
  <c r="I55" i="17"/>
  <c r="N55" i="17" s="1" a="1"/>
  <c r="N55" i="17" s="1"/>
  <c r="J55" i="17"/>
  <c r="O55" i="17" s="1" a="1"/>
  <c r="O55" i="17" s="1"/>
  <c r="K55" i="17"/>
  <c r="L55" i="17"/>
  <c r="M55" i="17" s="1"/>
  <c r="I56" i="17"/>
  <c r="N56" i="17" s="1" a="1"/>
  <c r="N56" i="17" s="1"/>
  <c r="J56" i="17"/>
  <c r="O56" i="17" s="1" a="1"/>
  <c r="O56" i="17" s="1"/>
  <c r="K56" i="17"/>
  <c r="L56" i="17"/>
  <c r="M56" i="17" s="1"/>
  <c r="I57" i="17"/>
  <c r="N57" i="17" s="1" a="1"/>
  <c r="N57" i="17" s="1"/>
  <c r="J57" i="17"/>
  <c r="O57" i="17" s="1" a="1"/>
  <c r="O57" i="17" s="1"/>
  <c r="K57" i="17"/>
  <c r="L57" i="17"/>
  <c r="M57" i="17" s="1"/>
  <c r="I58" i="17"/>
  <c r="N58" i="17" s="1" a="1"/>
  <c r="N58" i="17" s="1"/>
  <c r="J58" i="17"/>
  <c r="O58" i="17" s="1" a="1"/>
  <c r="O58" i="17" s="1"/>
  <c r="K58" i="17"/>
  <c r="L58" i="17"/>
  <c r="M58" i="17" s="1"/>
  <c r="I59" i="17"/>
  <c r="N59" i="17" s="1" a="1"/>
  <c r="N59" i="17" s="1"/>
  <c r="J59" i="17"/>
  <c r="O59" i="17" s="1" a="1"/>
  <c r="O59" i="17" s="1"/>
  <c r="K59" i="17"/>
  <c r="L59" i="17"/>
  <c r="M59" i="17" s="1"/>
  <c r="I60" i="17"/>
  <c r="N60" i="17" s="1" a="1"/>
  <c r="N60" i="17" s="1"/>
  <c r="J60" i="17"/>
  <c r="O60" i="17" s="1" a="1"/>
  <c r="O60" i="17" s="1"/>
  <c r="K60" i="17"/>
  <c r="L60" i="17"/>
  <c r="M60" i="17" s="1"/>
  <c r="I61" i="17"/>
  <c r="N61" i="17" s="1" a="1"/>
  <c r="N61" i="17" s="1"/>
  <c r="J61" i="17"/>
  <c r="O61" i="17" s="1" a="1"/>
  <c r="O61" i="17" s="1"/>
  <c r="K61" i="17"/>
  <c r="L61" i="17"/>
  <c r="I62" i="17"/>
  <c r="N62" i="17" s="1" a="1"/>
  <c r="N62" i="17" s="1"/>
  <c r="J62" i="17"/>
  <c r="O62" i="17" s="1" a="1"/>
  <c r="O62" i="17" s="1"/>
  <c r="K62" i="17"/>
  <c r="L62" i="17"/>
  <c r="I63" i="17"/>
  <c r="N63" i="17" s="1" a="1"/>
  <c r="N63" i="17" s="1"/>
  <c r="J63" i="17"/>
  <c r="O63" i="17" s="1" a="1"/>
  <c r="O63" i="17" s="1"/>
  <c r="K63" i="17"/>
  <c r="L63" i="17"/>
  <c r="M63" i="17" s="1"/>
  <c r="I64" i="17"/>
  <c r="N64" i="17" s="1" a="1"/>
  <c r="N64" i="17" s="1"/>
  <c r="J64" i="17"/>
  <c r="O64" i="17" s="1" a="1"/>
  <c r="O64" i="17" s="1"/>
  <c r="K64" i="17"/>
  <c r="L64" i="17"/>
  <c r="M64" i="17" s="1"/>
  <c r="I65" i="17"/>
  <c r="N65" i="17" s="1" a="1"/>
  <c r="N65" i="17" s="1"/>
  <c r="J65" i="17"/>
  <c r="O65" i="17" s="1" a="1"/>
  <c r="O65" i="17" s="1"/>
  <c r="K65" i="17"/>
  <c r="L65" i="17"/>
  <c r="M65" i="17" s="1"/>
  <c r="I66" i="17"/>
  <c r="N66" i="17" s="1" a="1"/>
  <c r="N66" i="17" s="1"/>
  <c r="J66" i="17"/>
  <c r="O66" i="17" s="1" a="1"/>
  <c r="O66" i="17" s="1"/>
  <c r="K66" i="17"/>
  <c r="L66" i="17"/>
  <c r="M66" i="17" s="1"/>
  <c r="I67" i="17"/>
  <c r="N67" i="17" s="1" a="1"/>
  <c r="N67" i="17" s="1"/>
  <c r="J67" i="17"/>
  <c r="O67" i="17" s="1" a="1"/>
  <c r="O67" i="17" s="1"/>
  <c r="K67" i="17"/>
  <c r="L67" i="17"/>
  <c r="M67" i="17" s="1"/>
  <c r="I68" i="17"/>
  <c r="N68" i="17" s="1" a="1"/>
  <c r="N68" i="17" s="1"/>
  <c r="J68" i="17"/>
  <c r="O68" i="17" s="1" a="1"/>
  <c r="O68" i="17" s="1"/>
  <c r="K68" i="17"/>
  <c r="L68" i="17"/>
  <c r="M68" i="17" s="1"/>
  <c r="I69" i="17"/>
  <c r="N69" i="17" s="1" a="1"/>
  <c r="N69" i="17" s="1"/>
  <c r="J69" i="17"/>
  <c r="O69" i="17" s="1" a="1"/>
  <c r="O69" i="17" s="1"/>
  <c r="K69" i="17"/>
  <c r="L69" i="17"/>
  <c r="M69" i="17" s="1"/>
  <c r="I70" i="17"/>
  <c r="N70" i="17" s="1" a="1"/>
  <c r="N70" i="17" s="1"/>
  <c r="J70" i="17"/>
  <c r="O70" i="17" s="1" a="1"/>
  <c r="O70" i="17" s="1"/>
  <c r="K70" i="17"/>
  <c r="L70" i="17"/>
  <c r="M70" i="17" s="1"/>
  <c r="I71" i="17"/>
  <c r="N71" i="17" s="1" a="1"/>
  <c r="N71" i="17" s="1"/>
  <c r="J71" i="17"/>
  <c r="O71" i="17" s="1" a="1"/>
  <c r="O71" i="17" s="1"/>
  <c r="K71" i="17"/>
  <c r="L71" i="17"/>
  <c r="M71" i="17" s="1"/>
  <c r="I72" i="17"/>
  <c r="N72" i="17" s="1" a="1"/>
  <c r="N72" i="17" s="1"/>
  <c r="J72" i="17"/>
  <c r="O72" i="17" s="1" a="1"/>
  <c r="O72" i="17" s="1"/>
  <c r="K72" i="17"/>
  <c r="L72" i="17"/>
  <c r="M72" i="17" s="1"/>
  <c r="I73" i="17"/>
  <c r="N73" i="17" s="1" a="1"/>
  <c r="N73" i="17" s="1"/>
  <c r="J73" i="17"/>
  <c r="O73" i="17" s="1" a="1"/>
  <c r="O73" i="17" s="1"/>
  <c r="K73" i="17"/>
  <c r="L73" i="17"/>
  <c r="M73" i="17" s="1"/>
  <c r="I74" i="17"/>
  <c r="N74" i="17" s="1" a="1"/>
  <c r="N74" i="17" s="1"/>
  <c r="J74" i="17"/>
  <c r="O74" i="17" s="1" a="1"/>
  <c r="O74" i="17" s="1"/>
  <c r="K74" i="17"/>
  <c r="L74" i="17"/>
  <c r="M74" i="17" s="1"/>
  <c r="I75" i="17"/>
  <c r="N75" i="17" s="1" a="1"/>
  <c r="N75" i="17" s="1"/>
  <c r="J75" i="17"/>
  <c r="O75" i="17" s="1" a="1"/>
  <c r="O75" i="17" s="1"/>
  <c r="K75" i="17"/>
  <c r="L75" i="17"/>
  <c r="M75" i="17" s="1"/>
  <c r="I76" i="17"/>
  <c r="N76" i="17" s="1" a="1"/>
  <c r="N76" i="17" s="1"/>
  <c r="J76" i="17"/>
  <c r="O76" i="17" s="1" a="1"/>
  <c r="O76" i="17" s="1"/>
  <c r="K76" i="17"/>
  <c r="L76" i="17"/>
  <c r="M76" i="17" s="1"/>
  <c r="I77" i="17"/>
  <c r="N77" i="17" s="1" a="1"/>
  <c r="N77" i="17" s="1"/>
  <c r="J77" i="17"/>
  <c r="O77" i="17" s="1" a="1"/>
  <c r="O77" i="17" s="1"/>
  <c r="K77" i="17"/>
  <c r="L77" i="17"/>
  <c r="I78" i="17"/>
  <c r="N78" i="17" s="1" a="1"/>
  <c r="N78" i="17" s="1"/>
  <c r="J78" i="17"/>
  <c r="O78" i="17" s="1" a="1"/>
  <c r="O78" i="17" s="1"/>
  <c r="K78" i="17"/>
  <c r="L78" i="17"/>
  <c r="I79" i="17"/>
  <c r="N79" i="17" s="1" a="1"/>
  <c r="N79" i="17" s="1"/>
  <c r="J79" i="17"/>
  <c r="O79" i="17" s="1" a="1"/>
  <c r="O79" i="17" s="1"/>
  <c r="K79" i="17"/>
  <c r="L79" i="17"/>
  <c r="M79" i="17" s="1"/>
  <c r="I80" i="17"/>
  <c r="N80" i="17" s="1" a="1"/>
  <c r="N80" i="17" s="1"/>
  <c r="J80" i="17"/>
  <c r="O80" i="17" s="1" a="1"/>
  <c r="O80" i="17" s="1"/>
  <c r="K80" i="17"/>
  <c r="L80" i="17"/>
  <c r="M80" i="17" s="1"/>
  <c r="I81" i="17"/>
  <c r="N81" i="17" s="1" a="1"/>
  <c r="N81" i="17" s="1"/>
  <c r="J81" i="17"/>
  <c r="O81" i="17" s="1" a="1"/>
  <c r="O81" i="17" s="1"/>
  <c r="K81" i="17"/>
  <c r="L81" i="17"/>
  <c r="M81" i="17" s="1"/>
  <c r="I82" i="17"/>
  <c r="N82" i="17" s="1" a="1"/>
  <c r="N82" i="17" s="1"/>
  <c r="J82" i="17"/>
  <c r="O82" i="17" s="1" a="1"/>
  <c r="O82" i="17" s="1"/>
  <c r="K82" i="17"/>
  <c r="L82" i="17"/>
  <c r="M82" i="17" s="1"/>
  <c r="I83" i="17"/>
  <c r="N83" i="17" s="1" a="1"/>
  <c r="N83" i="17" s="1"/>
  <c r="J83" i="17"/>
  <c r="O83" i="17" s="1" a="1"/>
  <c r="O83" i="17" s="1"/>
  <c r="K83" i="17"/>
  <c r="L83" i="17"/>
  <c r="M83" i="17" s="1"/>
  <c r="I84" i="17"/>
  <c r="N84" i="17" s="1" a="1"/>
  <c r="N84" i="17" s="1"/>
  <c r="J84" i="17"/>
  <c r="O84" i="17" s="1" a="1"/>
  <c r="O84" i="17" s="1"/>
  <c r="K84" i="17"/>
  <c r="L84" i="17"/>
  <c r="M84" i="17" s="1"/>
  <c r="I85" i="17"/>
  <c r="N85" i="17" s="1" a="1"/>
  <c r="N85" i="17" s="1"/>
  <c r="J85" i="17"/>
  <c r="O85" i="17" s="1" a="1"/>
  <c r="O85" i="17" s="1"/>
  <c r="K85" i="17"/>
  <c r="L85" i="17"/>
  <c r="M85" i="17" s="1"/>
  <c r="I86" i="17"/>
  <c r="N86" i="17" s="1" a="1"/>
  <c r="N86" i="17" s="1"/>
  <c r="J86" i="17"/>
  <c r="O86" i="17" s="1" a="1"/>
  <c r="O86" i="17" s="1"/>
  <c r="K86" i="17"/>
  <c r="L86" i="17"/>
  <c r="M86" i="17" s="1"/>
  <c r="I87" i="17"/>
  <c r="N87" i="17" s="1" a="1"/>
  <c r="N87" i="17" s="1"/>
  <c r="J87" i="17"/>
  <c r="O87" i="17" s="1" a="1"/>
  <c r="O87" i="17" s="1"/>
  <c r="K87" i="17"/>
  <c r="L87" i="17"/>
  <c r="M87" i="17" s="1"/>
  <c r="I88" i="17"/>
  <c r="N88" i="17" s="1" a="1"/>
  <c r="N88" i="17" s="1"/>
  <c r="J88" i="17"/>
  <c r="O88" i="17" s="1" a="1"/>
  <c r="O88" i="17" s="1"/>
  <c r="K88" i="17"/>
  <c r="L88" i="17"/>
  <c r="M88" i="17" s="1"/>
  <c r="I89" i="17"/>
  <c r="N89" i="17" s="1" a="1"/>
  <c r="N89" i="17" s="1"/>
  <c r="J89" i="17"/>
  <c r="O89" i="17" s="1" a="1"/>
  <c r="O89" i="17" s="1"/>
  <c r="K89" i="17"/>
  <c r="L89" i="17"/>
  <c r="M89" i="17" s="1"/>
  <c r="I90" i="17"/>
  <c r="N90" i="17" s="1" a="1"/>
  <c r="N90" i="17" s="1"/>
  <c r="J90" i="17"/>
  <c r="O90" i="17" s="1" a="1"/>
  <c r="O90" i="17" s="1"/>
  <c r="K90" i="17"/>
  <c r="L90" i="17"/>
  <c r="M90" i="17" s="1"/>
  <c r="I91" i="17"/>
  <c r="N91" i="17" s="1" a="1"/>
  <c r="N91" i="17" s="1"/>
  <c r="J91" i="17"/>
  <c r="O91" i="17" s="1" a="1"/>
  <c r="O91" i="17" s="1"/>
  <c r="K91" i="17"/>
  <c r="L91" i="17"/>
  <c r="M91" i="17" s="1"/>
  <c r="I92" i="17"/>
  <c r="N92" i="17" s="1" a="1"/>
  <c r="N92" i="17" s="1"/>
  <c r="J92" i="17"/>
  <c r="O92" i="17" s="1" a="1"/>
  <c r="O92" i="17" s="1"/>
  <c r="K92" i="17"/>
  <c r="L92" i="17"/>
  <c r="M92" i="17" s="1"/>
  <c r="I93" i="17"/>
  <c r="N93" i="17" s="1" a="1"/>
  <c r="N93" i="17" s="1"/>
  <c r="J93" i="17"/>
  <c r="O93" i="17" s="1" a="1"/>
  <c r="O93" i="17" s="1"/>
  <c r="K93" i="17"/>
  <c r="L93" i="17"/>
  <c r="I94" i="17"/>
  <c r="N94" i="17" s="1" a="1"/>
  <c r="N94" i="17" s="1"/>
  <c r="J94" i="17"/>
  <c r="O94" i="17" s="1" a="1"/>
  <c r="O94" i="17" s="1"/>
  <c r="K94" i="17"/>
  <c r="L94" i="17"/>
  <c r="I95" i="17"/>
  <c r="N95" i="17" s="1" a="1"/>
  <c r="N95" i="17" s="1"/>
  <c r="J95" i="17"/>
  <c r="O95" i="17" s="1" a="1"/>
  <c r="O95" i="17" s="1"/>
  <c r="K95" i="17"/>
  <c r="L95" i="17"/>
  <c r="M95" i="17" s="1"/>
  <c r="I96" i="17"/>
  <c r="N96" i="17" s="1" a="1"/>
  <c r="N96" i="17" s="1"/>
  <c r="J96" i="17"/>
  <c r="O96" i="17" s="1" a="1"/>
  <c r="O96" i="17" s="1"/>
  <c r="K96" i="17"/>
  <c r="L96" i="17"/>
  <c r="M96" i="17" s="1"/>
  <c r="I97" i="17"/>
  <c r="N97" i="17" s="1" a="1"/>
  <c r="N97" i="17" s="1"/>
  <c r="J97" i="17"/>
  <c r="O97" i="17" s="1" a="1"/>
  <c r="O97" i="17" s="1"/>
  <c r="K97" i="17"/>
  <c r="L97" i="17"/>
  <c r="M97" i="17" s="1"/>
  <c r="I98" i="17"/>
  <c r="N98" i="17" s="1" a="1"/>
  <c r="N98" i="17" s="1"/>
  <c r="J98" i="17"/>
  <c r="O98" i="17" s="1" a="1"/>
  <c r="O98" i="17" s="1"/>
  <c r="K98" i="17"/>
  <c r="L98" i="17"/>
  <c r="M98" i="17" s="1"/>
  <c r="I99" i="17"/>
  <c r="N99" i="17" s="1" a="1"/>
  <c r="N99" i="17" s="1"/>
  <c r="J99" i="17"/>
  <c r="O99" i="17" s="1" a="1"/>
  <c r="O99" i="17" s="1"/>
  <c r="K99" i="17"/>
  <c r="L99" i="17"/>
  <c r="M99" i="17" s="1"/>
  <c r="I100" i="17"/>
  <c r="N100" i="17" s="1" a="1"/>
  <c r="N100" i="17" s="1"/>
  <c r="J100" i="17"/>
  <c r="O100" i="17" s="1" a="1"/>
  <c r="O100" i="17" s="1"/>
  <c r="K100" i="17"/>
  <c r="L100" i="17"/>
  <c r="M100" i="17" s="1"/>
  <c r="I101" i="17"/>
  <c r="N101" i="17" s="1" a="1"/>
  <c r="N101" i="17" s="1"/>
  <c r="J101" i="17"/>
  <c r="O101" i="17" s="1" a="1"/>
  <c r="O101" i="17" s="1"/>
  <c r="K101" i="17"/>
  <c r="L101" i="17"/>
  <c r="M101" i="17" s="1"/>
  <c r="I102" i="17"/>
  <c r="N102" i="17" s="1" a="1"/>
  <c r="N102" i="17" s="1"/>
  <c r="J102" i="17"/>
  <c r="O102" i="17" s="1" a="1"/>
  <c r="O102" i="17" s="1"/>
  <c r="K102" i="17"/>
  <c r="L102" i="17"/>
  <c r="M102" i="17" s="1"/>
  <c r="I103" i="17"/>
  <c r="N103" i="17" s="1" a="1"/>
  <c r="N103" i="17" s="1"/>
  <c r="J103" i="17"/>
  <c r="O103" i="17" s="1" a="1"/>
  <c r="O103" i="17" s="1"/>
  <c r="K103" i="17"/>
  <c r="L103" i="17"/>
  <c r="M103" i="17" s="1"/>
  <c r="I104" i="17"/>
  <c r="N104" i="17" s="1" a="1"/>
  <c r="N104" i="17" s="1"/>
  <c r="J104" i="17"/>
  <c r="O104" i="17" s="1" a="1"/>
  <c r="O104" i="17" s="1"/>
  <c r="K104" i="17"/>
  <c r="L104" i="17"/>
  <c r="M104" i="17" s="1"/>
  <c r="I105" i="17"/>
  <c r="N105" i="17" s="1" a="1"/>
  <c r="N105" i="17" s="1"/>
  <c r="J105" i="17"/>
  <c r="O105" i="17" s="1" a="1"/>
  <c r="O105" i="17" s="1"/>
  <c r="K105" i="17"/>
  <c r="L105" i="17"/>
  <c r="M105" i="17" s="1"/>
  <c r="I106" i="17"/>
  <c r="N106" i="17" s="1" a="1"/>
  <c r="N106" i="17" s="1"/>
  <c r="J106" i="17"/>
  <c r="O106" i="17" s="1" a="1"/>
  <c r="O106" i="17" s="1"/>
  <c r="K106" i="17"/>
  <c r="L106" i="17"/>
  <c r="M106" i="17" s="1"/>
  <c r="I107" i="17"/>
  <c r="N107" i="17" s="1" a="1"/>
  <c r="N107" i="17" s="1"/>
  <c r="J107" i="17"/>
  <c r="O107" i="17" s="1" a="1"/>
  <c r="O107" i="17" s="1"/>
  <c r="K107" i="17"/>
  <c r="L107" i="17"/>
  <c r="M107" i="17" s="1"/>
  <c r="I108" i="17"/>
  <c r="N108" i="17" s="1" a="1"/>
  <c r="N108" i="17" s="1"/>
  <c r="J108" i="17"/>
  <c r="O108" i="17" s="1" a="1"/>
  <c r="O108" i="17" s="1"/>
  <c r="K108" i="17"/>
  <c r="L108" i="17"/>
  <c r="M108" i="17" s="1"/>
  <c r="I109" i="17"/>
  <c r="N109" i="17" s="1" a="1"/>
  <c r="N109" i="17" s="1"/>
  <c r="J109" i="17"/>
  <c r="O109" i="17" s="1" a="1"/>
  <c r="O109" i="17" s="1"/>
  <c r="K109" i="17"/>
  <c r="L109" i="17"/>
  <c r="I110" i="17"/>
  <c r="N110" i="17" s="1" a="1"/>
  <c r="N110" i="17" s="1"/>
  <c r="J110" i="17"/>
  <c r="O110" i="17" s="1" a="1"/>
  <c r="O110" i="17" s="1"/>
  <c r="K110" i="17"/>
  <c r="L110" i="17"/>
  <c r="I111" i="17"/>
  <c r="N111" i="17" s="1" a="1"/>
  <c r="N111" i="17" s="1"/>
  <c r="J111" i="17"/>
  <c r="O111" i="17" s="1" a="1"/>
  <c r="O111" i="17" s="1"/>
  <c r="K111" i="17"/>
  <c r="L111" i="17"/>
  <c r="M111" i="17" s="1"/>
  <c r="I112" i="17"/>
  <c r="N112" i="17" s="1" a="1"/>
  <c r="N112" i="17" s="1"/>
  <c r="J112" i="17"/>
  <c r="O112" i="17" s="1" a="1"/>
  <c r="O112" i="17" s="1"/>
  <c r="K112" i="17"/>
  <c r="L112" i="17"/>
  <c r="M112" i="17" s="1"/>
  <c r="I113" i="17"/>
  <c r="N113" i="17" s="1" a="1"/>
  <c r="N113" i="17" s="1"/>
  <c r="J113" i="17"/>
  <c r="O113" i="17" s="1" a="1"/>
  <c r="O113" i="17" s="1"/>
  <c r="K113" i="17"/>
  <c r="L113" i="17"/>
  <c r="M113" i="17" s="1"/>
  <c r="I114" i="17"/>
  <c r="N114" i="17" s="1" a="1"/>
  <c r="N114" i="17" s="1"/>
  <c r="J114" i="17"/>
  <c r="O114" i="17" s="1" a="1"/>
  <c r="O114" i="17" s="1"/>
  <c r="K114" i="17"/>
  <c r="L114" i="17"/>
  <c r="M114" i="17" s="1"/>
  <c r="I115" i="17"/>
  <c r="N115" i="17" s="1" a="1"/>
  <c r="N115" i="17" s="1"/>
  <c r="J115" i="17"/>
  <c r="O115" i="17" s="1" a="1"/>
  <c r="O115" i="17" s="1"/>
  <c r="K115" i="17"/>
  <c r="L115" i="17"/>
  <c r="M115" i="17" s="1"/>
  <c r="I116" i="17"/>
  <c r="N116" i="17" s="1" a="1"/>
  <c r="N116" i="17" s="1"/>
  <c r="J116" i="17"/>
  <c r="O116" i="17" s="1" a="1"/>
  <c r="O116" i="17" s="1"/>
  <c r="K116" i="17"/>
  <c r="L116" i="17"/>
  <c r="M116" i="17" s="1"/>
  <c r="I117" i="17"/>
  <c r="N117" i="17" s="1" a="1"/>
  <c r="N117" i="17" s="1"/>
  <c r="J117" i="17"/>
  <c r="O117" i="17" s="1" a="1"/>
  <c r="O117" i="17" s="1"/>
  <c r="K117" i="17"/>
  <c r="L117" i="17"/>
  <c r="M117" i="17" s="1"/>
  <c r="I118" i="17"/>
  <c r="N118" i="17" s="1" a="1"/>
  <c r="N118" i="17" s="1"/>
  <c r="J118" i="17"/>
  <c r="O118" i="17" s="1" a="1"/>
  <c r="O118" i="17" s="1"/>
  <c r="K118" i="17"/>
  <c r="L118" i="17"/>
  <c r="M118" i="17" s="1"/>
  <c r="I119" i="17"/>
  <c r="N119" i="17" s="1" a="1"/>
  <c r="N119" i="17" s="1"/>
  <c r="J119" i="17"/>
  <c r="O119" i="17" s="1" a="1"/>
  <c r="O119" i="17" s="1"/>
  <c r="K119" i="17"/>
  <c r="L119" i="17"/>
  <c r="M119" i="17" s="1"/>
  <c r="I120" i="17"/>
  <c r="N120" i="17" s="1" a="1"/>
  <c r="N120" i="17" s="1"/>
  <c r="J120" i="17"/>
  <c r="O120" i="17" s="1" a="1"/>
  <c r="O120" i="17" s="1"/>
  <c r="K120" i="17"/>
  <c r="L120" i="17"/>
  <c r="M120" i="17" s="1"/>
  <c r="I121" i="17"/>
  <c r="N121" i="17" s="1" a="1"/>
  <c r="N121" i="17" s="1"/>
  <c r="J121" i="17"/>
  <c r="O121" i="17" s="1" a="1"/>
  <c r="O121" i="17" s="1"/>
  <c r="K121" i="17"/>
  <c r="L121" i="17"/>
  <c r="M121" i="17" s="1"/>
  <c r="I122" i="17"/>
  <c r="N122" i="17" s="1" a="1"/>
  <c r="N122" i="17" s="1"/>
  <c r="J122" i="17"/>
  <c r="O122" i="17" s="1" a="1"/>
  <c r="O122" i="17" s="1"/>
  <c r="K122" i="17"/>
  <c r="L122" i="17"/>
  <c r="M122" i="17" s="1"/>
  <c r="I123" i="17"/>
  <c r="N123" i="17" s="1" a="1"/>
  <c r="N123" i="17" s="1"/>
  <c r="J123" i="17"/>
  <c r="O123" i="17" s="1" a="1"/>
  <c r="O123" i="17" s="1"/>
  <c r="K123" i="17"/>
  <c r="L123" i="17"/>
  <c r="M123" i="17" s="1"/>
  <c r="I124" i="17"/>
  <c r="N124" i="17" s="1" a="1"/>
  <c r="N124" i="17" s="1"/>
  <c r="J124" i="17"/>
  <c r="O124" i="17" s="1" a="1"/>
  <c r="O124" i="17" s="1"/>
  <c r="K124" i="17"/>
  <c r="L124" i="17"/>
  <c r="M124" i="17" s="1"/>
  <c r="I125" i="17"/>
  <c r="N125" i="17" s="1" a="1"/>
  <c r="N125" i="17" s="1"/>
  <c r="J125" i="17"/>
  <c r="O125" i="17" s="1" a="1"/>
  <c r="O125" i="17" s="1"/>
  <c r="K125" i="17"/>
  <c r="L125" i="17"/>
  <c r="I126" i="17"/>
  <c r="N126" i="17" s="1" a="1"/>
  <c r="N126" i="17" s="1"/>
  <c r="J126" i="17"/>
  <c r="O126" i="17" s="1" a="1"/>
  <c r="O126" i="17" s="1"/>
  <c r="K126" i="17"/>
  <c r="L126" i="17"/>
  <c r="I127" i="17"/>
  <c r="N127" i="17" s="1" a="1"/>
  <c r="N127" i="17" s="1"/>
  <c r="J127" i="17"/>
  <c r="O127" i="17" s="1" a="1"/>
  <c r="O127" i="17" s="1"/>
  <c r="K127" i="17"/>
  <c r="L127" i="17"/>
  <c r="M127" i="17" s="1"/>
  <c r="I128" i="17"/>
  <c r="N128" i="17" s="1" a="1"/>
  <c r="N128" i="17" s="1"/>
  <c r="J128" i="17"/>
  <c r="O128" i="17" s="1" a="1"/>
  <c r="O128" i="17" s="1"/>
  <c r="K128" i="17"/>
  <c r="L128" i="17"/>
  <c r="M128" i="17" s="1"/>
  <c r="I129" i="17"/>
  <c r="N129" i="17" s="1" a="1"/>
  <c r="N129" i="17" s="1"/>
  <c r="J129" i="17"/>
  <c r="O129" i="17" s="1" a="1"/>
  <c r="O129" i="17" s="1"/>
  <c r="K129" i="17"/>
  <c r="L129" i="17"/>
  <c r="M129" i="17" s="1"/>
  <c r="I130" i="17"/>
  <c r="N130" i="17" s="1" a="1"/>
  <c r="N130" i="17" s="1"/>
  <c r="J130" i="17"/>
  <c r="O130" i="17" s="1" a="1"/>
  <c r="O130" i="17" s="1"/>
  <c r="K130" i="17"/>
  <c r="L130" i="17"/>
  <c r="M130" i="17" s="1"/>
  <c r="I131" i="17"/>
  <c r="N131" i="17" s="1" a="1"/>
  <c r="N131" i="17" s="1"/>
  <c r="J131" i="17"/>
  <c r="O131" i="17" s="1" a="1"/>
  <c r="O131" i="17" s="1"/>
  <c r="K131" i="17"/>
  <c r="L131" i="17"/>
  <c r="M131" i="17" s="1"/>
  <c r="I132" i="17"/>
  <c r="N132" i="17" s="1" a="1"/>
  <c r="N132" i="17" s="1"/>
  <c r="J132" i="17"/>
  <c r="O132" i="17" s="1" a="1"/>
  <c r="O132" i="17" s="1"/>
  <c r="K132" i="17"/>
  <c r="L132" i="17"/>
  <c r="M132" i="17" s="1"/>
  <c r="I133" i="17"/>
  <c r="N133" i="17" s="1" a="1"/>
  <c r="N133" i="17" s="1"/>
  <c r="J133" i="17"/>
  <c r="O133" i="17" s="1" a="1"/>
  <c r="O133" i="17" s="1"/>
  <c r="K133" i="17"/>
  <c r="L133" i="17"/>
  <c r="M133" i="17" s="1"/>
  <c r="I134" i="17"/>
  <c r="N134" i="17" s="1" a="1"/>
  <c r="N134" i="17" s="1"/>
  <c r="J134" i="17"/>
  <c r="O134" i="17" s="1" a="1"/>
  <c r="O134" i="17" s="1"/>
  <c r="K134" i="17"/>
  <c r="L134" i="17"/>
  <c r="M134" i="17" s="1"/>
  <c r="I135" i="17"/>
  <c r="N135" i="17" s="1" a="1"/>
  <c r="N135" i="17" s="1"/>
  <c r="J135" i="17"/>
  <c r="O135" i="17" s="1" a="1"/>
  <c r="O135" i="17" s="1"/>
  <c r="K135" i="17"/>
  <c r="L135" i="17"/>
  <c r="M135" i="17" s="1"/>
  <c r="I136" i="17"/>
  <c r="N136" i="17" s="1" a="1"/>
  <c r="N136" i="17" s="1"/>
  <c r="J136" i="17"/>
  <c r="O136" i="17" s="1" a="1"/>
  <c r="O136" i="17" s="1"/>
  <c r="K136" i="17"/>
  <c r="L136" i="17"/>
  <c r="M136" i="17" s="1"/>
  <c r="I137" i="17"/>
  <c r="N137" i="17" s="1" a="1"/>
  <c r="N137" i="17" s="1"/>
  <c r="J137" i="17"/>
  <c r="O137" i="17" s="1" a="1"/>
  <c r="O137" i="17" s="1"/>
  <c r="K137" i="17"/>
  <c r="L137" i="17"/>
  <c r="M137" i="17" s="1"/>
  <c r="I138" i="17"/>
  <c r="N138" i="17" s="1" a="1"/>
  <c r="N138" i="17" s="1"/>
  <c r="J138" i="17"/>
  <c r="O138" i="17" s="1" a="1"/>
  <c r="O138" i="17" s="1"/>
  <c r="K138" i="17"/>
  <c r="L138" i="17"/>
  <c r="M138" i="17" s="1"/>
  <c r="I139" i="17"/>
  <c r="N139" i="17" s="1" a="1"/>
  <c r="N139" i="17" s="1"/>
  <c r="J139" i="17"/>
  <c r="O139" i="17" s="1" a="1"/>
  <c r="O139" i="17" s="1"/>
  <c r="K139" i="17"/>
  <c r="L139" i="17"/>
  <c r="M139" i="17" s="1"/>
  <c r="I140" i="17"/>
  <c r="N140" i="17" s="1" a="1"/>
  <c r="N140" i="17" s="1"/>
  <c r="J140" i="17"/>
  <c r="O140" i="17" s="1" a="1"/>
  <c r="O140" i="17" s="1"/>
  <c r="K140" i="17"/>
  <c r="L140" i="17"/>
  <c r="M140" i="17" s="1"/>
  <c r="I141" i="17"/>
  <c r="N141" i="17" s="1" a="1"/>
  <c r="N141" i="17" s="1"/>
  <c r="J141" i="17"/>
  <c r="O141" i="17" s="1" a="1"/>
  <c r="O141" i="17" s="1"/>
  <c r="K141" i="17"/>
  <c r="L141" i="17"/>
  <c r="I142" i="17"/>
  <c r="N142" i="17" s="1" a="1"/>
  <c r="N142" i="17" s="1"/>
  <c r="J142" i="17"/>
  <c r="O142" i="17" s="1" a="1"/>
  <c r="O142" i="17" s="1"/>
  <c r="K142" i="17"/>
  <c r="L142" i="17"/>
  <c r="I143" i="17"/>
  <c r="N143" i="17" s="1" a="1"/>
  <c r="N143" i="17" s="1"/>
  <c r="J143" i="17"/>
  <c r="O143" i="17" s="1" a="1"/>
  <c r="O143" i="17" s="1"/>
  <c r="K143" i="17"/>
  <c r="L143" i="17"/>
  <c r="M143" i="17" s="1"/>
  <c r="I144" i="17"/>
  <c r="N144" i="17" s="1" a="1"/>
  <c r="N144" i="17" s="1"/>
  <c r="J144" i="17"/>
  <c r="O144" i="17" s="1" a="1"/>
  <c r="O144" i="17" s="1"/>
  <c r="K144" i="17"/>
  <c r="L144" i="17"/>
  <c r="M144" i="17" s="1"/>
  <c r="I145" i="17"/>
  <c r="N145" i="17" s="1" a="1"/>
  <c r="N145" i="17" s="1"/>
  <c r="J145" i="17"/>
  <c r="O145" i="17" s="1" a="1"/>
  <c r="O145" i="17" s="1"/>
  <c r="K145" i="17"/>
  <c r="L145" i="17"/>
  <c r="M145" i="17" s="1"/>
  <c r="I146" i="17"/>
  <c r="N146" i="17" s="1" a="1"/>
  <c r="N146" i="17" s="1"/>
  <c r="J146" i="17"/>
  <c r="O146" i="17" s="1" a="1"/>
  <c r="O146" i="17" s="1"/>
  <c r="K146" i="17"/>
  <c r="L146" i="17"/>
  <c r="M146" i="17" s="1"/>
  <c r="I147" i="17"/>
  <c r="N147" i="17" s="1" a="1"/>
  <c r="N147" i="17" s="1"/>
  <c r="J147" i="17"/>
  <c r="O147" i="17" s="1" a="1"/>
  <c r="O147" i="17" s="1"/>
  <c r="K147" i="17"/>
  <c r="L147" i="17"/>
  <c r="M147" i="17" s="1"/>
  <c r="I148" i="17"/>
  <c r="N148" i="17" s="1" a="1"/>
  <c r="N148" i="17" s="1"/>
  <c r="J148" i="17"/>
  <c r="O148" i="17" s="1" a="1"/>
  <c r="O148" i="17" s="1"/>
  <c r="K148" i="17"/>
  <c r="L148" i="17"/>
  <c r="M148" i="17" s="1"/>
  <c r="I149" i="17"/>
  <c r="N149" i="17" s="1" a="1"/>
  <c r="N149" i="17" s="1"/>
  <c r="J149" i="17"/>
  <c r="O149" i="17" s="1" a="1"/>
  <c r="O149" i="17" s="1"/>
  <c r="K149" i="17"/>
  <c r="L149" i="17"/>
  <c r="M149" i="17" s="1"/>
  <c r="I150" i="17"/>
  <c r="N150" i="17" s="1" a="1"/>
  <c r="N150" i="17" s="1"/>
  <c r="J150" i="17"/>
  <c r="O150" i="17" s="1" a="1"/>
  <c r="O150" i="17" s="1"/>
  <c r="K150" i="17"/>
  <c r="L150" i="17"/>
  <c r="M150" i="17" s="1"/>
  <c r="I151" i="17"/>
  <c r="N151" i="17" s="1" a="1"/>
  <c r="N151" i="17" s="1"/>
  <c r="J151" i="17"/>
  <c r="O151" i="17" s="1" a="1"/>
  <c r="O151" i="17" s="1"/>
  <c r="K151" i="17"/>
  <c r="L151" i="17"/>
  <c r="M151" i="17" s="1"/>
  <c r="I152" i="17"/>
  <c r="J152" i="17"/>
  <c r="O152" i="17" s="1" a="1"/>
  <c r="O152" i="17" s="1"/>
  <c r="K152" i="17"/>
  <c r="L152" i="17"/>
  <c r="M152" i="17" s="1"/>
  <c r="I153" i="17"/>
  <c r="N153" i="17" s="1" a="1"/>
  <c r="N153" i="17" s="1"/>
  <c r="J153" i="17"/>
  <c r="O153" i="17" s="1" a="1"/>
  <c r="O153" i="17" s="1"/>
  <c r="K153" i="17"/>
  <c r="L153" i="17"/>
  <c r="M153" i="17" s="1"/>
  <c r="I154" i="17"/>
  <c r="N154" i="17" s="1" a="1"/>
  <c r="N154" i="17" s="1"/>
  <c r="J154" i="17"/>
  <c r="O154" i="17" s="1" a="1"/>
  <c r="O154" i="17" s="1"/>
  <c r="K154" i="17"/>
  <c r="L154" i="17"/>
  <c r="M154" i="17" s="1"/>
  <c r="I155" i="17"/>
  <c r="N155" i="17" s="1" a="1"/>
  <c r="N155" i="17" s="1"/>
  <c r="J155" i="17"/>
  <c r="O155" i="17" s="1" a="1"/>
  <c r="O155" i="17" s="1"/>
  <c r="K155" i="17"/>
  <c r="L155" i="17"/>
  <c r="M155" i="17" s="1"/>
  <c r="I156" i="17"/>
  <c r="N156" i="17" s="1" a="1"/>
  <c r="N156" i="17" s="1"/>
  <c r="J156" i="17"/>
  <c r="O156" i="17" s="1" a="1"/>
  <c r="O156" i="17" s="1"/>
  <c r="K156" i="17"/>
  <c r="L156" i="17"/>
  <c r="M156" i="17" s="1"/>
  <c r="I157" i="17"/>
  <c r="N157" i="17" s="1" a="1"/>
  <c r="N157" i="17" s="1"/>
  <c r="J157" i="17"/>
  <c r="O157" i="17" s="1" a="1"/>
  <c r="O157" i="17" s="1"/>
  <c r="K157" i="17"/>
  <c r="L157" i="17"/>
  <c r="I158" i="17"/>
  <c r="N158" i="17" s="1" a="1"/>
  <c r="N158" i="17" s="1"/>
  <c r="J158" i="17"/>
  <c r="O158" i="17" s="1" a="1"/>
  <c r="O158" i="17" s="1"/>
  <c r="K158" i="17"/>
  <c r="L158" i="17"/>
  <c r="I159" i="17"/>
  <c r="N159" i="17" s="1" a="1"/>
  <c r="N159" i="17" s="1"/>
  <c r="J159" i="17"/>
  <c r="O159" i="17" s="1" a="1"/>
  <c r="O159" i="17" s="1"/>
  <c r="K159" i="17"/>
  <c r="L159" i="17"/>
  <c r="M159" i="17" s="1"/>
  <c r="I160" i="17"/>
  <c r="N160" i="17" s="1" a="1"/>
  <c r="N160" i="17" s="1"/>
  <c r="J160" i="17"/>
  <c r="O160" i="17" s="1" a="1"/>
  <c r="O160" i="17" s="1"/>
  <c r="K160" i="17"/>
  <c r="L160" i="17"/>
  <c r="M160" i="17" s="1"/>
  <c r="I161" i="17"/>
  <c r="N161" i="17" s="1" a="1"/>
  <c r="N161" i="17" s="1"/>
  <c r="J161" i="17"/>
  <c r="O161" i="17" s="1" a="1"/>
  <c r="O161" i="17" s="1"/>
  <c r="K161" i="17"/>
  <c r="L161" i="17"/>
  <c r="M161" i="17" s="1"/>
  <c r="I162" i="17"/>
  <c r="N162" i="17" s="1" a="1"/>
  <c r="N162" i="17" s="1"/>
  <c r="J162" i="17"/>
  <c r="O162" i="17" s="1" a="1"/>
  <c r="O162" i="17" s="1"/>
  <c r="K162" i="17"/>
  <c r="L162" i="17"/>
  <c r="M162" i="17" s="1"/>
  <c r="I163" i="17"/>
  <c r="N163" i="17" s="1" a="1"/>
  <c r="N163" i="17" s="1"/>
  <c r="J163" i="17"/>
  <c r="O163" i="17" s="1" a="1"/>
  <c r="O163" i="17" s="1"/>
  <c r="K163" i="17"/>
  <c r="L163" i="17"/>
  <c r="M163" i="17" s="1"/>
  <c r="I164" i="17"/>
  <c r="N164" i="17" s="1" a="1"/>
  <c r="N164" i="17" s="1"/>
  <c r="J164" i="17"/>
  <c r="O164" i="17" s="1" a="1"/>
  <c r="O164" i="17" s="1"/>
  <c r="K164" i="17"/>
  <c r="L164" i="17"/>
  <c r="M164" i="17" s="1"/>
  <c r="I165" i="17"/>
  <c r="N165" i="17" s="1" a="1"/>
  <c r="N165" i="17" s="1"/>
  <c r="J165" i="17"/>
  <c r="O165" i="17" s="1" a="1"/>
  <c r="O165" i="17" s="1"/>
  <c r="K165" i="17"/>
  <c r="L165" i="17"/>
  <c r="M165" i="17" s="1"/>
  <c r="I166" i="17"/>
  <c r="N166" i="17" s="1" a="1"/>
  <c r="N166" i="17" s="1"/>
  <c r="J166" i="17"/>
  <c r="O166" i="17" s="1" a="1"/>
  <c r="O166" i="17" s="1"/>
  <c r="K166" i="17"/>
  <c r="L166" i="17"/>
  <c r="M166" i="17" s="1"/>
  <c r="I167" i="17"/>
  <c r="N167" i="17" s="1" a="1"/>
  <c r="N167" i="17" s="1"/>
  <c r="J167" i="17"/>
  <c r="O167" i="17" s="1" a="1"/>
  <c r="O167" i="17" s="1"/>
  <c r="K167" i="17"/>
  <c r="L167" i="17"/>
  <c r="M167" i="17" s="1"/>
  <c r="I168" i="17"/>
  <c r="N168" i="17" s="1" a="1"/>
  <c r="N168" i="17" s="1"/>
  <c r="J168" i="17"/>
  <c r="O168" i="17" s="1" a="1"/>
  <c r="O168" i="17" s="1"/>
  <c r="K168" i="17"/>
  <c r="L168" i="17"/>
  <c r="M168" i="17" s="1"/>
  <c r="I169" i="17"/>
  <c r="N169" i="17" s="1" a="1"/>
  <c r="N169" i="17" s="1"/>
  <c r="J169" i="17"/>
  <c r="O169" i="17" s="1" a="1"/>
  <c r="O169" i="17" s="1"/>
  <c r="K169" i="17"/>
  <c r="L169" i="17"/>
  <c r="M169" i="17" s="1"/>
  <c r="I170" i="17"/>
  <c r="N170" i="17" s="1" a="1"/>
  <c r="N170" i="17" s="1"/>
  <c r="J170" i="17"/>
  <c r="O170" i="17" s="1" a="1"/>
  <c r="O170" i="17" s="1"/>
  <c r="K170" i="17"/>
  <c r="L170" i="17"/>
  <c r="M170" i="17" s="1"/>
  <c r="I171" i="17"/>
  <c r="N171" i="17" s="1" a="1"/>
  <c r="N171" i="17" s="1"/>
  <c r="J171" i="17"/>
  <c r="O171" i="17" s="1" a="1"/>
  <c r="O171" i="17" s="1"/>
  <c r="K171" i="17"/>
  <c r="L171" i="17"/>
  <c r="M171" i="17" s="1"/>
  <c r="I172" i="17"/>
  <c r="N172" i="17" s="1" a="1"/>
  <c r="N172" i="17" s="1"/>
  <c r="J172" i="17"/>
  <c r="O172" i="17" s="1" a="1"/>
  <c r="O172" i="17" s="1"/>
  <c r="K172" i="17"/>
  <c r="L172" i="17"/>
  <c r="M172" i="17" s="1"/>
  <c r="I173" i="17"/>
  <c r="N173" i="17" s="1" a="1"/>
  <c r="N173" i="17" s="1"/>
  <c r="J173" i="17"/>
  <c r="O173" i="17" s="1" a="1"/>
  <c r="O173" i="17" s="1"/>
  <c r="K173" i="17"/>
  <c r="L173" i="17"/>
  <c r="I174" i="17"/>
  <c r="N174" i="17" s="1" a="1"/>
  <c r="N174" i="17" s="1"/>
  <c r="J174" i="17"/>
  <c r="O174" i="17" s="1" a="1"/>
  <c r="O174" i="17" s="1"/>
  <c r="K174" i="17"/>
  <c r="L174" i="17"/>
  <c r="I175" i="17"/>
  <c r="N175" i="17" s="1" a="1"/>
  <c r="N175" i="17" s="1"/>
  <c r="J175" i="17"/>
  <c r="O175" i="17" s="1" a="1"/>
  <c r="O175" i="17" s="1"/>
  <c r="K175" i="17"/>
  <c r="L175" i="17"/>
  <c r="M175" i="17" s="1"/>
  <c r="I176" i="17"/>
  <c r="N176" i="17" s="1" a="1"/>
  <c r="N176" i="17" s="1"/>
  <c r="J176" i="17"/>
  <c r="O176" i="17" s="1" a="1"/>
  <c r="O176" i="17" s="1"/>
  <c r="K176" i="17"/>
  <c r="L176" i="17"/>
  <c r="M176" i="17" s="1"/>
  <c r="I177" i="17"/>
  <c r="N177" i="17" s="1" a="1"/>
  <c r="N177" i="17" s="1"/>
  <c r="J177" i="17"/>
  <c r="O177" i="17" s="1" a="1"/>
  <c r="O177" i="17" s="1"/>
  <c r="K177" i="17"/>
  <c r="L177" i="17"/>
  <c r="M177" i="17" s="1"/>
  <c r="I178" i="17"/>
  <c r="N178" i="17" s="1" a="1"/>
  <c r="N178" i="17" s="1"/>
  <c r="J178" i="17"/>
  <c r="O178" i="17" s="1" a="1"/>
  <c r="O178" i="17" s="1"/>
  <c r="K178" i="17"/>
  <c r="L178" i="17"/>
  <c r="M178" i="17" s="1"/>
  <c r="I179" i="17"/>
  <c r="N179" i="17" s="1" a="1"/>
  <c r="N179" i="17" s="1"/>
  <c r="J179" i="17"/>
  <c r="O179" i="17" s="1" a="1"/>
  <c r="O179" i="17" s="1"/>
  <c r="K179" i="17"/>
  <c r="L179" i="17"/>
  <c r="M179" i="17" s="1"/>
  <c r="I180" i="17"/>
  <c r="N180" i="17" s="1" a="1"/>
  <c r="N180" i="17" s="1"/>
  <c r="J180" i="17"/>
  <c r="O180" i="17" s="1" a="1"/>
  <c r="O180" i="17" s="1"/>
  <c r="K180" i="17"/>
  <c r="L180" i="17"/>
  <c r="M180" i="17" s="1"/>
  <c r="I181" i="17"/>
  <c r="N181" i="17" s="1" a="1"/>
  <c r="N181" i="17" s="1"/>
  <c r="J181" i="17"/>
  <c r="O181" i="17" s="1" a="1"/>
  <c r="O181" i="17" s="1"/>
  <c r="K181" i="17"/>
  <c r="L181" i="17"/>
  <c r="M181" i="17" s="1"/>
  <c r="I182" i="17"/>
  <c r="N182" i="17" s="1" a="1"/>
  <c r="N182" i="17" s="1"/>
  <c r="J182" i="17"/>
  <c r="O182" i="17" s="1" a="1"/>
  <c r="O182" i="17" s="1"/>
  <c r="K182" i="17"/>
  <c r="L182" i="17"/>
  <c r="M182" i="17" s="1"/>
  <c r="I183" i="17"/>
  <c r="N183" i="17" s="1" a="1"/>
  <c r="N183" i="17" s="1"/>
  <c r="J183" i="17"/>
  <c r="O183" i="17" s="1" a="1"/>
  <c r="O183" i="17" s="1"/>
  <c r="K183" i="17"/>
  <c r="L183" i="17"/>
  <c r="M183" i="17" s="1"/>
  <c r="I184" i="17"/>
  <c r="N184" i="17" s="1" a="1"/>
  <c r="N184" i="17" s="1"/>
  <c r="J184" i="17"/>
  <c r="O184" i="17" s="1" a="1"/>
  <c r="O184" i="17" s="1"/>
  <c r="K184" i="17"/>
  <c r="L184" i="17"/>
  <c r="M184" i="17" s="1"/>
  <c r="I185" i="17"/>
  <c r="N185" i="17" s="1" a="1"/>
  <c r="N185" i="17" s="1"/>
  <c r="J185" i="17"/>
  <c r="O185" i="17" s="1" a="1"/>
  <c r="O185" i="17" s="1"/>
  <c r="K185" i="17"/>
  <c r="L185" i="17"/>
  <c r="M185" i="17" s="1"/>
  <c r="I186" i="17"/>
  <c r="N186" i="17" s="1" a="1"/>
  <c r="N186" i="17" s="1"/>
  <c r="J186" i="17"/>
  <c r="O186" i="17" s="1" a="1"/>
  <c r="O186" i="17" s="1"/>
  <c r="K186" i="17"/>
  <c r="L186" i="17"/>
  <c r="M186" i="17" s="1"/>
  <c r="I187" i="17"/>
  <c r="N187" i="17" s="1" a="1"/>
  <c r="N187" i="17" s="1"/>
  <c r="J187" i="17"/>
  <c r="O187" i="17" s="1" a="1"/>
  <c r="O187" i="17" s="1"/>
  <c r="K187" i="17"/>
  <c r="L187" i="17"/>
  <c r="M187" i="17" s="1"/>
  <c r="I188" i="17"/>
  <c r="N188" i="17" s="1" a="1"/>
  <c r="N188" i="17" s="1"/>
  <c r="J188" i="17"/>
  <c r="O188" i="17" s="1" a="1"/>
  <c r="O188" i="17" s="1"/>
  <c r="K188" i="17"/>
  <c r="L188" i="17"/>
  <c r="M188" i="17" s="1"/>
  <c r="I189" i="17"/>
  <c r="N189" i="17" s="1" a="1"/>
  <c r="N189" i="17" s="1"/>
  <c r="J189" i="17"/>
  <c r="O189" i="17" s="1" a="1"/>
  <c r="O189" i="17" s="1"/>
  <c r="K189" i="17"/>
  <c r="L189" i="17"/>
  <c r="I190" i="17"/>
  <c r="N190" i="17" s="1" a="1"/>
  <c r="N190" i="17" s="1"/>
  <c r="J190" i="17"/>
  <c r="O190" i="17" s="1" a="1"/>
  <c r="O190" i="17" s="1"/>
  <c r="K190" i="17"/>
  <c r="L190" i="17"/>
  <c r="I191" i="17"/>
  <c r="N191" i="17" s="1" a="1"/>
  <c r="N191" i="17" s="1"/>
  <c r="J191" i="17"/>
  <c r="O191" i="17" s="1" a="1"/>
  <c r="O191" i="17" s="1"/>
  <c r="K191" i="17"/>
  <c r="L191" i="17"/>
  <c r="M191" i="17" s="1"/>
  <c r="I192" i="17"/>
  <c r="N192" i="17" s="1" a="1"/>
  <c r="N192" i="17" s="1"/>
  <c r="J192" i="17"/>
  <c r="O192" i="17" s="1" a="1"/>
  <c r="O192" i="17" s="1"/>
  <c r="K192" i="17"/>
  <c r="L192" i="17"/>
  <c r="M192" i="17" s="1"/>
  <c r="I193" i="17"/>
  <c r="N193" i="17" s="1" a="1"/>
  <c r="N193" i="17" s="1"/>
  <c r="J193" i="17"/>
  <c r="O193" i="17" s="1" a="1"/>
  <c r="O193" i="17" s="1"/>
  <c r="K193" i="17"/>
  <c r="L193" i="17"/>
  <c r="M193" i="17" s="1"/>
  <c r="I194" i="17"/>
  <c r="N194" i="17" s="1" a="1"/>
  <c r="N194" i="17" s="1"/>
  <c r="J194" i="17"/>
  <c r="O194" i="17" s="1" a="1"/>
  <c r="O194" i="17" s="1"/>
  <c r="K194" i="17"/>
  <c r="L194" i="17"/>
  <c r="M194" i="17" s="1"/>
  <c r="I195" i="17"/>
  <c r="N195" i="17" s="1" a="1"/>
  <c r="N195" i="17" s="1"/>
  <c r="J195" i="17"/>
  <c r="O195" i="17" s="1" a="1"/>
  <c r="O195" i="17" s="1"/>
  <c r="K195" i="17"/>
  <c r="L195" i="17"/>
  <c r="M195" i="17" s="1"/>
  <c r="I196" i="17"/>
  <c r="N196" i="17" s="1" a="1"/>
  <c r="N196" i="17" s="1"/>
  <c r="J196" i="17"/>
  <c r="O196" i="17" s="1" a="1"/>
  <c r="O196" i="17" s="1"/>
  <c r="K196" i="17"/>
  <c r="L196" i="17"/>
  <c r="M196" i="17" s="1"/>
  <c r="I197" i="17"/>
  <c r="N197" i="17" s="1" a="1"/>
  <c r="N197" i="17" s="1"/>
  <c r="J197" i="17"/>
  <c r="O197" i="17" s="1" a="1"/>
  <c r="O197" i="17" s="1"/>
  <c r="K197" i="17"/>
  <c r="L197" i="17"/>
  <c r="M197" i="17" s="1"/>
  <c r="I198" i="17"/>
  <c r="N198" i="17" s="1" a="1"/>
  <c r="N198" i="17" s="1"/>
  <c r="J198" i="17"/>
  <c r="O198" i="17" s="1" a="1"/>
  <c r="O198" i="17" s="1"/>
  <c r="K198" i="17"/>
  <c r="L198" i="17"/>
  <c r="M198" i="17" s="1"/>
  <c r="I199" i="17"/>
  <c r="N199" i="17" s="1" a="1"/>
  <c r="N199" i="17" s="1"/>
  <c r="J199" i="17"/>
  <c r="O199" i="17" s="1" a="1"/>
  <c r="O199" i="17" s="1"/>
  <c r="K199" i="17"/>
  <c r="L199" i="17"/>
  <c r="M199" i="17" s="1"/>
  <c r="I200" i="17"/>
  <c r="N200" i="17" s="1" a="1"/>
  <c r="N200" i="17" s="1"/>
  <c r="J200" i="17"/>
  <c r="O200" i="17" s="1" a="1"/>
  <c r="O200" i="17" s="1"/>
  <c r="K200" i="17"/>
  <c r="L200" i="17"/>
  <c r="M200" i="17" s="1"/>
  <c r="I201" i="17"/>
  <c r="N201" i="17" s="1" a="1"/>
  <c r="N201" i="17" s="1"/>
  <c r="J201" i="17"/>
  <c r="O201" i="17" s="1" a="1"/>
  <c r="O201" i="17" s="1"/>
  <c r="K201" i="17"/>
  <c r="L201" i="17"/>
  <c r="M201" i="17" s="1"/>
  <c r="I202" i="17"/>
  <c r="N202" i="17" s="1" a="1"/>
  <c r="N202" i="17" s="1"/>
  <c r="J202" i="17"/>
  <c r="O202" i="17" s="1" a="1"/>
  <c r="O202" i="17" s="1"/>
  <c r="K202" i="17"/>
  <c r="L202" i="17"/>
  <c r="M202" i="17" s="1"/>
  <c r="I203" i="17"/>
  <c r="N203" i="17" s="1" a="1"/>
  <c r="N203" i="17" s="1"/>
  <c r="J203" i="17"/>
  <c r="O203" i="17" s="1" a="1"/>
  <c r="O203" i="17" s="1"/>
  <c r="K203" i="17"/>
  <c r="L203" i="17"/>
  <c r="M203" i="17" s="1"/>
  <c r="I204" i="17"/>
  <c r="N204" i="17" s="1" a="1"/>
  <c r="N204" i="17" s="1"/>
  <c r="J204" i="17"/>
  <c r="O204" i="17" s="1" a="1"/>
  <c r="O204" i="17" s="1"/>
  <c r="K204" i="17"/>
  <c r="L204" i="17"/>
  <c r="M204" i="17" s="1"/>
  <c r="I205" i="17"/>
  <c r="N205" i="17" s="1" a="1"/>
  <c r="N205" i="17" s="1"/>
  <c r="J205" i="17"/>
  <c r="O205" i="17" s="1" a="1"/>
  <c r="O205" i="17" s="1"/>
  <c r="K205" i="17"/>
  <c r="L205" i="17"/>
  <c r="I206" i="17"/>
  <c r="N206" i="17" s="1" a="1"/>
  <c r="N206" i="17" s="1"/>
  <c r="J206" i="17"/>
  <c r="O206" i="17" s="1" a="1"/>
  <c r="O206" i="17" s="1"/>
  <c r="K206" i="17"/>
  <c r="L206" i="17"/>
  <c r="I207" i="17"/>
  <c r="N207" i="17" s="1" a="1"/>
  <c r="N207" i="17" s="1"/>
  <c r="J207" i="17"/>
  <c r="O207" i="17" s="1" a="1"/>
  <c r="O207" i="17" s="1"/>
  <c r="K207" i="17"/>
  <c r="L207" i="17"/>
  <c r="M207" i="17" s="1"/>
  <c r="I208" i="17"/>
  <c r="N208" i="17" s="1" a="1"/>
  <c r="N208" i="17" s="1"/>
  <c r="J208" i="17"/>
  <c r="O208" i="17" s="1" a="1"/>
  <c r="O208" i="17" s="1"/>
  <c r="K208" i="17"/>
  <c r="L208" i="17"/>
  <c r="M208" i="17" s="1"/>
  <c r="I209" i="17"/>
  <c r="N209" i="17" s="1" a="1"/>
  <c r="N209" i="17" s="1"/>
  <c r="J209" i="17"/>
  <c r="O209" i="17" s="1" a="1"/>
  <c r="O209" i="17" s="1"/>
  <c r="K209" i="17"/>
  <c r="L209" i="17"/>
  <c r="M209" i="17" s="1"/>
  <c r="I210" i="17"/>
  <c r="N210" i="17" s="1" a="1"/>
  <c r="N210" i="17" s="1"/>
  <c r="J210" i="17"/>
  <c r="O210" i="17" s="1" a="1"/>
  <c r="O210" i="17" s="1"/>
  <c r="K210" i="17"/>
  <c r="L210" i="17"/>
  <c r="M210" i="17" s="1"/>
  <c r="I211" i="17"/>
  <c r="N211" i="17" s="1" a="1"/>
  <c r="N211" i="17" s="1"/>
  <c r="J211" i="17"/>
  <c r="O211" i="17" s="1" a="1"/>
  <c r="O211" i="17" s="1"/>
  <c r="K211" i="17"/>
  <c r="L211" i="17"/>
  <c r="M211" i="17" s="1"/>
  <c r="I212" i="17"/>
  <c r="N212" i="17" s="1" a="1"/>
  <c r="N212" i="17" s="1"/>
  <c r="J212" i="17"/>
  <c r="O212" i="17" s="1" a="1"/>
  <c r="O212" i="17" s="1"/>
  <c r="K212" i="17"/>
  <c r="L212" i="17"/>
  <c r="M212" i="17" s="1"/>
  <c r="I213" i="17"/>
  <c r="N213" i="17" s="1" a="1"/>
  <c r="N213" i="17" s="1"/>
  <c r="J213" i="17"/>
  <c r="O213" i="17" s="1" a="1"/>
  <c r="O213" i="17" s="1"/>
  <c r="K213" i="17"/>
  <c r="L213" i="17"/>
  <c r="M213" i="17" s="1"/>
  <c r="I214" i="17"/>
  <c r="N214" i="17" s="1" a="1"/>
  <c r="N214" i="17" s="1"/>
  <c r="J214" i="17"/>
  <c r="O214" i="17" s="1" a="1"/>
  <c r="O214" i="17" s="1"/>
  <c r="K214" i="17"/>
  <c r="L214" i="17"/>
  <c r="M214" i="17" s="1"/>
  <c r="I215" i="17"/>
  <c r="N215" i="17" s="1" a="1"/>
  <c r="N215" i="17" s="1"/>
  <c r="J215" i="17"/>
  <c r="O215" i="17" s="1" a="1"/>
  <c r="O215" i="17" s="1"/>
  <c r="K215" i="17"/>
  <c r="L215" i="17"/>
  <c r="M215" i="17" s="1"/>
  <c r="I216" i="17"/>
  <c r="N216" i="17" s="1" a="1"/>
  <c r="N216" i="17" s="1"/>
  <c r="J216" i="17"/>
  <c r="O216" i="17" s="1" a="1"/>
  <c r="O216" i="17" s="1"/>
  <c r="K216" i="17"/>
  <c r="L216" i="17"/>
  <c r="M216" i="17" s="1"/>
  <c r="I217" i="17"/>
  <c r="N217" i="17" s="1" a="1"/>
  <c r="N217" i="17" s="1"/>
  <c r="J217" i="17"/>
  <c r="O217" i="17" s="1" a="1"/>
  <c r="O217" i="17" s="1"/>
  <c r="K217" i="17"/>
  <c r="L217" i="17"/>
  <c r="M217" i="17" s="1"/>
  <c r="I218" i="17"/>
  <c r="N218" i="17" s="1" a="1"/>
  <c r="N218" i="17" s="1"/>
  <c r="J218" i="17"/>
  <c r="O218" i="17" s="1" a="1"/>
  <c r="O218" i="17" s="1"/>
  <c r="K218" i="17"/>
  <c r="L218" i="17"/>
  <c r="M218" i="17" s="1"/>
  <c r="I219" i="17"/>
  <c r="N219" i="17" s="1" a="1"/>
  <c r="N219" i="17" s="1"/>
  <c r="J219" i="17"/>
  <c r="O219" i="17" s="1" a="1"/>
  <c r="O219" i="17" s="1"/>
  <c r="K219" i="17"/>
  <c r="L219" i="17"/>
  <c r="M219" i="17" s="1"/>
  <c r="I220" i="17"/>
  <c r="N220" i="17" s="1" a="1"/>
  <c r="N220" i="17" s="1"/>
  <c r="J220" i="17"/>
  <c r="O220" i="17" s="1" a="1"/>
  <c r="O220" i="17" s="1"/>
  <c r="K220" i="17"/>
  <c r="L220" i="17"/>
  <c r="M220" i="17" s="1"/>
  <c r="I221" i="17"/>
  <c r="N221" i="17" s="1" a="1"/>
  <c r="N221" i="17" s="1"/>
  <c r="J221" i="17"/>
  <c r="O221" i="17" s="1" a="1"/>
  <c r="O221" i="17" s="1"/>
  <c r="K221" i="17"/>
  <c r="L221" i="17"/>
  <c r="I222" i="17"/>
  <c r="N222" i="17" s="1" a="1"/>
  <c r="N222" i="17" s="1"/>
  <c r="J222" i="17"/>
  <c r="O222" i="17" s="1" a="1"/>
  <c r="O222" i="17" s="1"/>
  <c r="K222" i="17"/>
  <c r="L222" i="17"/>
  <c r="I223" i="17"/>
  <c r="N223" i="17" s="1" a="1"/>
  <c r="N223" i="17" s="1"/>
  <c r="J223" i="17"/>
  <c r="O223" i="17" s="1" a="1"/>
  <c r="O223" i="17" s="1"/>
  <c r="K223" i="17"/>
  <c r="L223" i="17"/>
  <c r="M223" i="17" s="1"/>
  <c r="I224" i="17"/>
  <c r="N224" i="17" s="1" a="1"/>
  <c r="N224" i="17" s="1"/>
  <c r="J224" i="17"/>
  <c r="O224" i="17" s="1" a="1"/>
  <c r="O224" i="17" s="1"/>
  <c r="K224" i="17"/>
  <c r="L224" i="17"/>
  <c r="M224" i="17" s="1"/>
  <c r="I225" i="17"/>
  <c r="N225" i="17" s="1" a="1"/>
  <c r="N225" i="17" s="1"/>
  <c r="J225" i="17"/>
  <c r="O225" i="17" s="1" a="1"/>
  <c r="O225" i="17" s="1"/>
  <c r="K225" i="17"/>
  <c r="L225" i="17"/>
  <c r="M225" i="17" s="1"/>
  <c r="I226" i="17"/>
  <c r="N226" i="17" s="1" a="1"/>
  <c r="N226" i="17" s="1"/>
  <c r="J226" i="17"/>
  <c r="O226" i="17" s="1" a="1"/>
  <c r="O226" i="17" s="1"/>
  <c r="K226" i="17"/>
  <c r="L226" i="17"/>
  <c r="M226" i="17" s="1"/>
  <c r="I227" i="17"/>
  <c r="N227" i="17" s="1" a="1"/>
  <c r="N227" i="17" s="1"/>
  <c r="J227" i="17"/>
  <c r="O227" i="17" s="1" a="1"/>
  <c r="O227" i="17" s="1"/>
  <c r="K227" i="17"/>
  <c r="L227" i="17"/>
  <c r="M227" i="17" s="1"/>
  <c r="I228" i="17"/>
  <c r="N228" i="17" s="1" a="1"/>
  <c r="N228" i="17" s="1"/>
  <c r="J228" i="17"/>
  <c r="O228" i="17" s="1" a="1"/>
  <c r="O228" i="17" s="1"/>
  <c r="K228" i="17"/>
  <c r="L228" i="17"/>
  <c r="M228" i="17" s="1"/>
  <c r="I229" i="17"/>
  <c r="N229" i="17" s="1" a="1"/>
  <c r="N229" i="17" s="1"/>
  <c r="J229" i="17"/>
  <c r="O229" i="17" s="1" a="1"/>
  <c r="O229" i="17" s="1"/>
  <c r="K229" i="17"/>
  <c r="L229" i="17"/>
  <c r="M229" i="17" s="1"/>
  <c r="I230" i="17"/>
  <c r="N230" i="17" s="1" a="1"/>
  <c r="N230" i="17" s="1"/>
  <c r="J230" i="17"/>
  <c r="O230" i="17" s="1" a="1"/>
  <c r="O230" i="17" s="1"/>
  <c r="K230" i="17"/>
  <c r="L230" i="17"/>
  <c r="M230" i="17" s="1"/>
  <c r="I231" i="17"/>
  <c r="N231" i="17" s="1" a="1"/>
  <c r="N231" i="17" s="1"/>
  <c r="J231" i="17"/>
  <c r="O231" i="17" s="1" a="1"/>
  <c r="O231" i="17" s="1"/>
  <c r="K231" i="17"/>
  <c r="L231" i="17"/>
  <c r="M231" i="17" s="1"/>
  <c r="I232" i="17"/>
  <c r="N232" i="17" s="1" a="1"/>
  <c r="N232" i="17" s="1"/>
  <c r="J232" i="17"/>
  <c r="O232" i="17" s="1" a="1"/>
  <c r="O232" i="17" s="1"/>
  <c r="K232" i="17"/>
  <c r="L232" i="17"/>
  <c r="M232" i="17" s="1"/>
  <c r="I233" i="17"/>
  <c r="N233" i="17" s="1" a="1"/>
  <c r="N233" i="17" s="1"/>
  <c r="J233" i="17"/>
  <c r="O233" i="17" s="1" a="1"/>
  <c r="O233" i="17" s="1"/>
  <c r="K233" i="17"/>
  <c r="L233" i="17"/>
  <c r="M233" i="17" s="1"/>
  <c r="I234" i="17"/>
  <c r="N234" i="17" s="1" a="1"/>
  <c r="N234" i="17" s="1"/>
  <c r="J234" i="17"/>
  <c r="O234" i="17" s="1" a="1"/>
  <c r="O234" i="17" s="1"/>
  <c r="K234" i="17"/>
  <c r="L234" i="17"/>
  <c r="M234" i="17" s="1"/>
  <c r="I235" i="17"/>
  <c r="N235" i="17" s="1" a="1"/>
  <c r="N235" i="17" s="1"/>
  <c r="J235" i="17"/>
  <c r="O235" i="17" s="1" a="1"/>
  <c r="O235" i="17" s="1"/>
  <c r="K235" i="17"/>
  <c r="L235" i="17"/>
  <c r="M235" i="17" s="1"/>
  <c r="I236" i="17"/>
  <c r="N236" i="17" s="1" a="1"/>
  <c r="N236" i="17" s="1"/>
  <c r="J236" i="17"/>
  <c r="O236" i="17" s="1" a="1"/>
  <c r="O236" i="17" s="1"/>
  <c r="K236" i="17"/>
  <c r="L236" i="17"/>
  <c r="M236" i="17" s="1"/>
  <c r="I237" i="17"/>
  <c r="N237" i="17" s="1" a="1"/>
  <c r="N237" i="17" s="1"/>
  <c r="J237" i="17"/>
  <c r="O237" i="17" s="1" a="1"/>
  <c r="O237" i="17" s="1"/>
  <c r="K237" i="17"/>
  <c r="L237" i="17"/>
  <c r="I238" i="17"/>
  <c r="N238" i="17" s="1" a="1"/>
  <c r="N238" i="17" s="1"/>
  <c r="J238" i="17"/>
  <c r="O238" i="17" s="1" a="1"/>
  <c r="O238" i="17" s="1"/>
  <c r="K238" i="17"/>
  <c r="L238" i="17"/>
  <c r="I239" i="17"/>
  <c r="N239" i="17" s="1" a="1"/>
  <c r="N239" i="17" s="1"/>
  <c r="J239" i="17"/>
  <c r="O239" i="17" s="1" a="1"/>
  <c r="O239" i="17" s="1"/>
  <c r="K239" i="17"/>
  <c r="L239" i="17"/>
  <c r="M239" i="17" s="1"/>
  <c r="I240" i="17"/>
  <c r="N240" i="17" s="1" a="1"/>
  <c r="N240" i="17" s="1"/>
  <c r="J240" i="17"/>
  <c r="O240" i="17" s="1" a="1"/>
  <c r="O240" i="17" s="1"/>
  <c r="K240" i="17"/>
  <c r="L240" i="17"/>
  <c r="M240" i="17" s="1"/>
  <c r="I241" i="17"/>
  <c r="N241" i="17" s="1" a="1"/>
  <c r="N241" i="17" s="1"/>
  <c r="J241" i="17"/>
  <c r="O241" i="17" s="1" a="1"/>
  <c r="O241" i="17" s="1"/>
  <c r="K241" i="17"/>
  <c r="L241" i="17"/>
  <c r="M241" i="17" s="1"/>
  <c r="I242" i="17"/>
  <c r="N242" i="17" s="1" a="1"/>
  <c r="N242" i="17" s="1"/>
  <c r="J242" i="17"/>
  <c r="O242" i="17" s="1" a="1"/>
  <c r="O242" i="17" s="1"/>
  <c r="K242" i="17"/>
  <c r="L242" i="17"/>
  <c r="M242" i="17" s="1"/>
  <c r="I243" i="17"/>
  <c r="N243" i="17" s="1" a="1"/>
  <c r="N243" i="17" s="1"/>
  <c r="J243" i="17"/>
  <c r="O243" i="17" s="1" a="1"/>
  <c r="O243" i="17" s="1"/>
  <c r="K243" i="17"/>
  <c r="L243" i="17"/>
  <c r="M243" i="17" s="1"/>
  <c r="I244" i="17"/>
  <c r="N244" i="17" s="1" a="1"/>
  <c r="N244" i="17" s="1"/>
  <c r="J244" i="17"/>
  <c r="O244" i="17" s="1" a="1"/>
  <c r="O244" i="17" s="1"/>
  <c r="K244" i="17"/>
  <c r="L244" i="17"/>
  <c r="M244" i="17" s="1"/>
  <c r="I245" i="17"/>
  <c r="N245" i="17" s="1" a="1"/>
  <c r="N245" i="17" s="1"/>
  <c r="J245" i="17"/>
  <c r="O245" i="17" s="1" a="1"/>
  <c r="O245" i="17" s="1"/>
  <c r="K245" i="17"/>
  <c r="L245" i="17"/>
  <c r="M245" i="17" s="1"/>
  <c r="I246" i="17"/>
  <c r="N246" i="17" s="1" a="1"/>
  <c r="N246" i="17" s="1"/>
  <c r="J246" i="17"/>
  <c r="O246" i="17" s="1" a="1"/>
  <c r="O246" i="17" s="1"/>
  <c r="K246" i="17"/>
  <c r="L246" i="17"/>
  <c r="M246" i="17" s="1"/>
  <c r="I247" i="17"/>
  <c r="N247" i="17" s="1" a="1"/>
  <c r="N247" i="17" s="1"/>
  <c r="J247" i="17"/>
  <c r="O247" i="17" s="1" a="1"/>
  <c r="O247" i="17" s="1"/>
  <c r="K247" i="17"/>
  <c r="L247" i="17"/>
  <c r="M247" i="17" s="1"/>
  <c r="I248" i="17"/>
  <c r="N248" i="17" s="1" a="1"/>
  <c r="N248" i="17" s="1"/>
  <c r="J248" i="17"/>
  <c r="O248" i="17" s="1" a="1"/>
  <c r="O248" i="17" s="1"/>
  <c r="K248" i="17"/>
  <c r="L248" i="17"/>
  <c r="M248" i="17" s="1"/>
  <c r="I249" i="17"/>
  <c r="N249" i="17" s="1" a="1"/>
  <c r="N249" i="17" s="1"/>
  <c r="J249" i="17"/>
  <c r="O249" i="17" s="1" a="1"/>
  <c r="O249" i="17" s="1"/>
  <c r="K249" i="17"/>
  <c r="L249" i="17"/>
  <c r="M249" i="17" s="1"/>
  <c r="I250" i="17"/>
  <c r="N250" i="17" s="1" a="1"/>
  <c r="N250" i="17" s="1"/>
  <c r="J250" i="17"/>
  <c r="O250" i="17" s="1" a="1"/>
  <c r="O250" i="17" s="1"/>
  <c r="K250" i="17"/>
  <c r="L250" i="17"/>
  <c r="M250" i="17" s="1"/>
  <c r="I251" i="17"/>
  <c r="N251" i="17" s="1" a="1"/>
  <c r="N251" i="17" s="1"/>
  <c r="J251" i="17"/>
  <c r="O251" i="17" s="1" a="1"/>
  <c r="O251" i="17" s="1"/>
  <c r="K251" i="17"/>
  <c r="L251" i="17"/>
  <c r="M251" i="17" s="1"/>
  <c r="I252" i="17"/>
  <c r="N252" i="17" s="1" a="1"/>
  <c r="N252" i="17" s="1"/>
  <c r="J252" i="17"/>
  <c r="O252" i="17" s="1" a="1"/>
  <c r="O252" i="17" s="1"/>
  <c r="K252" i="17"/>
  <c r="L252" i="17"/>
  <c r="M252" i="17" s="1"/>
  <c r="I253" i="17"/>
  <c r="N253" i="17" s="1" a="1"/>
  <c r="N253" i="17" s="1"/>
  <c r="J253" i="17"/>
  <c r="O253" i="17" s="1" a="1"/>
  <c r="O253" i="17" s="1"/>
  <c r="K253" i="17"/>
  <c r="L253" i="17"/>
  <c r="I254" i="17"/>
  <c r="N254" i="17" s="1" a="1"/>
  <c r="N254" i="17" s="1"/>
  <c r="J254" i="17"/>
  <c r="O254" i="17" s="1" a="1"/>
  <c r="O254" i="17" s="1"/>
  <c r="K254" i="17"/>
  <c r="L254" i="17"/>
  <c r="I255" i="17"/>
  <c r="N255" i="17" s="1" a="1"/>
  <c r="N255" i="17" s="1"/>
  <c r="J255" i="17"/>
  <c r="O255" i="17" s="1" a="1"/>
  <c r="O255" i="17" s="1"/>
  <c r="K255" i="17"/>
  <c r="L255" i="17"/>
  <c r="M255" i="17" s="1"/>
  <c r="I256" i="17"/>
  <c r="N256" i="17" s="1" a="1"/>
  <c r="N256" i="17" s="1"/>
  <c r="J256" i="17"/>
  <c r="O256" i="17" s="1" a="1"/>
  <c r="O256" i="17" s="1"/>
  <c r="K256" i="17"/>
  <c r="L256" i="17"/>
  <c r="M256" i="17" s="1"/>
  <c r="I257" i="17"/>
  <c r="N257" i="17" s="1" a="1"/>
  <c r="N257" i="17" s="1"/>
  <c r="J257" i="17"/>
  <c r="O257" i="17" s="1" a="1"/>
  <c r="O257" i="17" s="1"/>
  <c r="K257" i="17"/>
  <c r="L257" i="17"/>
  <c r="M257" i="17" s="1"/>
  <c r="I258" i="17"/>
  <c r="N258" i="17" s="1" a="1"/>
  <c r="N258" i="17" s="1"/>
  <c r="J258" i="17"/>
  <c r="O258" i="17" s="1" a="1"/>
  <c r="O258" i="17" s="1"/>
  <c r="K258" i="17"/>
  <c r="L258" i="17"/>
  <c r="M258" i="17" s="1"/>
  <c r="I259" i="17"/>
  <c r="N259" i="17" s="1" a="1"/>
  <c r="N259" i="17" s="1"/>
  <c r="J259" i="17"/>
  <c r="O259" i="17" s="1" a="1"/>
  <c r="O259" i="17" s="1"/>
  <c r="K259" i="17"/>
  <c r="L259" i="17"/>
  <c r="M259" i="17" s="1"/>
  <c r="I260" i="17"/>
  <c r="N260" i="17" s="1" a="1"/>
  <c r="N260" i="17" s="1"/>
  <c r="J260" i="17"/>
  <c r="O260" i="17" s="1" a="1"/>
  <c r="O260" i="17" s="1"/>
  <c r="K260" i="17"/>
  <c r="L260" i="17"/>
  <c r="M260" i="17" s="1"/>
  <c r="I261" i="17"/>
  <c r="N261" i="17" s="1" a="1"/>
  <c r="N261" i="17" s="1"/>
  <c r="J261" i="17"/>
  <c r="O261" i="17" s="1" a="1"/>
  <c r="O261" i="17" s="1"/>
  <c r="K261" i="17"/>
  <c r="L261" i="17"/>
  <c r="M261" i="17" s="1"/>
  <c r="I262" i="17"/>
  <c r="N262" i="17" s="1" a="1"/>
  <c r="N262" i="17" s="1"/>
  <c r="J262" i="17"/>
  <c r="O262" i="17" s="1" a="1"/>
  <c r="O262" i="17" s="1"/>
  <c r="K262" i="17"/>
  <c r="L262" i="17"/>
  <c r="M262" i="17" s="1"/>
  <c r="I263" i="17"/>
  <c r="N263" i="17" s="1" a="1"/>
  <c r="N263" i="17" s="1"/>
  <c r="J263" i="17"/>
  <c r="O263" i="17" s="1" a="1"/>
  <c r="O263" i="17" s="1"/>
  <c r="K263" i="17"/>
  <c r="L263" i="17"/>
  <c r="M263" i="17" s="1"/>
  <c r="I264" i="17"/>
  <c r="N264" i="17" s="1" a="1"/>
  <c r="N264" i="17" s="1"/>
  <c r="J264" i="17"/>
  <c r="O264" i="17" s="1" a="1"/>
  <c r="O264" i="17" s="1"/>
  <c r="K264" i="17"/>
  <c r="L264" i="17"/>
  <c r="M264" i="17" s="1"/>
  <c r="I265" i="17"/>
  <c r="N265" i="17" s="1" a="1"/>
  <c r="N265" i="17" s="1"/>
  <c r="J265" i="17"/>
  <c r="O265" i="17" s="1" a="1"/>
  <c r="O265" i="17" s="1"/>
  <c r="K265" i="17"/>
  <c r="L265" i="17"/>
  <c r="M265" i="17" s="1"/>
  <c r="I266" i="17"/>
  <c r="N266" i="17" s="1" a="1"/>
  <c r="N266" i="17" s="1"/>
  <c r="J266" i="17"/>
  <c r="O266" i="17" s="1" a="1"/>
  <c r="O266" i="17" s="1"/>
  <c r="K266" i="17"/>
  <c r="L266" i="17"/>
  <c r="M266" i="17" s="1"/>
  <c r="I267" i="17"/>
  <c r="N267" i="17" s="1" a="1"/>
  <c r="N267" i="17" s="1"/>
  <c r="J267" i="17"/>
  <c r="O267" i="17" s="1" a="1"/>
  <c r="O267" i="17" s="1"/>
  <c r="K267" i="17"/>
  <c r="L267" i="17"/>
  <c r="M267" i="17" s="1"/>
  <c r="I268" i="17"/>
  <c r="N268" i="17" s="1" a="1"/>
  <c r="N268" i="17" s="1"/>
  <c r="J268" i="17"/>
  <c r="O268" i="17" s="1" a="1"/>
  <c r="O268" i="17" s="1"/>
  <c r="K268" i="17"/>
  <c r="L268" i="17"/>
  <c r="M268" i="17" s="1"/>
  <c r="I269" i="17"/>
  <c r="N269" i="17" s="1" a="1"/>
  <c r="N269" i="17" s="1"/>
  <c r="J269" i="17"/>
  <c r="O269" i="17" s="1" a="1"/>
  <c r="O269" i="17" s="1"/>
  <c r="K269" i="17"/>
  <c r="L269" i="17"/>
  <c r="I270" i="17"/>
  <c r="N270" i="17" s="1" a="1"/>
  <c r="N270" i="17" s="1"/>
  <c r="J270" i="17"/>
  <c r="O270" i="17" s="1" a="1"/>
  <c r="O270" i="17" s="1"/>
  <c r="K270" i="17"/>
  <c r="L270" i="17"/>
  <c r="I271" i="17"/>
  <c r="N271" i="17" s="1" a="1"/>
  <c r="N271" i="17" s="1"/>
  <c r="J271" i="17"/>
  <c r="O271" i="17" s="1" a="1"/>
  <c r="O271" i="17" s="1"/>
  <c r="K271" i="17"/>
  <c r="L271" i="17"/>
  <c r="M271" i="17" s="1"/>
  <c r="I272" i="17"/>
  <c r="N272" i="17" s="1" a="1"/>
  <c r="N272" i="17" s="1"/>
  <c r="J272" i="17"/>
  <c r="O272" i="17" s="1" a="1"/>
  <c r="O272" i="17" s="1"/>
  <c r="K272" i="17"/>
  <c r="L272" i="17"/>
  <c r="M272" i="17" s="1"/>
  <c r="I273" i="17"/>
  <c r="N273" i="17" s="1" a="1"/>
  <c r="N273" i="17" s="1"/>
  <c r="J273" i="17"/>
  <c r="O273" i="17" s="1" a="1"/>
  <c r="O273" i="17" s="1"/>
  <c r="K273" i="17"/>
  <c r="L273" i="17"/>
  <c r="M273" i="17" s="1"/>
  <c r="I274" i="17"/>
  <c r="N274" i="17" s="1" a="1"/>
  <c r="N274" i="17" s="1"/>
  <c r="J274" i="17"/>
  <c r="O274" i="17" s="1" a="1"/>
  <c r="O274" i="17" s="1"/>
  <c r="K274" i="17"/>
  <c r="L274" i="17"/>
  <c r="M274" i="17" s="1"/>
  <c r="I275" i="17"/>
  <c r="N275" i="17" s="1" a="1"/>
  <c r="N275" i="17" s="1"/>
  <c r="J275" i="17"/>
  <c r="O275" i="17" s="1" a="1"/>
  <c r="O275" i="17" s="1"/>
  <c r="K275" i="17"/>
  <c r="L275" i="17"/>
  <c r="M275" i="17" s="1"/>
  <c r="I276" i="17"/>
  <c r="N276" i="17" s="1" a="1"/>
  <c r="N276" i="17" s="1"/>
  <c r="J276" i="17"/>
  <c r="O276" i="17" s="1" a="1"/>
  <c r="O276" i="17" s="1"/>
  <c r="K276" i="17"/>
  <c r="L276" i="17"/>
  <c r="M276" i="17" s="1"/>
  <c r="I277" i="17"/>
  <c r="N277" i="17" s="1" a="1"/>
  <c r="N277" i="17" s="1"/>
  <c r="J277" i="17"/>
  <c r="O277" i="17" s="1" a="1"/>
  <c r="O277" i="17" s="1"/>
  <c r="K277" i="17"/>
  <c r="L277" i="17"/>
  <c r="M277" i="17" s="1"/>
  <c r="I278" i="17"/>
  <c r="N278" i="17" s="1" a="1"/>
  <c r="N278" i="17" s="1"/>
  <c r="J278" i="17"/>
  <c r="O278" i="17" s="1" a="1"/>
  <c r="O278" i="17" s="1"/>
  <c r="K278" i="17"/>
  <c r="L278" i="17"/>
  <c r="M278" i="17" s="1"/>
  <c r="I279" i="17"/>
  <c r="N279" i="17" s="1" a="1"/>
  <c r="N279" i="17" s="1"/>
  <c r="J279" i="17"/>
  <c r="O279" i="17" s="1" a="1"/>
  <c r="O279" i="17" s="1"/>
  <c r="K279" i="17"/>
  <c r="L279" i="17"/>
  <c r="M279" i="17" s="1"/>
  <c r="I280" i="17"/>
  <c r="N280" i="17" s="1" a="1"/>
  <c r="N280" i="17" s="1"/>
  <c r="J280" i="17"/>
  <c r="O280" i="17" s="1" a="1"/>
  <c r="O280" i="17" s="1"/>
  <c r="K280" i="17"/>
  <c r="L280" i="17"/>
  <c r="M280" i="17" s="1"/>
  <c r="I281" i="17"/>
  <c r="N281" i="17" s="1" a="1"/>
  <c r="N281" i="17" s="1"/>
  <c r="J281" i="17"/>
  <c r="O281" i="17" s="1" a="1"/>
  <c r="O281" i="17" s="1"/>
  <c r="K281" i="17"/>
  <c r="L281" i="17"/>
  <c r="M281" i="17" s="1"/>
  <c r="I282" i="17"/>
  <c r="N282" i="17" s="1" a="1"/>
  <c r="N282" i="17" s="1"/>
  <c r="J282" i="17"/>
  <c r="O282" i="17" s="1" a="1"/>
  <c r="O282" i="17" s="1"/>
  <c r="K282" i="17"/>
  <c r="L282" i="17"/>
  <c r="M282" i="17" s="1"/>
  <c r="I283" i="17"/>
  <c r="N283" i="17" s="1" a="1"/>
  <c r="N283" i="17" s="1"/>
  <c r="J283" i="17"/>
  <c r="O283" i="17" s="1" a="1"/>
  <c r="O283" i="17" s="1"/>
  <c r="K283" i="17"/>
  <c r="L283" i="17"/>
  <c r="M283" i="17" s="1"/>
  <c r="I284" i="17"/>
  <c r="N284" i="17" s="1" a="1"/>
  <c r="N284" i="17" s="1"/>
  <c r="J284" i="17"/>
  <c r="O284" i="17" s="1" a="1"/>
  <c r="O284" i="17" s="1"/>
  <c r="K284" i="17"/>
  <c r="L284" i="17"/>
  <c r="M284" i="17" s="1"/>
  <c r="I285" i="17"/>
  <c r="J285" i="17"/>
  <c r="O285" i="17" s="1" a="1"/>
  <c r="O285" i="17" s="1"/>
  <c r="K285" i="17"/>
  <c r="L285" i="17"/>
  <c r="I286" i="17"/>
  <c r="N286" i="17" s="1" a="1"/>
  <c r="N286" i="17" s="1"/>
  <c r="J286" i="17"/>
  <c r="O286" i="17" s="1" a="1"/>
  <c r="O286" i="17" s="1"/>
  <c r="K286" i="17"/>
  <c r="L286" i="17"/>
  <c r="I287" i="17"/>
  <c r="N287" i="17" s="1" a="1"/>
  <c r="N287" i="17" s="1"/>
  <c r="J287" i="17"/>
  <c r="O287" i="17" s="1" a="1"/>
  <c r="O287" i="17" s="1"/>
  <c r="K287" i="17"/>
  <c r="L287" i="17"/>
  <c r="M287" i="17" s="1"/>
  <c r="I288" i="17"/>
  <c r="N288" i="17" s="1" a="1"/>
  <c r="N288" i="17" s="1"/>
  <c r="J288" i="17"/>
  <c r="O288" i="17" s="1" a="1"/>
  <c r="O288" i="17" s="1"/>
  <c r="K288" i="17"/>
  <c r="L288" i="17"/>
  <c r="M288" i="17" s="1"/>
  <c r="I289" i="17"/>
  <c r="N289" i="17" s="1" a="1"/>
  <c r="N289" i="17" s="1"/>
  <c r="J289" i="17"/>
  <c r="O289" i="17" s="1" a="1"/>
  <c r="O289" i="17" s="1"/>
  <c r="K289" i="17"/>
  <c r="L289" i="17"/>
  <c r="M289" i="17" s="1"/>
  <c r="I290" i="17"/>
  <c r="N290" i="17" s="1" a="1"/>
  <c r="N290" i="17" s="1"/>
  <c r="J290" i="17"/>
  <c r="O290" i="17" s="1" a="1"/>
  <c r="O290" i="17" s="1"/>
  <c r="K290" i="17"/>
  <c r="L290" i="17"/>
  <c r="M290" i="17" s="1"/>
  <c r="I291" i="17"/>
  <c r="N291" i="17" s="1" a="1"/>
  <c r="N291" i="17" s="1"/>
  <c r="J291" i="17"/>
  <c r="O291" i="17" s="1" a="1"/>
  <c r="O291" i="17" s="1"/>
  <c r="K291" i="17"/>
  <c r="L291" i="17"/>
  <c r="M291" i="17" s="1"/>
  <c r="I292" i="17"/>
  <c r="N292" i="17" s="1" a="1"/>
  <c r="N292" i="17" s="1"/>
  <c r="J292" i="17"/>
  <c r="O292" i="17" s="1" a="1"/>
  <c r="O292" i="17" s="1"/>
  <c r="K292" i="17"/>
  <c r="L292" i="17"/>
  <c r="M292" i="17" s="1"/>
  <c r="I293" i="17"/>
  <c r="N293" i="17" s="1" a="1"/>
  <c r="N293" i="17" s="1"/>
  <c r="J293" i="17"/>
  <c r="O293" i="17" s="1" a="1"/>
  <c r="O293" i="17" s="1"/>
  <c r="K293" i="17"/>
  <c r="L293" i="17"/>
  <c r="M293" i="17" s="1"/>
  <c r="I294" i="17"/>
  <c r="N294" i="17" s="1" a="1"/>
  <c r="N294" i="17" s="1"/>
  <c r="J294" i="17"/>
  <c r="O294" i="17" s="1" a="1"/>
  <c r="O294" i="17" s="1"/>
  <c r="K294" i="17"/>
  <c r="L294" i="17"/>
  <c r="M294" i="17" s="1"/>
  <c r="I295" i="17"/>
  <c r="N295" i="17" s="1" a="1"/>
  <c r="N295" i="17" s="1"/>
  <c r="J295" i="17"/>
  <c r="O295" i="17" s="1" a="1"/>
  <c r="O295" i="17" s="1"/>
  <c r="K295" i="17"/>
  <c r="L295" i="17"/>
  <c r="M295" i="17" s="1"/>
  <c r="I296" i="17"/>
  <c r="N296" i="17" s="1" a="1"/>
  <c r="N296" i="17" s="1"/>
  <c r="J296" i="17"/>
  <c r="O296" i="17" s="1" a="1"/>
  <c r="O296" i="17" s="1"/>
  <c r="K296" i="17"/>
  <c r="L296" i="17"/>
  <c r="M296" i="17" s="1"/>
  <c r="I297" i="17"/>
  <c r="N297" i="17" s="1" a="1"/>
  <c r="N297" i="17" s="1"/>
  <c r="J297" i="17"/>
  <c r="O297" i="17" s="1" a="1"/>
  <c r="O297" i="17" s="1"/>
  <c r="K297" i="17"/>
  <c r="L297" i="17"/>
  <c r="M297" i="17" s="1"/>
  <c r="I298" i="17"/>
  <c r="N298" i="17" s="1" a="1"/>
  <c r="N298" i="17" s="1"/>
  <c r="J298" i="17"/>
  <c r="O298" i="17" s="1" a="1"/>
  <c r="O298" i="17" s="1"/>
  <c r="K298" i="17"/>
  <c r="L298" i="17"/>
  <c r="M298" i="17" s="1"/>
  <c r="I299" i="17"/>
  <c r="N299" i="17" s="1" a="1"/>
  <c r="N299" i="17" s="1"/>
  <c r="J299" i="17"/>
  <c r="O299" i="17" s="1" a="1"/>
  <c r="O299" i="17" s="1"/>
  <c r="K299" i="17"/>
  <c r="L299" i="17"/>
  <c r="M299" i="17" s="1"/>
  <c r="I300" i="17"/>
  <c r="J300" i="17"/>
  <c r="O300" i="17" s="1" a="1"/>
  <c r="O300" i="17" s="1"/>
  <c r="K300" i="17"/>
  <c r="L300" i="17"/>
  <c r="M300" i="17" s="1"/>
  <c r="I301" i="17"/>
  <c r="N301" i="17" s="1" a="1"/>
  <c r="N301" i="17" s="1"/>
  <c r="J301" i="17"/>
  <c r="O301" i="17" s="1" a="1"/>
  <c r="O301" i="17" s="1"/>
  <c r="K301" i="17"/>
  <c r="L301" i="17"/>
  <c r="I302" i="17"/>
  <c r="N302" i="17" s="1" a="1"/>
  <c r="N302" i="17" s="1"/>
  <c r="J302" i="17"/>
  <c r="O302" i="17" s="1" a="1"/>
  <c r="O302" i="17" s="1"/>
  <c r="K302" i="17"/>
  <c r="L302" i="17"/>
  <c r="I303" i="17"/>
  <c r="N303" i="17" s="1" a="1"/>
  <c r="N303" i="17" s="1"/>
  <c r="J303" i="17"/>
  <c r="O303" i="17" s="1" a="1"/>
  <c r="O303" i="17" s="1"/>
  <c r="K303" i="17"/>
  <c r="L303" i="17"/>
  <c r="M303" i="17" s="1"/>
  <c r="I304" i="17"/>
  <c r="N304" i="17" s="1" a="1"/>
  <c r="N304" i="17" s="1"/>
  <c r="J304" i="17"/>
  <c r="O304" i="17" s="1" a="1"/>
  <c r="O304" i="17" s="1"/>
  <c r="K304" i="17"/>
  <c r="L304" i="17"/>
  <c r="M304" i="17" s="1"/>
  <c r="I305" i="17"/>
  <c r="N305" i="17" s="1" a="1"/>
  <c r="N305" i="17" s="1"/>
  <c r="J305" i="17"/>
  <c r="O305" i="17" s="1" a="1"/>
  <c r="O305" i="17" s="1"/>
  <c r="K305" i="17"/>
  <c r="L305" i="17"/>
  <c r="M305" i="17" s="1"/>
  <c r="I306" i="17"/>
  <c r="N306" i="17" s="1" a="1"/>
  <c r="N306" i="17" s="1"/>
  <c r="J306" i="17"/>
  <c r="O306" i="17" s="1" a="1"/>
  <c r="O306" i="17" s="1"/>
  <c r="K306" i="17"/>
  <c r="L306" i="17"/>
  <c r="M306" i="17" s="1"/>
  <c r="I307" i="17"/>
  <c r="N307" i="17" s="1" a="1"/>
  <c r="N307" i="17" s="1"/>
  <c r="J307" i="17"/>
  <c r="O307" i="17" s="1" a="1"/>
  <c r="O307" i="17" s="1"/>
  <c r="K307" i="17"/>
  <c r="L307" i="17"/>
  <c r="M307" i="17" s="1"/>
  <c r="I308" i="17"/>
  <c r="N308" i="17" s="1" a="1"/>
  <c r="N308" i="17" s="1"/>
  <c r="J308" i="17"/>
  <c r="O308" i="17" s="1" a="1"/>
  <c r="O308" i="17" s="1"/>
  <c r="K308" i="17"/>
  <c r="L308" i="17"/>
  <c r="M308" i="17" s="1"/>
  <c r="I309" i="17"/>
  <c r="N309" i="17" s="1" a="1"/>
  <c r="N309" i="17" s="1"/>
  <c r="J309" i="17"/>
  <c r="O309" i="17" s="1" a="1"/>
  <c r="O309" i="17" s="1"/>
  <c r="K309" i="17"/>
  <c r="L309" i="17"/>
  <c r="M309" i="17" s="1"/>
  <c r="I310" i="17"/>
  <c r="N310" i="17" s="1" a="1"/>
  <c r="N310" i="17" s="1"/>
  <c r="J310" i="17"/>
  <c r="O310" i="17" s="1" a="1"/>
  <c r="O310" i="17" s="1"/>
  <c r="K310" i="17"/>
  <c r="L310" i="17"/>
  <c r="M310" i="17" s="1"/>
  <c r="I311" i="17"/>
  <c r="N311" i="17" s="1" a="1"/>
  <c r="N311" i="17" s="1"/>
  <c r="J311" i="17"/>
  <c r="O311" i="17" s="1" a="1"/>
  <c r="O311" i="17" s="1"/>
  <c r="K311" i="17"/>
  <c r="L311" i="17"/>
  <c r="M311" i="17" s="1"/>
  <c r="I312" i="17"/>
  <c r="N312" i="17" s="1" a="1"/>
  <c r="N312" i="17" s="1"/>
  <c r="J312" i="17"/>
  <c r="O312" i="17" s="1" a="1"/>
  <c r="O312" i="17" s="1"/>
  <c r="K312" i="17"/>
  <c r="L312" i="17"/>
  <c r="M312" i="17" s="1"/>
  <c r="I313" i="17"/>
  <c r="N313" i="17" s="1" a="1"/>
  <c r="N313" i="17" s="1"/>
  <c r="J313" i="17"/>
  <c r="O313" i="17" s="1" a="1"/>
  <c r="O313" i="17" s="1"/>
  <c r="K313" i="17"/>
  <c r="L313" i="17"/>
  <c r="M313" i="17" s="1"/>
  <c r="I314" i="17"/>
  <c r="N314" i="17" s="1" a="1"/>
  <c r="N314" i="17" s="1"/>
  <c r="J314" i="17"/>
  <c r="O314" i="17" s="1" a="1"/>
  <c r="O314" i="17" s="1"/>
  <c r="K314" i="17"/>
  <c r="L314" i="17"/>
  <c r="M314" i="17" s="1"/>
  <c r="I315" i="17"/>
  <c r="N315" i="17" s="1" a="1"/>
  <c r="N315" i="17" s="1"/>
  <c r="J315" i="17"/>
  <c r="O315" i="17" s="1" a="1"/>
  <c r="O315" i="17" s="1"/>
  <c r="K315" i="17"/>
  <c r="L315" i="17"/>
  <c r="M315" i="17" s="1"/>
  <c r="I316" i="17"/>
  <c r="N316" i="17" s="1" a="1"/>
  <c r="N316" i="17" s="1"/>
  <c r="J316" i="17"/>
  <c r="O316" i="17" s="1" a="1"/>
  <c r="O316" i="17" s="1"/>
  <c r="K316" i="17"/>
  <c r="L316" i="17"/>
  <c r="M316" i="17" s="1"/>
  <c r="I317" i="17"/>
  <c r="N317" i="17" s="1" a="1"/>
  <c r="N317" i="17" s="1"/>
  <c r="J317" i="17"/>
  <c r="O317" i="17" s="1" a="1"/>
  <c r="O317" i="17" s="1"/>
  <c r="K317" i="17"/>
  <c r="L317" i="17"/>
  <c r="I318" i="17"/>
  <c r="N318" i="17" s="1" a="1"/>
  <c r="N318" i="17" s="1"/>
  <c r="J318" i="17"/>
  <c r="O318" i="17" s="1" a="1"/>
  <c r="O318" i="17" s="1"/>
  <c r="K318" i="17"/>
  <c r="L318" i="17"/>
  <c r="I319" i="17"/>
  <c r="N319" i="17" s="1" a="1"/>
  <c r="N319" i="17" s="1"/>
  <c r="J319" i="17"/>
  <c r="O319" i="17" s="1" a="1"/>
  <c r="O319" i="17" s="1"/>
  <c r="K319" i="17"/>
  <c r="L319" i="17"/>
  <c r="M319" i="17" s="1"/>
  <c r="I320" i="17"/>
  <c r="N320" i="17" s="1" a="1"/>
  <c r="N320" i="17" s="1"/>
  <c r="J320" i="17"/>
  <c r="O320" i="17" s="1" a="1"/>
  <c r="O320" i="17" s="1"/>
  <c r="K320" i="17"/>
  <c r="L320" i="17"/>
  <c r="M320" i="17" s="1"/>
  <c r="I321" i="17"/>
  <c r="N321" i="17" s="1" a="1"/>
  <c r="N321" i="17" s="1"/>
  <c r="J321" i="17"/>
  <c r="O321" i="17" s="1" a="1"/>
  <c r="O321" i="17" s="1"/>
  <c r="K321" i="17"/>
  <c r="L321" i="17"/>
  <c r="M321" i="17" s="1"/>
  <c r="I322" i="17"/>
  <c r="N322" i="17" s="1" a="1"/>
  <c r="N322" i="17" s="1"/>
  <c r="J322" i="17"/>
  <c r="O322" i="17" s="1" a="1"/>
  <c r="O322" i="17" s="1"/>
  <c r="K322" i="17"/>
  <c r="L322" i="17"/>
  <c r="M322" i="17" s="1"/>
  <c r="I323" i="17"/>
  <c r="N323" i="17" s="1" a="1"/>
  <c r="N323" i="17" s="1"/>
  <c r="J323" i="17"/>
  <c r="O323" i="17" s="1" a="1"/>
  <c r="O323" i="17" s="1"/>
  <c r="K323" i="17"/>
  <c r="L323" i="17"/>
  <c r="M323" i="17" s="1"/>
  <c r="I324" i="17"/>
  <c r="N324" i="17" s="1" a="1"/>
  <c r="N324" i="17" s="1"/>
  <c r="J324" i="17"/>
  <c r="O324" i="17" s="1" a="1"/>
  <c r="O324" i="17" s="1"/>
  <c r="K324" i="17"/>
  <c r="L324" i="17"/>
  <c r="M324" i="17" s="1"/>
  <c r="I325" i="17"/>
  <c r="N325" i="17" s="1" a="1"/>
  <c r="N325" i="17" s="1"/>
  <c r="J325" i="17"/>
  <c r="O325" i="17" s="1" a="1"/>
  <c r="O325" i="17" s="1"/>
  <c r="K325" i="17"/>
  <c r="L325" i="17"/>
  <c r="M325" i="17" s="1"/>
  <c r="I326" i="17"/>
  <c r="N326" i="17" s="1" a="1"/>
  <c r="N326" i="17" s="1"/>
  <c r="J326" i="17"/>
  <c r="O326" i="17" s="1" a="1"/>
  <c r="O326" i="17" s="1"/>
  <c r="K326" i="17"/>
  <c r="L326" i="17"/>
  <c r="M326" i="17" s="1"/>
  <c r="I327" i="17"/>
  <c r="N327" i="17" s="1" a="1"/>
  <c r="N327" i="17" s="1"/>
  <c r="J327" i="17"/>
  <c r="O327" i="17" s="1" a="1"/>
  <c r="O327" i="17" s="1"/>
  <c r="K327" i="17"/>
  <c r="L327" i="17"/>
  <c r="M327" i="17" s="1"/>
  <c r="I328" i="17"/>
  <c r="N328" i="17" s="1" a="1"/>
  <c r="N328" i="17" s="1"/>
  <c r="J328" i="17"/>
  <c r="O328" i="17" s="1" a="1"/>
  <c r="O328" i="17" s="1"/>
  <c r="K328" i="17"/>
  <c r="L328" i="17"/>
  <c r="M328" i="17" s="1"/>
  <c r="I329" i="17"/>
  <c r="N329" i="17" s="1" a="1"/>
  <c r="N329" i="17" s="1"/>
  <c r="J329" i="17"/>
  <c r="O329" i="17" s="1" a="1"/>
  <c r="O329" i="17" s="1"/>
  <c r="K329" i="17"/>
  <c r="L329" i="17"/>
  <c r="M329" i="17" s="1"/>
  <c r="I330" i="17"/>
  <c r="N330" i="17" s="1" a="1"/>
  <c r="N330" i="17" s="1"/>
  <c r="J330" i="17"/>
  <c r="O330" i="17" s="1" a="1"/>
  <c r="O330" i="17" s="1"/>
  <c r="K330" i="17"/>
  <c r="L330" i="17"/>
  <c r="M330" i="17" s="1"/>
  <c r="I331" i="17"/>
  <c r="N331" i="17" s="1" a="1"/>
  <c r="N331" i="17" s="1"/>
  <c r="J331" i="17"/>
  <c r="O331" i="17" s="1" a="1"/>
  <c r="O331" i="17" s="1"/>
  <c r="K331" i="17"/>
  <c r="L331" i="17"/>
  <c r="M331" i="17" s="1"/>
  <c r="I332" i="17"/>
  <c r="N332" i="17" s="1" a="1"/>
  <c r="N332" i="17" s="1"/>
  <c r="J332" i="17"/>
  <c r="O332" i="17" s="1" a="1"/>
  <c r="O332" i="17" s="1"/>
  <c r="K332" i="17"/>
  <c r="L332" i="17"/>
  <c r="M332" i="17" s="1"/>
  <c r="I333" i="17"/>
  <c r="N333" i="17" s="1" a="1"/>
  <c r="N333" i="17" s="1"/>
  <c r="J333" i="17"/>
  <c r="O333" i="17" s="1" a="1"/>
  <c r="O333" i="17" s="1"/>
  <c r="K333" i="17"/>
  <c r="L333" i="17"/>
  <c r="I334" i="17"/>
  <c r="N334" i="17" s="1" a="1"/>
  <c r="N334" i="17" s="1"/>
  <c r="J334" i="17"/>
  <c r="O334" i="17" s="1" a="1"/>
  <c r="O334" i="17" s="1"/>
  <c r="K334" i="17"/>
  <c r="L334" i="17"/>
  <c r="I335" i="17"/>
  <c r="N335" i="17" s="1" a="1"/>
  <c r="N335" i="17" s="1"/>
  <c r="J335" i="17"/>
  <c r="O335" i="17" s="1" a="1"/>
  <c r="O335" i="17" s="1"/>
  <c r="K335" i="17"/>
  <c r="L335" i="17"/>
  <c r="M335" i="17" s="1"/>
  <c r="I336" i="17"/>
  <c r="N336" i="17" s="1" a="1"/>
  <c r="N336" i="17" s="1"/>
  <c r="J336" i="17"/>
  <c r="O336" i="17" s="1" a="1"/>
  <c r="O336" i="17" s="1"/>
  <c r="K336" i="17"/>
  <c r="L336" i="17"/>
  <c r="M336" i="17" s="1"/>
  <c r="I337" i="17"/>
  <c r="N337" i="17" s="1" a="1"/>
  <c r="N337" i="17" s="1"/>
  <c r="J337" i="17"/>
  <c r="O337" i="17" s="1" a="1"/>
  <c r="O337" i="17" s="1"/>
  <c r="K337" i="17"/>
  <c r="L337" i="17"/>
  <c r="M337" i="17" s="1"/>
  <c r="I338" i="17"/>
  <c r="N338" i="17" s="1" a="1"/>
  <c r="N338" i="17" s="1"/>
  <c r="J338" i="17"/>
  <c r="O338" i="17" s="1" a="1"/>
  <c r="O338" i="17" s="1"/>
  <c r="K338" i="17"/>
  <c r="L338" i="17"/>
  <c r="M338" i="17" s="1"/>
  <c r="I339" i="17"/>
  <c r="N339" i="17" s="1" a="1"/>
  <c r="N339" i="17" s="1"/>
  <c r="J339" i="17"/>
  <c r="O339" i="17" s="1" a="1"/>
  <c r="O339" i="17" s="1"/>
  <c r="K339" i="17"/>
  <c r="L339" i="17"/>
  <c r="M339" i="17" s="1"/>
  <c r="I340" i="17"/>
  <c r="N340" i="17" s="1" a="1"/>
  <c r="N340" i="17" s="1"/>
  <c r="J340" i="17"/>
  <c r="K340" i="17"/>
  <c r="L340" i="17"/>
  <c r="M340" i="17" s="1"/>
  <c r="I341" i="17"/>
  <c r="N341" i="17" s="1" a="1"/>
  <c r="N341" i="17" s="1"/>
  <c r="J341" i="17"/>
  <c r="O341" i="17" s="1" a="1"/>
  <c r="O341" i="17" s="1"/>
  <c r="K341" i="17"/>
  <c r="L341" i="17"/>
  <c r="M341" i="17" s="1"/>
  <c r="I342" i="17"/>
  <c r="N342" i="17" s="1" a="1"/>
  <c r="N342" i="17" s="1"/>
  <c r="J342" i="17"/>
  <c r="O342" i="17" s="1" a="1"/>
  <c r="O342" i="17" s="1"/>
  <c r="K342" i="17"/>
  <c r="L342" i="17"/>
  <c r="M342" i="17" s="1"/>
  <c r="I343" i="17"/>
  <c r="N343" i="17" s="1" a="1"/>
  <c r="N343" i="17" s="1"/>
  <c r="J343" i="17"/>
  <c r="O343" i="17" s="1" a="1"/>
  <c r="O343" i="17" s="1"/>
  <c r="K343" i="17"/>
  <c r="L343" i="17"/>
  <c r="M343" i="17" s="1"/>
  <c r="I344" i="17"/>
  <c r="N344" i="17" s="1" a="1"/>
  <c r="N344" i="17" s="1"/>
  <c r="J344" i="17"/>
  <c r="O344" i="17" s="1" a="1"/>
  <c r="O344" i="17" s="1"/>
  <c r="K344" i="17"/>
  <c r="L344" i="17"/>
  <c r="M344" i="17" s="1"/>
  <c r="I345" i="17"/>
  <c r="N345" i="17" s="1" a="1"/>
  <c r="N345" i="17" s="1"/>
  <c r="J345" i="17"/>
  <c r="O345" i="17" s="1" a="1"/>
  <c r="O345" i="17" s="1"/>
  <c r="K345" i="17"/>
  <c r="L345" i="17"/>
  <c r="M345" i="17" s="1"/>
  <c r="I346" i="17"/>
  <c r="N346" i="17" s="1" a="1"/>
  <c r="N346" i="17" s="1"/>
  <c r="J346" i="17"/>
  <c r="O346" i="17" s="1" a="1"/>
  <c r="O346" i="17" s="1"/>
  <c r="K346" i="17"/>
  <c r="L346" i="17"/>
  <c r="M346" i="17" s="1"/>
  <c r="I347" i="17"/>
  <c r="N347" i="17" s="1" a="1"/>
  <c r="N347" i="17" s="1"/>
  <c r="J347" i="17"/>
  <c r="O347" i="17" s="1" a="1"/>
  <c r="O347" i="17" s="1"/>
  <c r="K347" i="17"/>
  <c r="L347" i="17"/>
  <c r="M347" i="17" s="1"/>
  <c r="I348" i="17"/>
  <c r="N348" i="17" s="1" a="1"/>
  <c r="N348" i="17" s="1"/>
  <c r="J348" i="17"/>
  <c r="O348" i="17" s="1" a="1"/>
  <c r="O348" i="17" s="1"/>
  <c r="K348" i="17"/>
  <c r="L348" i="17"/>
  <c r="M348" i="17" s="1"/>
  <c r="I349" i="17"/>
  <c r="N349" i="17" s="1" a="1"/>
  <c r="N349" i="17" s="1"/>
  <c r="J349" i="17"/>
  <c r="O349" i="17" s="1" a="1"/>
  <c r="O349" i="17" s="1"/>
  <c r="K349" i="17"/>
  <c r="L349" i="17"/>
  <c r="I350" i="17"/>
  <c r="N350" i="17" s="1" a="1"/>
  <c r="N350" i="17" s="1"/>
  <c r="J350" i="17"/>
  <c r="O350" i="17" s="1" a="1"/>
  <c r="O350" i="17" s="1"/>
  <c r="K350" i="17"/>
  <c r="L350" i="17"/>
  <c r="I351" i="17"/>
  <c r="N351" i="17" s="1" a="1"/>
  <c r="N351" i="17" s="1"/>
  <c r="J351" i="17"/>
  <c r="O351" i="17" s="1" a="1"/>
  <c r="O351" i="17" s="1"/>
  <c r="K351" i="17"/>
  <c r="L351" i="17"/>
  <c r="M351" i="17" s="1"/>
  <c r="I352" i="17"/>
  <c r="N352" i="17" s="1" a="1"/>
  <c r="N352" i="17" s="1"/>
  <c r="J352" i="17"/>
  <c r="O352" i="17" s="1" a="1"/>
  <c r="O352" i="17" s="1"/>
  <c r="K352" i="17"/>
  <c r="L352" i="17"/>
  <c r="M352" i="17" s="1"/>
  <c r="I353" i="17"/>
  <c r="N353" i="17" s="1" a="1"/>
  <c r="N353" i="17" s="1"/>
  <c r="J353" i="17"/>
  <c r="O353" i="17" s="1" a="1"/>
  <c r="O353" i="17" s="1"/>
  <c r="K353" i="17"/>
  <c r="L353" i="17"/>
  <c r="M353" i="17" s="1"/>
  <c r="I354" i="17"/>
  <c r="N354" i="17" s="1" a="1"/>
  <c r="N354" i="17" s="1"/>
  <c r="J354" i="17"/>
  <c r="O354" i="17" s="1" a="1"/>
  <c r="O354" i="17" s="1"/>
  <c r="K354" i="17"/>
  <c r="L354" i="17"/>
  <c r="M354" i="17" s="1"/>
  <c r="I355" i="17"/>
  <c r="N355" i="17" s="1" a="1"/>
  <c r="N355" i="17" s="1"/>
  <c r="J355" i="17"/>
  <c r="O355" i="17" s="1" a="1"/>
  <c r="O355" i="17" s="1"/>
  <c r="K355" i="17"/>
  <c r="L355" i="17"/>
  <c r="M355" i="17" s="1"/>
  <c r="I356" i="17"/>
  <c r="N356" i="17" s="1" a="1"/>
  <c r="N356" i="17" s="1"/>
  <c r="J356" i="17"/>
  <c r="O356" i="17" s="1" a="1"/>
  <c r="O356" i="17" s="1"/>
  <c r="K356" i="17"/>
  <c r="L356" i="17"/>
  <c r="M356" i="17" s="1"/>
  <c r="I357" i="17"/>
  <c r="N357" i="17" s="1" a="1"/>
  <c r="N357" i="17" s="1"/>
  <c r="J357" i="17"/>
  <c r="O357" i="17" s="1" a="1"/>
  <c r="O357" i="17" s="1"/>
  <c r="K357" i="17"/>
  <c r="L357" i="17"/>
  <c r="M357" i="17" s="1"/>
  <c r="I358" i="17"/>
  <c r="N358" i="17" s="1" a="1"/>
  <c r="N358" i="17" s="1"/>
  <c r="J358" i="17"/>
  <c r="O358" i="17" s="1" a="1"/>
  <c r="O358" i="17" s="1"/>
  <c r="K358" i="17"/>
  <c r="L358" i="17"/>
  <c r="M358" i="17" s="1"/>
  <c r="I359" i="17"/>
  <c r="N359" i="17" s="1" a="1"/>
  <c r="N359" i="17" s="1"/>
  <c r="J359" i="17"/>
  <c r="O359" i="17" s="1" a="1"/>
  <c r="O359" i="17" s="1"/>
  <c r="K359" i="17"/>
  <c r="L359" i="17"/>
  <c r="M359" i="17" s="1"/>
  <c r="I360" i="17"/>
  <c r="N360" i="17" s="1" a="1"/>
  <c r="N360" i="17" s="1"/>
  <c r="J360" i="17"/>
  <c r="O360" i="17" s="1" a="1"/>
  <c r="O360" i="17" s="1"/>
  <c r="K360" i="17"/>
  <c r="L360" i="17"/>
  <c r="M360" i="17" s="1"/>
  <c r="I361" i="17"/>
  <c r="N361" i="17" s="1" a="1"/>
  <c r="N361" i="17" s="1"/>
  <c r="J361" i="17"/>
  <c r="O361" i="17" s="1" a="1"/>
  <c r="O361" i="17" s="1"/>
  <c r="K361" i="17"/>
  <c r="L361" i="17"/>
  <c r="M361" i="17" s="1"/>
  <c r="I362" i="17"/>
  <c r="N362" i="17" s="1" a="1"/>
  <c r="N362" i="17" s="1"/>
  <c r="J362" i="17"/>
  <c r="O362" i="17" s="1" a="1"/>
  <c r="O362" i="17" s="1"/>
  <c r="K362" i="17"/>
  <c r="L362" i="17"/>
  <c r="M362" i="17" s="1"/>
  <c r="I363" i="17"/>
  <c r="N363" i="17" s="1" a="1"/>
  <c r="N363" i="17" s="1"/>
  <c r="J363" i="17"/>
  <c r="O363" i="17" s="1" a="1"/>
  <c r="O363" i="17" s="1"/>
  <c r="K363" i="17"/>
  <c r="L363" i="17"/>
  <c r="M363" i="17" s="1"/>
  <c r="I364" i="17"/>
  <c r="N364" i="17" s="1" a="1"/>
  <c r="N364" i="17" s="1"/>
  <c r="J364" i="17"/>
  <c r="O364" i="17" s="1" a="1"/>
  <c r="O364" i="17" s="1"/>
  <c r="K364" i="17"/>
  <c r="L364" i="17"/>
  <c r="M364" i="17" s="1"/>
  <c r="I365" i="17"/>
  <c r="N365" i="17" s="1" a="1"/>
  <c r="N365" i="17" s="1"/>
  <c r="J365" i="17"/>
  <c r="O365" i="17" s="1" a="1"/>
  <c r="O365" i="17" s="1"/>
  <c r="K365" i="17"/>
  <c r="L365" i="17"/>
  <c r="I366" i="17"/>
  <c r="N366" i="17" s="1" a="1"/>
  <c r="N366" i="17" s="1"/>
  <c r="J366" i="17"/>
  <c r="O366" i="17" s="1" a="1"/>
  <c r="O366" i="17" s="1"/>
  <c r="K366" i="17"/>
  <c r="L366" i="17"/>
  <c r="I367" i="17"/>
  <c r="N367" i="17" s="1" a="1"/>
  <c r="N367" i="17" s="1"/>
  <c r="J367" i="17"/>
  <c r="O367" i="17" s="1" a="1"/>
  <c r="O367" i="17" s="1"/>
  <c r="K367" i="17"/>
  <c r="L367" i="17"/>
  <c r="M367" i="17" s="1"/>
  <c r="I368" i="17"/>
  <c r="N368" i="17" s="1" a="1"/>
  <c r="N368" i="17" s="1"/>
  <c r="J368" i="17"/>
  <c r="O368" i="17" s="1" a="1"/>
  <c r="O368" i="17" s="1"/>
  <c r="K368" i="17"/>
  <c r="L368" i="17"/>
  <c r="M368" i="17" s="1"/>
  <c r="I369" i="17"/>
  <c r="N369" i="17" s="1" a="1"/>
  <c r="N369" i="17" s="1"/>
  <c r="J369" i="17"/>
  <c r="O369" i="17" s="1" a="1"/>
  <c r="O369" i="17" s="1"/>
  <c r="K369" i="17"/>
  <c r="L369" i="17"/>
  <c r="M369" i="17" s="1"/>
  <c r="I370" i="17"/>
  <c r="N370" i="17" s="1" a="1"/>
  <c r="N370" i="17" s="1"/>
  <c r="J370" i="17"/>
  <c r="O370" i="17" s="1" a="1"/>
  <c r="O370" i="17" s="1"/>
  <c r="K370" i="17"/>
  <c r="L370" i="17"/>
  <c r="M370" i="17" s="1"/>
  <c r="I371" i="17"/>
  <c r="N371" i="17" s="1" a="1"/>
  <c r="N371" i="17" s="1"/>
  <c r="J371" i="17"/>
  <c r="O371" i="17" s="1" a="1"/>
  <c r="O371" i="17" s="1"/>
  <c r="K371" i="17"/>
  <c r="L371" i="17"/>
  <c r="M371" i="17" s="1"/>
  <c r="I372" i="17"/>
  <c r="N372" i="17" s="1" a="1"/>
  <c r="N372" i="17" s="1"/>
  <c r="J372" i="17"/>
  <c r="O372" i="17" s="1" a="1"/>
  <c r="O372" i="17" s="1"/>
  <c r="K372" i="17"/>
  <c r="L372" i="17"/>
  <c r="M372" i="17" s="1"/>
  <c r="I373" i="17"/>
  <c r="N373" i="17" s="1" a="1"/>
  <c r="N373" i="17" s="1"/>
  <c r="J373" i="17"/>
  <c r="O373" i="17" s="1" a="1"/>
  <c r="O373" i="17" s="1"/>
  <c r="K373" i="17"/>
  <c r="L373" i="17"/>
  <c r="M373" i="17" s="1"/>
  <c r="I374" i="17"/>
  <c r="N374" i="17" s="1" a="1"/>
  <c r="N374" i="17" s="1"/>
  <c r="J374" i="17"/>
  <c r="O374" i="17" s="1" a="1"/>
  <c r="O374" i="17" s="1"/>
  <c r="K374" i="17"/>
  <c r="L374" i="17"/>
  <c r="M374" i="17" s="1"/>
  <c r="I375" i="17"/>
  <c r="N375" i="17" s="1" a="1"/>
  <c r="N375" i="17" s="1"/>
  <c r="J375" i="17"/>
  <c r="K375" i="17"/>
  <c r="L375" i="17"/>
  <c r="M375" i="17" s="1"/>
  <c r="I376" i="17"/>
  <c r="N376" i="17" s="1" a="1"/>
  <c r="N376" i="17" s="1"/>
  <c r="J376" i="17"/>
  <c r="O376" i="17" s="1" a="1"/>
  <c r="O376" i="17" s="1"/>
  <c r="K376" i="17"/>
  <c r="L376" i="17"/>
  <c r="M376" i="17" s="1"/>
  <c r="I377" i="17"/>
  <c r="N377" i="17" s="1" a="1"/>
  <c r="N377" i="17" s="1"/>
  <c r="J377" i="17"/>
  <c r="O377" i="17" s="1" a="1"/>
  <c r="O377" i="17" s="1"/>
  <c r="K377" i="17"/>
  <c r="L377" i="17"/>
  <c r="M377" i="17" s="1"/>
  <c r="I378" i="17"/>
  <c r="N378" i="17" s="1" a="1"/>
  <c r="N378" i="17" s="1"/>
  <c r="J378" i="17"/>
  <c r="O378" i="17" s="1" a="1"/>
  <c r="O378" i="17" s="1"/>
  <c r="K378" i="17"/>
  <c r="L378" i="17"/>
  <c r="M378" i="17" s="1"/>
  <c r="I379" i="17"/>
  <c r="N379" i="17" s="1" a="1"/>
  <c r="N379" i="17" s="1"/>
  <c r="J379" i="17"/>
  <c r="O379" i="17" s="1" a="1"/>
  <c r="O379" i="17" s="1"/>
  <c r="K379" i="17"/>
  <c r="L379" i="17"/>
  <c r="M379" i="17" s="1"/>
  <c r="I380" i="17"/>
  <c r="N380" i="17" s="1" a="1"/>
  <c r="N380" i="17" s="1"/>
  <c r="J380" i="17"/>
  <c r="O380" i="17" s="1" a="1"/>
  <c r="O380" i="17" s="1"/>
  <c r="K380" i="17"/>
  <c r="L380" i="17"/>
  <c r="M380" i="17" s="1"/>
  <c r="I381" i="17"/>
  <c r="N381" i="17" s="1" a="1"/>
  <c r="N381" i="17" s="1"/>
  <c r="J381" i="17"/>
  <c r="O381" i="17" s="1" a="1"/>
  <c r="O381" i="17" s="1"/>
  <c r="K381" i="17"/>
  <c r="L381" i="17"/>
  <c r="I382" i="17"/>
  <c r="N382" i="17" s="1" a="1"/>
  <c r="N382" i="17" s="1"/>
  <c r="J382" i="17"/>
  <c r="O382" i="17" s="1" a="1"/>
  <c r="O382" i="17" s="1"/>
  <c r="K382" i="17"/>
  <c r="L382" i="17"/>
  <c r="I383" i="17"/>
  <c r="N383" i="17" s="1" a="1"/>
  <c r="N383" i="17" s="1"/>
  <c r="J383" i="17"/>
  <c r="O383" i="17" s="1" a="1"/>
  <c r="O383" i="17" s="1"/>
  <c r="K383" i="17"/>
  <c r="L383" i="17"/>
  <c r="M383" i="17" s="1"/>
  <c r="I384" i="17"/>
  <c r="N384" i="17" s="1" a="1"/>
  <c r="N384" i="17" s="1"/>
  <c r="J384" i="17"/>
  <c r="O384" i="17" s="1" a="1"/>
  <c r="O384" i="17" s="1"/>
  <c r="K384" i="17"/>
  <c r="L384" i="17"/>
  <c r="M384" i="17" s="1"/>
  <c r="I385" i="17"/>
  <c r="N385" i="17" s="1" a="1"/>
  <c r="N385" i="17" s="1"/>
  <c r="J385" i="17"/>
  <c r="O385" i="17" s="1" a="1"/>
  <c r="O385" i="17" s="1"/>
  <c r="K385" i="17"/>
  <c r="L385" i="17"/>
  <c r="M385" i="17" s="1"/>
  <c r="I386" i="17"/>
  <c r="N386" i="17" s="1" a="1"/>
  <c r="N386" i="17" s="1"/>
  <c r="J386" i="17"/>
  <c r="O386" i="17" s="1" a="1"/>
  <c r="O386" i="17" s="1"/>
  <c r="K386" i="17"/>
  <c r="L386" i="17"/>
  <c r="M386" i="17" s="1"/>
  <c r="I387" i="17"/>
  <c r="N387" i="17" s="1" a="1"/>
  <c r="N387" i="17" s="1"/>
  <c r="J387" i="17"/>
  <c r="O387" i="17" s="1" a="1"/>
  <c r="O387" i="17" s="1"/>
  <c r="K387" i="17"/>
  <c r="L387" i="17"/>
  <c r="M387" i="17" s="1"/>
  <c r="I388" i="17"/>
  <c r="N388" i="17" s="1" a="1"/>
  <c r="N388" i="17" s="1"/>
  <c r="J388" i="17"/>
  <c r="O388" i="17" s="1" a="1"/>
  <c r="O388" i="17" s="1"/>
  <c r="K388" i="17"/>
  <c r="L388" i="17"/>
  <c r="M388" i="17" s="1"/>
  <c r="I389" i="17"/>
  <c r="N389" i="17" s="1" a="1"/>
  <c r="N389" i="17" s="1"/>
  <c r="J389" i="17"/>
  <c r="O389" i="17" s="1" a="1"/>
  <c r="O389" i="17" s="1"/>
  <c r="K389" i="17"/>
  <c r="L389" i="17"/>
  <c r="M389" i="17" s="1"/>
  <c r="I390" i="17"/>
  <c r="N390" i="17" s="1" a="1"/>
  <c r="N390" i="17" s="1"/>
  <c r="J390" i="17"/>
  <c r="O390" i="17" s="1" a="1"/>
  <c r="O390" i="17" s="1"/>
  <c r="K390" i="17"/>
  <c r="L390" i="17"/>
  <c r="M390" i="17" s="1"/>
  <c r="I391" i="17"/>
  <c r="N391" i="17" s="1" a="1"/>
  <c r="N391" i="17" s="1"/>
  <c r="J391" i="17"/>
  <c r="O391" i="17" s="1" a="1"/>
  <c r="O391" i="17" s="1"/>
  <c r="K391" i="17"/>
  <c r="L391" i="17"/>
  <c r="M391" i="17" s="1"/>
  <c r="I392" i="17"/>
  <c r="N392" i="17" s="1" a="1"/>
  <c r="N392" i="17" s="1"/>
  <c r="J392" i="17"/>
  <c r="O392" i="17" s="1" a="1"/>
  <c r="O392" i="17" s="1"/>
  <c r="K392" i="17"/>
  <c r="L392" i="17"/>
  <c r="M392" i="17" s="1"/>
  <c r="I393" i="17"/>
  <c r="N393" i="17" s="1" a="1"/>
  <c r="N393" i="17" s="1"/>
  <c r="J393" i="17"/>
  <c r="O393" i="17" s="1" a="1"/>
  <c r="O393" i="17" s="1"/>
  <c r="K393" i="17"/>
  <c r="L393" i="17"/>
  <c r="M393" i="17" s="1"/>
  <c r="I394" i="17"/>
  <c r="N394" i="17" s="1" a="1"/>
  <c r="N394" i="17" s="1"/>
  <c r="J394" i="17"/>
  <c r="O394" i="17" s="1" a="1"/>
  <c r="O394" i="17" s="1"/>
  <c r="K394" i="17"/>
  <c r="L394" i="17"/>
  <c r="M394" i="17" s="1"/>
  <c r="I395" i="17"/>
  <c r="N395" i="17" s="1" a="1"/>
  <c r="N395" i="17" s="1"/>
  <c r="J395" i="17"/>
  <c r="O395" i="17" s="1" a="1"/>
  <c r="O395" i="17" s="1"/>
  <c r="K395" i="17"/>
  <c r="L395" i="17"/>
  <c r="M395" i="17" s="1"/>
  <c r="I396" i="17"/>
  <c r="N396" i="17" s="1" a="1"/>
  <c r="N396" i="17" s="1"/>
  <c r="J396" i="17"/>
  <c r="O396" i="17" s="1" a="1"/>
  <c r="O396" i="17" s="1"/>
  <c r="K396" i="17"/>
  <c r="L396" i="17"/>
  <c r="M396" i="17" s="1"/>
  <c r="I397" i="17"/>
  <c r="N397" i="17" s="1" a="1"/>
  <c r="N397" i="17" s="1"/>
  <c r="J397" i="17"/>
  <c r="O397" i="17" s="1" a="1"/>
  <c r="O397" i="17" s="1"/>
  <c r="K397" i="17"/>
  <c r="L397" i="17"/>
  <c r="I398" i="17"/>
  <c r="N398" i="17" s="1" a="1"/>
  <c r="N398" i="17" s="1"/>
  <c r="J398" i="17"/>
  <c r="O398" i="17" s="1" a="1"/>
  <c r="O398" i="17" s="1"/>
  <c r="K398" i="17"/>
  <c r="L398" i="17"/>
  <c r="I399" i="17"/>
  <c r="N399" i="17" s="1" a="1"/>
  <c r="N399" i="17" s="1"/>
  <c r="J399" i="17"/>
  <c r="O399" i="17" s="1" a="1"/>
  <c r="O399" i="17" s="1"/>
  <c r="K399" i="17"/>
  <c r="L399" i="17"/>
  <c r="M399" i="17" s="1"/>
  <c r="I400" i="17"/>
  <c r="N400" i="17" s="1" a="1"/>
  <c r="N400" i="17" s="1"/>
  <c r="J400" i="17"/>
  <c r="O400" i="17" s="1" a="1"/>
  <c r="O400" i="17" s="1"/>
  <c r="K400" i="17"/>
  <c r="L400" i="17"/>
  <c r="M400" i="17" s="1"/>
  <c r="I401" i="17"/>
  <c r="N401" i="17" s="1" a="1"/>
  <c r="N401" i="17" s="1"/>
  <c r="J401" i="17"/>
  <c r="O401" i="17" s="1" a="1"/>
  <c r="O401" i="17" s="1"/>
  <c r="K401" i="17"/>
  <c r="L401" i="17"/>
  <c r="M401" i="17" s="1"/>
  <c r="I402" i="17"/>
  <c r="N402" i="17" s="1" a="1"/>
  <c r="N402" i="17" s="1"/>
  <c r="J402" i="17"/>
  <c r="O402" i="17" s="1" a="1"/>
  <c r="O402" i="17" s="1"/>
  <c r="K402" i="17"/>
  <c r="L402" i="17"/>
  <c r="M402" i="17" s="1"/>
  <c r="I403" i="17"/>
  <c r="J403" i="17"/>
  <c r="O403" i="17" s="1" a="1"/>
  <c r="O403" i="17" s="1"/>
  <c r="K403" i="17"/>
  <c r="L403" i="17"/>
  <c r="M403" i="17" s="1"/>
  <c r="I404" i="17"/>
  <c r="N404" i="17" s="1" a="1"/>
  <c r="N404" i="17" s="1"/>
  <c r="J404" i="17"/>
  <c r="O404" i="17" s="1" a="1"/>
  <c r="O404" i="17" s="1"/>
  <c r="K404" i="17"/>
  <c r="L404" i="17"/>
  <c r="M404" i="17" s="1"/>
  <c r="I405" i="17"/>
  <c r="N405" i="17" s="1" a="1"/>
  <c r="N405" i="17" s="1"/>
  <c r="J405" i="17"/>
  <c r="O405" i="17" s="1" a="1"/>
  <c r="O405" i="17" s="1"/>
  <c r="K405" i="17"/>
  <c r="L405" i="17"/>
  <c r="M405" i="17" s="1"/>
  <c r="I406" i="17"/>
  <c r="N406" i="17" s="1" a="1"/>
  <c r="N406" i="17" s="1"/>
  <c r="J406" i="17"/>
  <c r="O406" i="17" s="1" a="1"/>
  <c r="O406" i="17" s="1"/>
  <c r="K406" i="17"/>
  <c r="L406" i="17"/>
  <c r="M406" i="17" s="1"/>
  <c r="I407" i="17"/>
  <c r="N407" i="17" s="1" a="1"/>
  <c r="N407" i="17" s="1"/>
  <c r="J407" i="17"/>
  <c r="O407" i="17" s="1" a="1"/>
  <c r="O407" i="17" s="1"/>
  <c r="K407" i="17"/>
  <c r="L407" i="17"/>
  <c r="M407" i="17" s="1"/>
  <c r="I408" i="17"/>
  <c r="N408" i="17" s="1" a="1"/>
  <c r="N408" i="17" s="1"/>
  <c r="J408" i="17"/>
  <c r="O408" i="17" s="1" a="1"/>
  <c r="O408" i="17" s="1"/>
  <c r="K408" i="17"/>
  <c r="L408" i="17"/>
  <c r="M408" i="17" s="1"/>
  <c r="I409" i="17"/>
  <c r="N409" i="17" s="1" a="1"/>
  <c r="N409" i="17" s="1"/>
  <c r="J409" i="17"/>
  <c r="O409" i="17" s="1" a="1"/>
  <c r="O409" i="17" s="1"/>
  <c r="K409" i="17"/>
  <c r="L409" i="17"/>
  <c r="M409" i="17" s="1"/>
  <c r="I410" i="17"/>
  <c r="N410" i="17" s="1" a="1"/>
  <c r="N410" i="17" s="1"/>
  <c r="J410" i="17"/>
  <c r="O410" i="17" s="1" a="1"/>
  <c r="O410" i="17" s="1"/>
  <c r="K410" i="17"/>
  <c r="L410" i="17"/>
  <c r="M410" i="17" s="1"/>
  <c r="I411" i="17"/>
  <c r="N411" i="17" s="1" a="1"/>
  <c r="N411" i="17" s="1"/>
  <c r="J411" i="17"/>
  <c r="O411" i="17" s="1" a="1"/>
  <c r="O411" i="17" s="1"/>
  <c r="K411" i="17"/>
  <c r="L411" i="17"/>
  <c r="M411" i="17" s="1"/>
  <c r="I412" i="17"/>
  <c r="N412" i="17" s="1" a="1"/>
  <c r="N412" i="17" s="1"/>
  <c r="J412" i="17"/>
  <c r="O412" i="17" s="1" a="1"/>
  <c r="O412" i="17" s="1"/>
  <c r="K412" i="17"/>
  <c r="L412" i="17"/>
  <c r="M412" i="17" s="1"/>
  <c r="I413" i="17"/>
  <c r="N413" i="17" s="1" a="1"/>
  <c r="N413" i="17" s="1"/>
  <c r="J413" i="17"/>
  <c r="O413" i="17" s="1" a="1"/>
  <c r="O413" i="17" s="1"/>
  <c r="K413" i="17"/>
  <c r="L413" i="17"/>
  <c r="I414" i="17"/>
  <c r="N414" i="17" s="1" a="1"/>
  <c r="N414" i="17" s="1"/>
  <c r="J414" i="17"/>
  <c r="O414" i="17" s="1" a="1"/>
  <c r="O414" i="17" s="1"/>
  <c r="K414" i="17"/>
  <c r="L414" i="17"/>
  <c r="I415" i="17"/>
  <c r="N415" i="17" s="1" a="1"/>
  <c r="N415" i="17" s="1"/>
  <c r="J415" i="17"/>
  <c r="O415" i="17" s="1" a="1"/>
  <c r="O415" i="17" s="1"/>
  <c r="K415" i="17"/>
  <c r="L415" i="17"/>
  <c r="M415" i="17" s="1"/>
  <c r="I416" i="17"/>
  <c r="N416" i="17" s="1" a="1"/>
  <c r="N416" i="17" s="1"/>
  <c r="J416" i="17"/>
  <c r="O416" i="17" s="1" a="1"/>
  <c r="O416" i="17" s="1"/>
  <c r="K416" i="17"/>
  <c r="L416" i="17"/>
  <c r="M416" i="17" s="1"/>
  <c r="I417" i="17"/>
  <c r="J417" i="17"/>
  <c r="O417" i="17" s="1" a="1"/>
  <c r="O417" i="17" s="1"/>
  <c r="K417" i="17"/>
  <c r="L417" i="17"/>
  <c r="M417" i="17" s="1"/>
  <c r="I418" i="17"/>
  <c r="N418" i="17" s="1" a="1"/>
  <c r="N418" i="17" s="1"/>
  <c r="J418" i="17"/>
  <c r="O418" i="17" s="1" a="1"/>
  <c r="O418" i="17" s="1"/>
  <c r="K418" i="17"/>
  <c r="L418" i="17"/>
  <c r="M418" i="17" s="1"/>
  <c r="I419" i="17"/>
  <c r="N419" i="17" s="1" a="1"/>
  <c r="N419" i="17" s="1"/>
  <c r="J419" i="17"/>
  <c r="O419" i="17" s="1" a="1"/>
  <c r="O419" i="17" s="1"/>
  <c r="K419" i="17"/>
  <c r="L419" i="17"/>
  <c r="M419" i="17" s="1"/>
  <c r="I420" i="17"/>
  <c r="N420" i="17" s="1" a="1"/>
  <c r="N420" i="17" s="1"/>
  <c r="J420" i="17"/>
  <c r="O420" i="17" s="1" a="1"/>
  <c r="O420" i="17" s="1"/>
  <c r="K420" i="17"/>
  <c r="L420" i="17"/>
  <c r="M420" i="17" s="1"/>
  <c r="I421" i="17"/>
  <c r="N421" i="17" s="1" a="1"/>
  <c r="N421" i="17" s="1"/>
  <c r="J421" i="17"/>
  <c r="O421" i="17" s="1" a="1"/>
  <c r="O421" i="17" s="1"/>
  <c r="K421" i="17"/>
  <c r="L421" i="17"/>
  <c r="M421" i="17" s="1"/>
  <c r="I422" i="17"/>
  <c r="N422" i="17" s="1" a="1"/>
  <c r="N422" i="17" s="1"/>
  <c r="J422" i="17"/>
  <c r="O422" i="17" s="1" a="1"/>
  <c r="O422" i="17" s="1"/>
  <c r="K422" i="17"/>
  <c r="L422" i="17"/>
  <c r="M422" i="17" s="1"/>
  <c r="I423" i="17"/>
  <c r="N423" i="17" s="1" a="1"/>
  <c r="N423" i="17" s="1"/>
  <c r="J423" i="17"/>
  <c r="O423" i="17" s="1" a="1"/>
  <c r="O423" i="17" s="1"/>
  <c r="K423" i="17"/>
  <c r="L423" i="17"/>
  <c r="M423" i="17" s="1"/>
  <c r="I424" i="17"/>
  <c r="N424" i="17" s="1" a="1"/>
  <c r="N424" i="17" s="1"/>
  <c r="J424" i="17"/>
  <c r="O424" i="17" s="1" a="1"/>
  <c r="O424" i="17" s="1"/>
  <c r="K424" i="17"/>
  <c r="L424" i="17"/>
  <c r="M424" i="17" s="1"/>
  <c r="I425" i="17"/>
  <c r="N425" i="17" s="1" a="1"/>
  <c r="N425" i="17" s="1"/>
  <c r="J425" i="17"/>
  <c r="O425" i="17" s="1" a="1"/>
  <c r="O425" i="17" s="1"/>
  <c r="K425" i="17"/>
  <c r="L425" i="17"/>
  <c r="M425" i="17" s="1"/>
  <c r="I426" i="17"/>
  <c r="N426" i="17" s="1" a="1"/>
  <c r="N426" i="17" s="1"/>
  <c r="J426" i="17"/>
  <c r="O426" i="17" s="1" a="1"/>
  <c r="O426" i="17" s="1"/>
  <c r="K426" i="17"/>
  <c r="L426" i="17"/>
  <c r="M426" i="17" s="1"/>
  <c r="I427" i="17"/>
  <c r="N427" i="17" s="1" a="1"/>
  <c r="N427" i="17" s="1"/>
  <c r="J427" i="17"/>
  <c r="O427" i="17" s="1" a="1"/>
  <c r="O427" i="17" s="1"/>
  <c r="K427" i="17"/>
  <c r="L427" i="17"/>
  <c r="M427" i="17" s="1"/>
  <c r="I428" i="17"/>
  <c r="N428" i="17" s="1" a="1"/>
  <c r="N428" i="17" s="1"/>
  <c r="J428" i="17"/>
  <c r="O428" i="17" s="1" a="1"/>
  <c r="O428" i="17" s="1"/>
  <c r="K428" i="17"/>
  <c r="L428" i="17"/>
  <c r="M428" i="17" s="1"/>
  <c r="I429" i="17"/>
  <c r="N429" i="17" s="1" a="1"/>
  <c r="N429" i="17" s="1"/>
  <c r="J429" i="17"/>
  <c r="O429" i="17" s="1" a="1"/>
  <c r="O429" i="17" s="1"/>
  <c r="K429" i="17"/>
  <c r="L429" i="17"/>
  <c r="I430" i="17"/>
  <c r="N430" i="17" s="1" a="1"/>
  <c r="N430" i="17" s="1"/>
  <c r="J430" i="17"/>
  <c r="O430" i="17" s="1" a="1"/>
  <c r="O430" i="17" s="1"/>
  <c r="K430" i="17"/>
  <c r="L430" i="17"/>
  <c r="I431" i="17"/>
  <c r="N431" i="17" s="1" a="1"/>
  <c r="N431" i="17" s="1"/>
  <c r="J431" i="17"/>
  <c r="O431" i="17" s="1" a="1"/>
  <c r="O431" i="17" s="1"/>
  <c r="K431" i="17"/>
  <c r="L431" i="17"/>
  <c r="M431" i="17" s="1"/>
  <c r="I432" i="17"/>
  <c r="N432" i="17" s="1" a="1"/>
  <c r="N432" i="17" s="1"/>
  <c r="J432" i="17"/>
  <c r="O432" i="17" s="1" a="1"/>
  <c r="O432" i="17" s="1"/>
  <c r="K432" i="17"/>
  <c r="L432" i="17"/>
  <c r="M432" i="17" s="1"/>
  <c r="I433" i="17"/>
  <c r="N433" i="17" s="1" a="1"/>
  <c r="N433" i="17" s="1"/>
  <c r="J433" i="17"/>
  <c r="O433" i="17" s="1" a="1"/>
  <c r="O433" i="17" s="1"/>
  <c r="K433" i="17"/>
  <c r="L433" i="17"/>
  <c r="M433" i="17" s="1"/>
  <c r="I434" i="17"/>
  <c r="N434" i="17" s="1" a="1"/>
  <c r="N434" i="17" s="1"/>
  <c r="J434" i="17"/>
  <c r="O434" i="17" s="1" a="1"/>
  <c r="O434" i="17" s="1"/>
  <c r="K434" i="17"/>
  <c r="L434" i="17"/>
  <c r="M434" i="17" s="1"/>
  <c r="I435" i="17"/>
  <c r="N435" i="17" s="1" a="1"/>
  <c r="N435" i="17" s="1"/>
  <c r="J435" i="17"/>
  <c r="O435" i="17" s="1" a="1"/>
  <c r="O435" i="17" s="1"/>
  <c r="K435" i="17"/>
  <c r="L435" i="17"/>
  <c r="M435" i="17" s="1"/>
  <c r="I436" i="17"/>
  <c r="N436" i="17" s="1" a="1"/>
  <c r="N436" i="17" s="1"/>
  <c r="J436" i="17"/>
  <c r="O436" i="17" s="1" a="1"/>
  <c r="O436" i="17" s="1"/>
  <c r="K436" i="17"/>
  <c r="L436" i="17"/>
  <c r="M436" i="17" s="1"/>
  <c r="I437" i="17"/>
  <c r="N437" i="17" s="1" a="1"/>
  <c r="N437" i="17" s="1"/>
  <c r="J437" i="17"/>
  <c r="O437" i="17" s="1" a="1"/>
  <c r="O437" i="17" s="1"/>
  <c r="K437" i="17"/>
  <c r="L437" i="17"/>
  <c r="M437" i="17" s="1"/>
  <c r="I438" i="17"/>
  <c r="N438" i="17" s="1" a="1"/>
  <c r="N438" i="17" s="1"/>
  <c r="J438" i="17"/>
  <c r="O438" i="17" s="1" a="1"/>
  <c r="O438" i="17" s="1"/>
  <c r="K438" i="17"/>
  <c r="L438" i="17"/>
  <c r="M438" i="17" s="1"/>
  <c r="I439" i="17"/>
  <c r="N439" i="17" s="1" a="1"/>
  <c r="N439" i="17" s="1"/>
  <c r="J439" i="17"/>
  <c r="O439" i="17" s="1" a="1"/>
  <c r="O439" i="17" s="1"/>
  <c r="K439" i="17"/>
  <c r="L439" i="17"/>
  <c r="M439" i="17" s="1"/>
  <c r="I440" i="17"/>
  <c r="N440" i="17" s="1" a="1"/>
  <c r="N440" i="17" s="1"/>
  <c r="J440" i="17"/>
  <c r="O440" i="17" s="1" a="1"/>
  <c r="O440" i="17" s="1"/>
  <c r="K440" i="17"/>
  <c r="L440" i="17"/>
  <c r="M440" i="17" s="1"/>
  <c r="I441" i="17"/>
  <c r="N441" i="17" s="1" a="1"/>
  <c r="N441" i="17" s="1"/>
  <c r="J441" i="17"/>
  <c r="O441" i="17" s="1" a="1"/>
  <c r="O441" i="17" s="1"/>
  <c r="K441" i="17"/>
  <c r="L441" i="17"/>
  <c r="M441" i="17" s="1"/>
  <c r="I442" i="17"/>
  <c r="N442" i="17" s="1" a="1"/>
  <c r="N442" i="17" s="1"/>
  <c r="J442" i="17"/>
  <c r="O442" i="17" s="1" a="1"/>
  <c r="O442" i="17" s="1"/>
  <c r="K442" i="17"/>
  <c r="L442" i="17"/>
  <c r="M442" i="17" s="1"/>
  <c r="I443" i="17"/>
  <c r="N443" i="17" s="1" a="1"/>
  <c r="N443" i="17" s="1"/>
  <c r="J443" i="17"/>
  <c r="O443" i="17" s="1" a="1"/>
  <c r="O443" i="17" s="1"/>
  <c r="K443" i="17"/>
  <c r="L443" i="17"/>
  <c r="M443" i="17" s="1"/>
  <c r="I444" i="17"/>
  <c r="N444" i="17" s="1" a="1"/>
  <c r="N444" i="17" s="1"/>
  <c r="J444" i="17"/>
  <c r="O444" i="17" s="1" a="1"/>
  <c r="O444" i="17" s="1"/>
  <c r="K444" i="17"/>
  <c r="L444" i="17"/>
  <c r="M444" i="17" s="1"/>
  <c r="I445" i="17"/>
  <c r="N445" i="17" s="1" a="1"/>
  <c r="N445" i="17" s="1"/>
  <c r="J445" i="17"/>
  <c r="O445" i="17" s="1" a="1"/>
  <c r="O445" i="17" s="1"/>
  <c r="K445" i="17"/>
  <c r="L445" i="17"/>
  <c r="I446" i="17"/>
  <c r="N446" i="17" s="1" a="1"/>
  <c r="N446" i="17" s="1"/>
  <c r="J446" i="17"/>
  <c r="O446" i="17" s="1" a="1"/>
  <c r="O446" i="17" s="1"/>
  <c r="K446" i="17"/>
  <c r="L446" i="17"/>
  <c r="I447" i="17"/>
  <c r="N447" i="17" s="1" a="1"/>
  <c r="N447" i="17" s="1"/>
  <c r="J447" i="17"/>
  <c r="O447" i="17" s="1" a="1"/>
  <c r="O447" i="17" s="1"/>
  <c r="K447" i="17"/>
  <c r="L447" i="17"/>
  <c r="M447" i="17" s="1"/>
  <c r="I448" i="17"/>
  <c r="N448" i="17" s="1" a="1"/>
  <c r="N448" i="17" s="1"/>
  <c r="J448" i="17"/>
  <c r="O448" i="17" s="1" a="1"/>
  <c r="O448" i="17" s="1"/>
  <c r="K448" i="17"/>
  <c r="L448" i="17"/>
  <c r="M448" i="17" s="1"/>
  <c r="I449" i="17"/>
  <c r="N449" i="17" s="1" a="1"/>
  <c r="N449" i="17" s="1"/>
  <c r="J449" i="17"/>
  <c r="O449" i="17" s="1" a="1"/>
  <c r="O449" i="17" s="1"/>
  <c r="K449" i="17"/>
  <c r="L449" i="17"/>
  <c r="M449" i="17" s="1"/>
  <c r="I450" i="17"/>
  <c r="N450" i="17" s="1" a="1"/>
  <c r="N450" i="17" s="1"/>
  <c r="J450" i="17"/>
  <c r="O450" i="17" s="1" a="1"/>
  <c r="O450" i="17" s="1"/>
  <c r="K450" i="17"/>
  <c r="L450" i="17"/>
  <c r="M450" i="17" s="1"/>
  <c r="I451" i="17"/>
  <c r="N451" i="17" s="1" a="1"/>
  <c r="N451" i="17" s="1"/>
  <c r="J451" i="17"/>
  <c r="O451" i="17" s="1" a="1"/>
  <c r="O451" i="17" s="1"/>
  <c r="K451" i="17"/>
  <c r="L451" i="17"/>
  <c r="M451" i="17" s="1"/>
  <c r="I452" i="17"/>
  <c r="N452" i="17" s="1" a="1"/>
  <c r="N452" i="17" s="1"/>
  <c r="J452" i="17"/>
  <c r="O452" i="17" s="1" a="1"/>
  <c r="O452" i="17" s="1"/>
  <c r="K452" i="17"/>
  <c r="L452" i="17"/>
  <c r="M452" i="17" s="1"/>
  <c r="I453" i="17"/>
  <c r="N453" i="17" s="1" a="1"/>
  <c r="N453" i="17" s="1"/>
  <c r="J453" i="17"/>
  <c r="O453" i="17" s="1" a="1"/>
  <c r="O453" i="17" s="1"/>
  <c r="K453" i="17"/>
  <c r="L453" i="17"/>
  <c r="M453" i="17" s="1"/>
  <c r="I454" i="17"/>
  <c r="N454" i="17" s="1" a="1"/>
  <c r="N454" i="17" s="1"/>
  <c r="J454" i="17"/>
  <c r="O454" i="17" s="1" a="1"/>
  <c r="O454" i="17" s="1"/>
  <c r="K454" i="17"/>
  <c r="L454" i="17"/>
  <c r="M454" i="17" s="1"/>
  <c r="I455" i="17"/>
  <c r="N455" i="17" s="1" a="1"/>
  <c r="N455" i="17" s="1"/>
  <c r="J455" i="17"/>
  <c r="O455" i="17" s="1" a="1"/>
  <c r="O455" i="17" s="1"/>
  <c r="K455" i="17"/>
  <c r="L455" i="17"/>
  <c r="M455" i="17" s="1"/>
  <c r="I456" i="17"/>
  <c r="N456" i="17" s="1" a="1"/>
  <c r="N456" i="17" s="1"/>
  <c r="J456" i="17"/>
  <c r="O456" i="17" s="1" a="1"/>
  <c r="O456" i="17" s="1"/>
  <c r="K456" i="17"/>
  <c r="L456" i="17"/>
  <c r="M456" i="17" s="1"/>
  <c r="I457" i="17"/>
  <c r="N457" i="17" s="1" a="1"/>
  <c r="N457" i="17" s="1"/>
  <c r="J457" i="17"/>
  <c r="O457" i="17" s="1" a="1"/>
  <c r="O457" i="17" s="1"/>
  <c r="K457" i="17"/>
  <c r="L457" i="17"/>
  <c r="M457" i="17" s="1"/>
  <c r="I458" i="17"/>
  <c r="N458" i="17" s="1" a="1"/>
  <c r="N458" i="17" s="1"/>
  <c r="J458" i="17"/>
  <c r="O458" i="17" s="1" a="1"/>
  <c r="O458" i="17" s="1"/>
  <c r="K458" i="17"/>
  <c r="L458" i="17"/>
  <c r="M458" i="17" s="1"/>
  <c r="I459" i="17"/>
  <c r="N459" i="17" s="1" a="1"/>
  <c r="N459" i="17" s="1"/>
  <c r="J459" i="17"/>
  <c r="O459" i="17" s="1" a="1"/>
  <c r="O459" i="17" s="1"/>
  <c r="K459" i="17"/>
  <c r="L459" i="17"/>
  <c r="M459" i="17" s="1"/>
  <c r="I460" i="17"/>
  <c r="N460" i="17" s="1" a="1"/>
  <c r="N460" i="17" s="1"/>
  <c r="J460" i="17"/>
  <c r="O460" i="17" s="1" a="1"/>
  <c r="O460" i="17" s="1"/>
  <c r="K460" i="17"/>
  <c r="L460" i="17"/>
  <c r="M460" i="17" s="1"/>
  <c r="I461" i="17"/>
  <c r="N461" i="17" s="1" a="1"/>
  <c r="N461" i="17" s="1"/>
  <c r="J461" i="17"/>
  <c r="O461" i="17" s="1" a="1"/>
  <c r="O461" i="17" s="1"/>
  <c r="K461" i="17"/>
  <c r="L461" i="17"/>
  <c r="I462" i="17"/>
  <c r="N462" i="17" s="1" a="1"/>
  <c r="N462" i="17" s="1"/>
  <c r="J462" i="17"/>
  <c r="O462" i="17" s="1" a="1"/>
  <c r="O462" i="17" s="1"/>
  <c r="K462" i="17"/>
  <c r="L462" i="17"/>
  <c r="I463" i="17"/>
  <c r="N463" i="17" s="1" a="1"/>
  <c r="N463" i="17" s="1"/>
  <c r="J463" i="17"/>
  <c r="O463" i="17" s="1" a="1"/>
  <c r="O463" i="17" s="1"/>
  <c r="K463" i="17"/>
  <c r="L463" i="17"/>
  <c r="M463" i="17" s="1"/>
  <c r="I464" i="17"/>
  <c r="N464" i="17" s="1" a="1"/>
  <c r="N464" i="17" s="1"/>
  <c r="J464" i="17"/>
  <c r="O464" i="17" s="1" a="1"/>
  <c r="O464" i="17" s="1"/>
  <c r="K464" i="17"/>
  <c r="L464" i="17"/>
  <c r="M464" i="17" s="1"/>
  <c r="I465" i="17"/>
  <c r="N465" i="17" s="1" a="1"/>
  <c r="N465" i="17" s="1"/>
  <c r="J465" i="17"/>
  <c r="O465" i="17" s="1" a="1"/>
  <c r="O465" i="17" s="1"/>
  <c r="K465" i="17"/>
  <c r="L465" i="17"/>
  <c r="M465" i="17" s="1"/>
  <c r="I466" i="17"/>
  <c r="N466" i="17" s="1" a="1"/>
  <c r="N466" i="17" s="1"/>
  <c r="J466" i="17"/>
  <c r="O466" i="17" s="1" a="1"/>
  <c r="O466" i="17" s="1"/>
  <c r="K466" i="17"/>
  <c r="L466" i="17"/>
  <c r="M466" i="17" s="1"/>
  <c r="I467" i="17"/>
  <c r="N467" i="17" s="1" a="1"/>
  <c r="N467" i="17" s="1"/>
  <c r="J467" i="17"/>
  <c r="O467" i="17" s="1" a="1"/>
  <c r="O467" i="17" s="1"/>
  <c r="K467" i="17"/>
  <c r="L467" i="17"/>
  <c r="M467" i="17" s="1"/>
  <c r="I468" i="17"/>
  <c r="N468" i="17" s="1" a="1"/>
  <c r="N468" i="17" s="1"/>
  <c r="J468" i="17"/>
  <c r="O468" i="17" s="1" a="1"/>
  <c r="O468" i="17" s="1"/>
  <c r="K468" i="17"/>
  <c r="L468" i="17"/>
  <c r="M468" i="17" s="1"/>
  <c r="I469" i="17"/>
  <c r="N469" i="17" s="1" a="1"/>
  <c r="N469" i="17" s="1"/>
  <c r="J469" i="17"/>
  <c r="O469" i="17" s="1" a="1"/>
  <c r="O469" i="17" s="1"/>
  <c r="K469" i="17"/>
  <c r="L469" i="17"/>
  <c r="M469" i="17" s="1"/>
  <c r="I470" i="17"/>
  <c r="N470" i="17" s="1" a="1"/>
  <c r="N470" i="17" s="1"/>
  <c r="J470" i="17"/>
  <c r="O470" i="17" s="1" a="1"/>
  <c r="O470" i="17" s="1"/>
  <c r="K470" i="17"/>
  <c r="L470" i="17"/>
  <c r="M470" i="17" s="1"/>
  <c r="I471" i="17"/>
  <c r="N471" i="17" s="1" a="1"/>
  <c r="N471" i="17" s="1"/>
  <c r="J471" i="17"/>
  <c r="O471" i="17" s="1" a="1"/>
  <c r="O471" i="17" s="1"/>
  <c r="K471" i="17"/>
  <c r="L471" i="17"/>
  <c r="M471" i="17" s="1"/>
  <c r="I472" i="17"/>
  <c r="N472" i="17" s="1" a="1"/>
  <c r="N472" i="17" s="1"/>
  <c r="J472" i="17"/>
  <c r="O472" i="17" s="1" a="1"/>
  <c r="O472" i="17" s="1"/>
  <c r="K472" i="17"/>
  <c r="L472" i="17"/>
  <c r="M472" i="17" s="1"/>
  <c r="I473" i="17"/>
  <c r="N473" i="17" s="1" a="1"/>
  <c r="N473" i="17" s="1"/>
  <c r="J473" i="17"/>
  <c r="O473" i="17" s="1" a="1"/>
  <c r="O473" i="17" s="1"/>
  <c r="K473" i="17"/>
  <c r="L473" i="17"/>
  <c r="M473" i="17" s="1"/>
  <c r="I474" i="17"/>
  <c r="N474" i="17" s="1" a="1"/>
  <c r="N474" i="17" s="1"/>
  <c r="J474" i="17"/>
  <c r="O474" i="17" s="1" a="1"/>
  <c r="O474" i="17" s="1"/>
  <c r="K474" i="17"/>
  <c r="L474" i="17"/>
  <c r="M474" i="17" s="1"/>
  <c r="I475" i="17"/>
  <c r="N475" i="17" s="1" a="1"/>
  <c r="N475" i="17" s="1"/>
  <c r="J475" i="17"/>
  <c r="O475" i="17" s="1" a="1"/>
  <c r="O475" i="17" s="1"/>
  <c r="K475" i="17"/>
  <c r="L475" i="17"/>
  <c r="M475" i="17" s="1"/>
  <c r="I476" i="17"/>
  <c r="N476" i="17" s="1" a="1"/>
  <c r="N476" i="17" s="1"/>
  <c r="J476" i="17"/>
  <c r="O476" i="17" s="1" a="1"/>
  <c r="O476" i="17" s="1"/>
  <c r="K476" i="17"/>
  <c r="L476" i="17"/>
  <c r="M476" i="17" s="1"/>
  <c r="I477" i="17"/>
  <c r="N477" i="17" s="1" a="1"/>
  <c r="N477" i="17" s="1"/>
  <c r="J477" i="17"/>
  <c r="O477" i="17" s="1" a="1"/>
  <c r="O477" i="17" s="1"/>
  <c r="K477" i="17"/>
  <c r="L477" i="17"/>
  <c r="I478" i="17"/>
  <c r="N478" i="17" s="1" a="1"/>
  <c r="N478" i="17" s="1"/>
  <c r="J478" i="17"/>
  <c r="O478" i="17" s="1" a="1"/>
  <c r="O478" i="17" s="1"/>
  <c r="K478" i="17"/>
  <c r="L478" i="17"/>
  <c r="I479" i="17"/>
  <c r="N479" i="17" s="1" a="1"/>
  <c r="N479" i="17" s="1"/>
  <c r="J479" i="17"/>
  <c r="O479" i="17" s="1" a="1"/>
  <c r="O479" i="17" s="1"/>
  <c r="K479" i="17"/>
  <c r="L479" i="17"/>
  <c r="M479" i="17" s="1"/>
  <c r="I480" i="17"/>
  <c r="N480" i="17" s="1" a="1"/>
  <c r="N480" i="17" s="1"/>
  <c r="J480" i="17"/>
  <c r="O480" i="17" s="1" a="1"/>
  <c r="O480" i="17" s="1"/>
  <c r="K480" i="17"/>
  <c r="L480" i="17"/>
  <c r="M480" i="17" s="1"/>
  <c r="I481" i="17"/>
  <c r="N481" i="17" s="1" a="1"/>
  <c r="N481" i="17" s="1"/>
  <c r="J481" i="17"/>
  <c r="O481" i="17" s="1" a="1"/>
  <c r="O481" i="17" s="1"/>
  <c r="K481" i="17"/>
  <c r="L481" i="17"/>
  <c r="M481" i="17" s="1"/>
  <c r="I482" i="17"/>
  <c r="N482" i="17" s="1" a="1"/>
  <c r="N482" i="17" s="1"/>
  <c r="J482" i="17"/>
  <c r="O482" i="17" s="1" a="1"/>
  <c r="O482" i="17" s="1"/>
  <c r="K482" i="17"/>
  <c r="L482" i="17"/>
  <c r="M482" i="17" s="1"/>
  <c r="I483" i="17"/>
  <c r="N483" i="17" s="1" a="1"/>
  <c r="N483" i="17" s="1"/>
  <c r="J483" i="17"/>
  <c r="O483" i="17" s="1" a="1"/>
  <c r="O483" i="17" s="1"/>
  <c r="K483" i="17"/>
  <c r="L483" i="17"/>
  <c r="M483" i="17" s="1"/>
  <c r="I484" i="17"/>
  <c r="N484" i="17" s="1" a="1"/>
  <c r="N484" i="17" s="1"/>
  <c r="J484" i="17"/>
  <c r="O484" i="17" s="1" a="1"/>
  <c r="O484" i="17" s="1"/>
  <c r="K484" i="17"/>
  <c r="L484" i="17"/>
  <c r="M484" i="17" s="1"/>
  <c r="I485" i="17"/>
  <c r="N485" i="17" s="1" a="1"/>
  <c r="N485" i="17" s="1"/>
  <c r="J485" i="17"/>
  <c r="O485" i="17" s="1" a="1"/>
  <c r="O485" i="17" s="1"/>
  <c r="K485" i="17"/>
  <c r="L485" i="17"/>
  <c r="M485" i="17" s="1"/>
  <c r="I486" i="17"/>
  <c r="N486" i="17" s="1" a="1"/>
  <c r="N486" i="17" s="1"/>
  <c r="J486" i="17"/>
  <c r="O486" i="17" s="1" a="1"/>
  <c r="O486" i="17" s="1"/>
  <c r="K486" i="17"/>
  <c r="L486" i="17"/>
  <c r="M486" i="17" s="1"/>
  <c r="I487" i="17"/>
  <c r="N487" i="17" s="1" a="1"/>
  <c r="N487" i="17" s="1"/>
  <c r="J487" i="17"/>
  <c r="O487" i="17" s="1" a="1"/>
  <c r="O487" i="17" s="1"/>
  <c r="K487" i="17"/>
  <c r="L487" i="17"/>
  <c r="M487" i="17" s="1"/>
  <c r="I488" i="17"/>
  <c r="N488" i="17" s="1" a="1"/>
  <c r="N488" i="17" s="1"/>
  <c r="J488" i="17"/>
  <c r="O488" i="17" s="1" a="1"/>
  <c r="O488" i="17" s="1"/>
  <c r="K488" i="17"/>
  <c r="L488" i="17"/>
  <c r="M488" i="17" s="1"/>
  <c r="I489" i="17"/>
  <c r="N489" i="17" s="1" a="1"/>
  <c r="N489" i="17" s="1"/>
  <c r="J489" i="17"/>
  <c r="O489" i="17" s="1" a="1"/>
  <c r="O489" i="17" s="1"/>
  <c r="K489" i="17"/>
  <c r="L489" i="17"/>
  <c r="M489" i="17" s="1"/>
  <c r="I490" i="17"/>
  <c r="N490" i="17" s="1" a="1"/>
  <c r="N490" i="17" s="1"/>
  <c r="J490" i="17"/>
  <c r="O490" i="17" s="1" a="1"/>
  <c r="O490" i="17" s="1"/>
  <c r="K490" i="17"/>
  <c r="L490" i="17"/>
  <c r="M490" i="17" s="1"/>
  <c r="I491" i="17"/>
  <c r="N491" i="17" s="1" a="1"/>
  <c r="N491" i="17" s="1"/>
  <c r="J491" i="17"/>
  <c r="O491" i="17" s="1" a="1"/>
  <c r="O491" i="17" s="1"/>
  <c r="K491" i="17"/>
  <c r="L491" i="17"/>
  <c r="M491" i="17" s="1"/>
  <c r="I492" i="17"/>
  <c r="N492" i="17" s="1" a="1"/>
  <c r="N492" i="17" s="1"/>
  <c r="J492" i="17"/>
  <c r="O492" i="17" s="1" a="1"/>
  <c r="O492" i="17" s="1"/>
  <c r="K492" i="17"/>
  <c r="L492" i="17"/>
  <c r="M492" i="17" s="1"/>
  <c r="I493" i="17"/>
  <c r="N493" i="17" s="1" a="1"/>
  <c r="N493" i="17" s="1"/>
  <c r="J493" i="17"/>
  <c r="O493" i="17" s="1" a="1"/>
  <c r="O493" i="17" s="1"/>
  <c r="K493" i="17"/>
  <c r="L493" i="17"/>
  <c r="I494" i="17"/>
  <c r="N494" i="17" s="1" a="1"/>
  <c r="N494" i="17" s="1"/>
  <c r="J494" i="17"/>
  <c r="O494" i="17" s="1" a="1"/>
  <c r="O494" i="17" s="1"/>
  <c r="K494" i="17"/>
  <c r="L494" i="17"/>
  <c r="I495" i="17"/>
  <c r="N495" i="17" s="1" a="1"/>
  <c r="N495" i="17" s="1"/>
  <c r="J495" i="17"/>
  <c r="O495" i="17" s="1" a="1"/>
  <c r="O495" i="17" s="1"/>
  <c r="K495" i="17"/>
  <c r="L495" i="17"/>
  <c r="M495" i="17" s="1"/>
  <c r="I496" i="17"/>
  <c r="N496" i="17" s="1" a="1"/>
  <c r="N496" i="17" s="1"/>
  <c r="J496" i="17"/>
  <c r="O496" i="17" s="1" a="1"/>
  <c r="O496" i="17" s="1"/>
  <c r="K496" i="17"/>
  <c r="L496" i="17"/>
  <c r="M496" i="17" s="1"/>
  <c r="I497" i="17"/>
  <c r="N497" i="17" s="1" a="1"/>
  <c r="N497" i="17" s="1"/>
  <c r="J497" i="17"/>
  <c r="O497" i="17" s="1" a="1"/>
  <c r="O497" i="17" s="1"/>
  <c r="K497" i="17"/>
  <c r="L497" i="17"/>
  <c r="M497" i="17" s="1"/>
  <c r="I498" i="17"/>
  <c r="N498" i="17" s="1" a="1"/>
  <c r="N498" i="17" s="1"/>
  <c r="J498" i="17"/>
  <c r="O498" i="17" s="1" a="1"/>
  <c r="O498" i="17" s="1"/>
  <c r="K498" i="17"/>
  <c r="L498" i="17"/>
  <c r="M498" i="17" s="1"/>
  <c r="I499" i="17"/>
  <c r="N499" i="17" s="1" a="1"/>
  <c r="N499" i="17" s="1"/>
  <c r="J499" i="17"/>
  <c r="O499" i="17" s="1" a="1"/>
  <c r="O499" i="17" s="1"/>
  <c r="K499" i="17"/>
  <c r="L499" i="17"/>
  <c r="M499" i="17" s="1"/>
  <c r="I500" i="17"/>
  <c r="N500" i="17" s="1" a="1"/>
  <c r="N500" i="17" s="1"/>
  <c r="J500" i="17"/>
  <c r="O500" i="17" s="1" a="1"/>
  <c r="O500" i="17" s="1"/>
  <c r="K500" i="17"/>
  <c r="L500" i="17"/>
  <c r="M500" i="17" s="1"/>
  <c r="I501" i="17"/>
  <c r="N501" i="17" s="1" a="1"/>
  <c r="N501" i="17" s="1"/>
  <c r="J501" i="17"/>
  <c r="O501" i="17" s="1" a="1"/>
  <c r="O501" i="17" s="1"/>
  <c r="K501" i="17"/>
  <c r="L501" i="17"/>
  <c r="M501" i="17" s="1"/>
  <c r="I502" i="17"/>
  <c r="N502" i="17" s="1" a="1"/>
  <c r="N502" i="17" s="1"/>
  <c r="J502" i="17"/>
  <c r="O502" i="17" s="1" a="1"/>
  <c r="O502" i="17" s="1"/>
  <c r="K502" i="17"/>
  <c r="L502" i="17"/>
  <c r="M502" i="17" s="1"/>
  <c r="I503" i="17"/>
  <c r="N503" i="17" s="1" a="1"/>
  <c r="N503" i="17" s="1"/>
  <c r="J503" i="17"/>
  <c r="O503" i="17" s="1" a="1"/>
  <c r="O503" i="17" s="1"/>
  <c r="K503" i="17"/>
  <c r="L503" i="17"/>
  <c r="M503" i="17" s="1"/>
  <c r="I504" i="17"/>
  <c r="N504" i="17" s="1" a="1"/>
  <c r="N504" i="17" s="1"/>
  <c r="J504" i="17"/>
  <c r="O504" i="17" s="1" a="1"/>
  <c r="O504" i="17" s="1"/>
  <c r="K504" i="17"/>
  <c r="L504" i="17"/>
  <c r="M504" i="17" s="1"/>
  <c r="I505" i="17"/>
  <c r="N505" i="17" s="1" a="1"/>
  <c r="N505" i="17" s="1"/>
  <c r="J505" i="17"/>
  <c r="O505" i="17" s="1" a="1"/>
  <c r="O505" i="17" s="1"/>
  <c r="K505" i="17"/>
  <c r="L505" i="17"/>
  <c r="M505" i="17" s="1"/>
  <c r="I506" i="17"/>
  <c r="N506" i="17" s="1" a="1"/>
  <c r="N506" i="17" s="1"/>
  <c r="J506" i="17"/>
  <c r="O506" i="17" s="1" a="1"/>
  <c r="O506" i="17" s="1"/>
  <c r="K506" i="17"/>
  <c r="L506" i="17"/>
  <c r="M506" i="17" s="1"/>
  <c r="I507" i="17"/>
  <c r="N507" i="17" s="1" a="1"/>
  <c r="N507" i="17" s="1"/>
  <c r="J507" i="17"/>
  <c r="O507" i="17" s="1" a="1"/>
  <c r="O507" i="17" s="1"/>
  <c r="K507" i="17"/>
  <c r="L507" i="17"/>
  <c r="M507" i="17" s="1"/>
  <c r="I508" i="17"/>
  <c r="N508" i="17" s="1" a="1"/>
  <c r="N508" i="17" s="1"/>
  <c r="J508" i="17"/>
  <c r="O508" i="17" s="1" a="1"/>
  <c r="O508" i="17" s="1"/>
  <c r="K508" i="17"/>
  <c r="L508" i="17"/>
  <c r="M508" i="17" s="1"/>
  <c r="I509" i="17"/>
  <c r="N509" i="17" s="1" a="1"/>
  <c r="N509" i="17" s="1"/>
  <c r="J509" i="17"/>
  <c r="O509" i="17" s="1" a="1"/>
  <c r="O509" i="17" s="1"/>
  <c r="K509" i="17"/>
  <c r="L509" i="17"/>
  <c r="I510" i="17"/>
  <c r="N510" i="17" s="1" a="1"/>
  <c r="N510" i="17" s="1"/>
  <c r="J510" i="17"/>
  <c r="O510" i="17" s="1" a="1"/>
  <c r="O510" i="17" s="1"/>
  <c r="K510" i="17"/>
  <c r="L510" i="17"/>
  <c r="I511" i="17"/>
  <c r="N511" i="17" s="1" a="1"/>
  <c r="N511" i="17" s="1"/>
  <c r="J511" i="17"/>
  <c r="O511" i="17" s="1" a="1"/>
  <c r="O511" i="17" s="1"/>
  <c r="K511" i="17"/>
  <c r="L511" i="17"/>
  <c r="M511" i="17" s="1"/>
  <c r="I512" i="17"/>
  <c r="N512" i="17" s="1" a="1"/>
  <c r="N512" i="17" s="1"/>
  <c r="J512" i="17"/>
  <c r="O512" i="17" s="1" a="1"/>
  <c r="O512" i="17" s="1"/>
  <c r="K512" i="17"/>
  <c r="L512" i="17"/>
  <c r="M512" i="17" s="1"/>
  <c r="I513" i="17"/>
  <c r="N513" i="17" s="1" a="1"/>
  <c r="N513" i="17" s="1"/>
  <c r="J513" i="17"/>
  <c r="O513" i="17" s="1" a="1"/>
  <c r="O513" i="17" s="1"/>
  <c r="K513" i="17"/>
  <c r="L513" i="17"/>
  <c r="M513" i="17" s="1"/>
  <c r="I514" i="17"/>
  <c r="N514" i="17" s="1" a="1"/>
  <c r="N514" i="17" s="1"/>
  <c r="J514" i="17"/>
  <c r="O514" i="17" s="1" a="1"/>
  <c r="O514" i="17" s="1"/>
  <c r="K514" i="17"/>
  <c r="L514" i="17"/>
  <c r="M514" i="17" s="1"/>
  <c r="I515" i="17"/>
  <c r="N515" i="17" s="1" a="1"/>
  <c r="N515" i="17" s="1"/>
  <c r="J515" i="17"/>
  <c r="O515" i="17" s="1" a="1"/>
  <c r="O515" i="17" s="1"/>
  <c r="K515" i="17"/>
  <c r="L515" i="17"/>
  <c r="M515" i="17" s="1"/>
  <c r="I516" i="17"/>
  <c r="N516" i="17" s="1" a="1"/>
  <c r="N516" i="17" s="1"/>
  <c r="J516" i="17"/>
  <c r="O516" i="17" s="1" a="1"/>
  <c r="O516" i="17" s="1"/>
  <c r="K516" i="17"/>
  <c r="L516" i="17"/>
  <c r="M516" i="17" s="1"/>
  <c r="I517" i="17"/>
  <c r="N517" i="17" s="1" a="1"/>
  <c r="N517" i="17" s="1"/>
  <c r="J517" i="17"/>
  <c r="O517" i="17" s="1" a="1"/>
  <c r="O517" i="17" s="1"/>
  <c r="K517" i="17"/>
  <c r="L517" i="17"/>
  <c r="M517" i="17" s="1"/>
  <c r="I518" i="17"/>
  <c r="N518" i="17" s="1" a="1"/>
  <c r="N518" i="17" s="1"/>
  <c r="J518" i="17"/>
  <c r="O518" i="17" s="1" a="1"/>
  <c r="O518" i="17" s="1"/>
  <c r="K518" i="17"/>
  <c r="L518" i="17"/>
  <c r="M518" i="17" s="1"/>
  <c r="I519" i="17"/>
  <c r="N519" i="17" s="1" a="1"/>
  <c r="N519" i="17" s="1"/>
  <c r="J519" i="17"/>
  <c r="O519" i="17" s="1" a="1"/>
  <c r="O519" i="17" s="1"/>
  <c r="K519" i="17"/>
  <c r="L519" i="17"/>
  <c r="M519" i="17" s="1"/>
  <c r="I520" i="17"/>
  <c r="N520" i="17" s="1" a="1"/>
  <c r="N520" i="17" s="1"/>
  <c r="J520" i="17"/>
  <c r="O520" i="17" s="1" a="1"/>
  <c r="O520" i="17" s="1"/>
  <c r="K520" i="17"/>
  <c r="L520" i="17"/>
  <c r="M520" i="17" s="1"/>
  <c r="I521" i="17"/>
  <c r="N521" i="17" s="1" a="1"/>
  <c r="N521" i="17" s="1"/>
  <c r="J521" i="17"/>
  <c r="O521" i="17" s="1" a="1"/>
  <c r="O521" i="17" s="1"/>
  <c r="K521" i="17"/>
  <c r="L521" i="17"/>
  <c r="M521" i="17" s="1"/>
  <c r="I522" i="17"/>
  <c r="N522" i="17" s="1" a="1"/>
  <c r="N522" i="17" s="1"/>
  <c r="J522" i="17"/>
  <c r="O522" i="17" s="1" a="1"/>
  <c r="O522" i="17" s="1"/>
  <c r="K522" i="17"/>
  <c r="L522" i="17"/>
  <c r="M522" i="17" s="1"/>
  <c r="I523" i="17"/>
  <c r="N523" i="17" s="1" a="1"/>
  <c r="N523" i="17" s="1"/>
  <c r="J523" i="17"/>
  <c r="O523" i="17" s="1" a="1"/>
  <c r="O523" i="17" s="1"/>
  <c r="K523" i="17"/>
  <c r="L523" i="17"/>
  <c r="M523" i="17" s="1"/>
  <c r="I524" i="17"/>
  <c r="J524" i="17"/>
  <c r="O524" i="17" s="1" a="1"/>
  <c r="O524" i="17" s="1"/>
  <c r="K524" i="17"/>
  <c r="L524" i="17"/>
  <c r="M524" i="17" s="1"/>
  <c r="I525" i="17"/>
  <c r="N525" i="17" s="1" a="1"/>
  <c r="N525" i="17" s="1"/>
  <c r="J525" i="17"/>
  <c r="O525" i="17" s="1" a="1"/>
  <c r="O525" i="17" s="1"/>
  <c r="K525" i="17"/>
  <c r="L525" i="17"/>
  <c r="I526" i="17"/>
  <c r="N526" i="17" s="1" a="1"/>
  <c r="N526" i="17" s="1"/>
  <c r="J526" i="17"/>
  <c r="O526" i="17" s="1" a="1"/>
  <c r="O526" i="17" s="1"/>
  <c r="K526" i="17"/>
  <c r="L526" i="17"/>
  <c r="I527" i="17"/>
  <c r="N527" i="17" s="1" a="1"/>
  <c r="N527" i="17" s="1"/>
  <c r="J527" i="17"/>
  <c r="O527" i="17" s="1" a="1"/>
  <c r="O527" i="17" s="1"/>
  <c r="K527" i="17"/>
  <c r="L527" i="17"/>
  <c r="M527" i="17" s="1"/>
  <c r="I528" i="17"/>
  <c r="N528" i="17" s="1" a="1"/>
  <c r="N528" i="17" s="1"/>
  <c r="J528" i="17"/>
  <c r="O528" i="17" s="1" a="1"/>
  <c r="O528" i="17" s="1"/>
  <c r="K528" i="17"/>
  <c r="L528" i="17"/>
  <c r="M528" i="17" s="1"/>
  <c r="I529" i="17"/>
  <c r="N529" i="17" s="1" a="1"/>
  <c r="N529" i="17" s="1"/>
  <c r="J529" i="17"/>
  <c r="O529" i="17" s="1" a="1"/>
  <c r="O529" i="17" s="1"/>
  <c r="K529" i="17"/>
  <c r="L529" i="17"/>
  <c r="M529" i="17" s="1"/>
  <c r="I530" i="17"/>
  <c r="N530" i="17" s="1" a="1"/>
  <c r="N530" i="17" s="1"/>
  <c r="J530" i="17"/>
  <c r="O530" i="17" s="1" a="1"/>
  <c r="O530" i="17" s="1"/>
  <c r="K530" i="17"/>
  <c r="L530" i="17"/>
  <c r="M530" i="17" s="1"/>
  <c r="I531" i="17"/>
  <c r="N531" i="17" s="1" a="1"/>
  <c r="N531" i="17" s="1"/>
  <c r="J531" i="17"/>
  <c r="O531" i="17" s="1" a="1"/>
  <c r="O531" i="17" s="1"/>
  <c r="K531" i="17"/>
  <c r="L531" i="17"/>
  <c r="M531" i="17" s="1"/>
  <c r="I532" i="17"/>
  <c r="N532" i="17" s="1" a="1"/>
  <c r="N532" i="17" s="1"/>
  <c r="J532" i="17"/>
  <c r="O532" i="17" s="1" a="1"/>
  <c r="O532" i="17" s="1"/>
  <c r="K532" i="17"/>
  <c r="L532" i="17"/>
  <c r="M532" i="17" s="1"/>
  <c r="I533" i="17"/>
  <c r="N533" i="17" s="1" a="1"/>
  <c r="N533" i="17" s="1"/>
  <c r="J533" i="17"/>
  <c r="O533" i="17" s="1" a="1"/>
  <c r="O533" i="17" s="1"/>
  <c r="K533" i="17"/>
  <c r="L533" i="17"/>
  <c r="M533" i="17" s="1"/>
  <c r="I534" i="17"/>
  <c r="N534" i="17" s="1" a="1"/>
  <c r="N534" i="17" s="1"/>
  <c r="J534" i="17"/>
  <c r="O534" i="17" s="1" a="1"/>
  <c r="O534" i="17" s="1"/>
  <c r="K534" i="17"/>
  <c r="L534" i="17"/>
  <c r="M534" i="17" s="1"/>
  <c r="I535" i="17"/>
  <c r="N535" i="17" s="1" a="1"/>
  <c r="N535" i="17" s="1"/>
  <c r="J535" i="17"/>
  <c r="O535" i="17" s="1" a="1"/>
  <c r="O535" i="17" s="1"/>
  <c r="K535" i="17"/>
  <c r="L535" i="17"/>
  <c r="M535" i="17" s="1"/>
  <c r="I536" i="17"/>
  <c r="N536" i="17" s="1" a="1"/>
  <c r="N536" i="17" s="1"/>
  <c r="J536" i="17"/>
  <c r="O536" i="17" s="1" a="1"/>
  <c r="O536" i="17" s="1"/>
  <c r="K536" i="17"/>
  <c r="L536" i="17"/>
  <c r="M536" i="17" s="1"/>
  <c r="I537" i="17"/>
  <c r="N537" i="17" s="1" a="1"/>
  <c r="N537" i="17" s="1"/>
  <c r="J537" i="17"/>
  <c r="O537" i="17" s="1" a="1"/>
  <c r="O537" i="17" s="1"/>
  <c r="K537" i="17"/>
  <c r="L537" i="17"/>
  <c r="M537" i="17" s="1"/>
  <c r="I538" i="17"/>
  <c r="J538" i="17"/>
  <c r="O538" i="17" s="1" a="1"/>
  <c r="O538" i="17" s="1"/>
  <c r="K538" i="17"/>
  <c r="L538" i="17"/>
  <c r="M538" i="17" s="1"/>
  <c r="I539" i="17"/>
  <c r="N539" i="17" s="1" a="1"/>
  <c r="N539" i="17" s="1"/>
  <c r="J539" i="17"/>
  <c r="O539" i="17" s="1" a="1"/>
  <c r="O539" i="17" s="1"/>
  <c r="K539" i="17"/>
  <c r="L539" i="17"/>
  <c r="M539" i="17" s="1"/>
  <c r="I540" i="17"/>
  <c r="N540" i="17" s="1" a="1"/>
  <c r="N540" i="17" s="1"/>
  <c r="J540" i="17"/>
  <c r="O540" i="17" s="1" a="1"/>
  <c r="O540" i="17" s="1"/>
  <c r="K540" i="17"/>
  <c r="L540" i="17"/>
  <c r="M540" i="17" s="1"/>
  <c r="I541" i="17"/>
  <c r="N541" i="17" s="1" a="1"/>
  <c r="N541" i="17" s="1"/>
  <c r="J541" i="17"/>
  <c r="O541" i="17" s="1" a="1"/>
  <c r="O541" i="17" s="1"/>
  <c r="K541" i="17"/>
  <c r="L541" i="17"/>
  <c r="I542" i="17"/>
  <c r="N542" i="17" s="1" a="1"/>
  <c r="N542" i="17" s="1"/>
  <c r="J542" i="17"/>
  <c r="O542" i="17" s="1" a="1"/>
  <c r="O542" i="17" s="1"/>
  <c r="K542" i="17"/>
  <c r="L542" i="17"/>
  <c r="I543" i="17"/>
  <c r="N543" i="17" s="1" a="1"/>
  <c r="N543" i="17" s="1"/>
  <c r="J543" i="17"/>
  <c r="O543" i="17" s="1" a="1"/>
  <c r="O543" i="17" s="1"/>
  <c r="K543" i="17"/>
  <c r="L543" i="17"/>
  <c r="M543" i="17" s="1"/>
  <c r="I544" i="17"/>
  <c r="N544" i="17" s="1" a="1"/>
  <c r="N544" i="17" s="1"/>
  <c r="J544" i="17"/>
  <c r="O544" i="17" s="1" a="1"/>
  <c r="O544" i="17" s="1"/>
  <c r="K544" i="17"/>
  <c r="L544" i="17"/>
  <c r="M544" i="17" s="1"/>
  <c r="I545" i="17"/>
  <c r="N545" i="17" s="1" a="1"/>
  <c r="N545" i="17" s="1"/>
  <c r="J545" i="17"/>
  <c r="O545" i="17" s="1" a="1"/>
  <c r="O545" i="17" s="1"/>
  <c r="K545" i="17"/>
  <c r="L545" i="17"/>
  <c r="M545" i="17" s="1"/>
  <c r="I546" i="17"/>
  <c r="N546" i="17" s="1" a="1"/>
  <c r="N546" i="17" s="1"/>
  <c r="J546" i="17"/>
  <c r="O546" i="17" s="1" a="1"/>
  <c r="O546" i="17" s="1"/>
  <c r="K546" i="17"/>
  <c r="L546" i="17"/>
  <c r="M546" i="17" s="1"/>
  <c r="I547" i="17"/>
  <c r="N547" i="17" s="1" a="1"/>
  <c r="N547" i="17" s="1"/>
  <c r="J547" i="17"/>
  <c r="O547" i="17" s="1" a="1"/>
  <c r="O547" i="17" s="1"/>
  <c r="K547" i="17"/>
  <c r="L547" i="17"/>
  <c r="M547" i="17" s="1"/>
  <c r="I548" i="17"/>
  <c r="N548" i="17" s="1" a="1"/>
  <c r="N548" i="17" s="1"/>
  <c r="J548" i="17"/>
  <c r="O548" i="17" s="1" a="1"/>
  <c r="O548" i="17" s="1"/>
  <c r="K548" i="17"/>
  <c r="L548" i="17"/>
  <c r="M548" i="17" s="1"/>
  <c r="I549" i="17"/>
  <c r="N549" i="17" s="1" a="1"/>
  <c r="N549" i="17" s="1"/>
  <c r="J549" i="17"/>
  <c r="O549" i="17" s="1" a="1"/>
  <c r="O549" i="17" s="1"/>
  <c r="K549" i="17"/>
  <c r="L549" i="17"/>
  <c r="M549" i="17" s="1"/>
  <c r="I550" i="17"/>
  <c r="N550" i="17" s="1" a="1"/>
  <c r="N550" i="17" s="1"/>
  <c r="J550" i="17"/>
  <c r="O550" i="17" s="1" a="1"/>
  <c r="O550" i="17" s="1"/>
  <c r="K550" i="17"/>
  <c r="L550" i="17"/>
  <c r="M550" i="17" s="1"/>
  <c r="I551" i="17"/>
  <c r="N551" i="17" s="1" a="1"/>
  <c r="N551" i="17" s="1"/>
  <c r="J551" i="17"/>
  <c r="O551" i="17" s="1" a="1"/>
  <c r="O551" i="17" s="1"/>
  <c r="K551" i="17"/>
  <c r="L551" i="17"/>
  <c r="M551" i="17" s="1"/>
  <c r="I552" i="17"/>
  <c r="N552" i="17" s="1" a="1"/>
  <c r="N552" i="17" s="1"/>
  <c r="J552" i="17"/>
  <c r="O552" i="17" s="1" a="1"/>
  <c r="O552" i="17" s="1"/>
  <c r="K552" i="17"/>
  <c r="L552" i="17"/>
  <c r="M552" i="17" s="1"/>
  <c r="I553" i="17"/>
  <c r="N553" i="17" s="1" a="1"/>
  <c r="N553" i="17" s="1"/>
  <c r="J553" i="17"/>
  <c r="O553" i="17" s="1" a="1"/>
  <c r="O553" i="17" s="1"/>
  <c r="K553" i="17"/>
  <c r="L553" i="17"/>
  <c r="M553" i="17" s="1"/>
  <c r="I554" i="17"/>
  <c r="N554" i="17" s="1" a="1"/>
  <c r="N554" i="17" s="1"/>
  <c r="J554" i="17"/>
  <c r="O554" i="17" s="1" a="1"/>
  <c r="O554" i="17" s="1"/>
  <c r="K554" i="17"/>
  <c r="L554" i="17"/>
  <c r="M554" i="17" s="1"/>
  <c r="I555" i="17"/>
  <c r="N555" i="17" s="1" a="1"/>
  <c r="N555" i="17" s="1"/>
  <c r="J555" i="17"/>
  <c r="O555" i="17" s="1" a="1"/>
  <c r="O555" i="17" s="1"/>
  <c r="K555" i="17"/>
  <c r="L555" i="17"/>
  <c r="M555" i="17" s="1"/>
  <c r="I556" i="17"/>
  <c r="N556" i="17" s="1" a="1"/>
  <c r="N556" i="17" s="1"/>
  <c r="J556" i="17"/>
  <c r="O556" i="17" s="1" a="1"/>
  <c r="O556" i="17" s="1"/>
  <c r="K556" i="17"/>
  <c r="L556" i="17"/>
  <c r="M556" i="17" s="1"/>
  <c r="I557" i="17"/>
  <c r="N557" i="17" s="1" a="1"/>
  <c r="N557" i="17" s="1"/>
  <c r="J557" i="17"/>
  <c r="O557" i="17" s="1" a="1"/>
  <c r="O557" i="17" s="1"/>
  <c r="K557" i="17"/>
  <c r="L557" i="17"/>
  <c r="I558" i="17"/>
  <c r="N558" i="17" s="1" a="1"/>
  <c r="N558" i="17" s="1"/>
  <c r="J558" i="17"/>
  <c r="O558" i="17" s="1" a="1"/>
  <c r="O558" i="17" s="1"/>
  <c r="K558" i="17"/>
  <c r="L558" i="17"/>
  <c r="I559" i="17"/>
  <c r="N559" i="17" s="1" a="1"/>
  <c r="N559" i="17" s="1"/>
  <c r="J559" i="17"/>
  <c r="O559" i="17" s="1" a="1"/>
  <c r="O559" i="17" s="1"/>
  <c r="K559" i="17"/>
  <c r="L559" i="17"/>
  <c r="M559" i="17" s="1"/>
  <c r="I560" i="17"/>
  <c r="N560" i="17" s="1" a="1"/>
  <c r="N560" i="17" s="1"/>
  <c r="J560" i="17"/>
  <c r="O560" i="17" s="1" a="1"/>
  <c r="O560" i="17" s="1"/>
  <c r="K560" i="17"/>
  <c r="L560" i="17"/>
  <c r="M560" i="17" s="1"/>
  <c r="I561" i="17"/>
  <c r="N561" i="17" s="1" a="1"/>
  <c r="N561" i="17" s="1"/>
  <c r="J561" i="17"/>
  <c r="O561" i="17" s="1" a="1"/>
  <c r="O561" i="17" s="1"/>
  <c r="K561" i="17"/>
  <c r="L561" i="17"/>
  <c r="M561" i="17" s="1"/>
  <c r="I562" i="17"/>
  <c r="N562" i="17" s="1" a="1"/>
  <c r="N562" i="17" s="1"/>
  <c r="J562" i="17"/>
  <c r="O562" i="17" s="1" a="1"/>
  <c r="O562" i="17" s="1"/>
  <c r="K562" i="17"/>
  <c r="L562" i="17"/>
  <c r="M562" i="17" s="1"/>
  <c r="I563" i="17"/>
  <c r="N563" i="17" s="1" a="1"/>
  <c r="N563" i="17" s="1"/>
  <c r="J563" i="17"/>
  <c r="O563" i="17" s="1" a="1"/>
  <c r="O563" i="17" s="1"/>
  <c r="K563" i="17"/>
  <c r="L563" i="17"/>
  <c r="M563" i="17" s="1"/>
  <c r="I564" i="17"/>
  <c r="N564" i="17" s="1" a="1"/>
  <c r="N564" i="17" s="1"/>
  <c r="J564" i="17"/>
  <c r="O564" i="17" s="1" a="1"/>
  <c r="O564" i="17" s="1"/>
  <c r="K564" i="17"/>
  <c r="L564" i="17"/>
  <c r="M564" i="17" s="1"/>
  <c r="I565" i="17"/>
  <c r="N565" i="17" s="1" a="1"/>
  <c r="N565" i="17" s="1"/>
  <c r="J565" i="17"/>
  <c r="O565" i="17" s="1" a="1"/>
  <c r="O565" i="17" s="1"/>
  <c r="K565" i="17"/>
  <c r="L565" i="17"/>
  <c r="M565" i="17" s="1"/>
  <c r="I566" i="17"/>
  <c r="N566" i="17" s="1" a="1"/>
  <c r="N566" i="17" s="1"/>
  <c r="J566" i="17"/>
  <c r="O566" i="17" s="1" a="1"/>
  <c r="O566" i="17" s="1"/>
  <c r="K566" i="17"/>
  <c r="L566" i="17"/>
  <c r="M566" i="17" s="1"/>
  <c r="I567" i="17"/>
  <c r="N567" i="17" s="1" a="1"/>
  <c r="N567" i="17" s="1"/>
  <c r="J567" i="17"/>
  <c r="O567" i="17" s="1" a="1"/>
  <c r="O567" i="17" s="1"/>
  <c r="K567" i="17"/>
  <c r="L567" i="17"/>
  <c r="M567" i="17" s="1"/>
  <c r="I568" i="17"/>
  <c r="N568" i="17" s="1" a="1"/>
  <c r="N568" i="17" s="1"/>
  <c r="J568" i="17"/>
  <c r="O568" i="17" s="1" a="1"/>
  <c r="O568" i="17" s="1"/>
  <c r="K568" i="17"/>
  <c r="L568" i="17"/>
  <c r="M568" i="17" s="1"/>
  <c r="I569" i="17"/>
  <c r="N569" i="17" s="1" a="1"/>
  <c r="N569" i="17" s="1"/>
  <c r="J569" i="17"/>
  <c r="O569" i="17" s="1" a="1"/>
  <c r="O569" i="17" s="1"/>
  <c r="K569" i="17"/>
  <c r="L569" i="17"/>
  <c r="M569" i="17" s="1"/>
  <c r="I570" i="17"/>
  <c r="N570" i="17" s="1" a="1"/>
  <c r="N570" i="17" s="1"/>
  <c r="J570" i="17"/>
  <c r="O570" i="17" s="1" a="1"/>
  <c r="O570" i="17" s="1"/>
  <c r="K570" i="17"/>
  <c r="L570" i="17"/>
  <c r="M570" i="17" s="1"/>
  <c r="I571" i="17"/>
  <c r="N571" i="17" s="1" a="1"/>
  <c r="N571" i="17" s="1"/>
  <c r="J571" i="17"/>
  <c r="O571" i="17" s="1" a="1"/>
  <c r="O571" i="17" s="1"/>
  <c r="K571" i="17"/>
  <c r="L571" i="17"/>
  <c r="M571" i="17" s="1"/>
  <c r="I572" i="17"/>
  <c r="N572" i="17" s="1" a="1"/>
  <c r="N572" i="17" s="1"/>
  <c r="J572" i="17"/>
  <c r="O572" i="17" s="1" a="1"/>
  <c r="O572" i="17" s="1"/>
  <c r="K572" i="17"/>
  <c r="L572" i="17"/>
  <c r="M572" i="17" s="1"/>
  <c r="I573" i="17"/>
  <c r="N573" i="17" s="1" a="1"/>
  <c r="N573" i="17" s="1"/>
  <c r="J573" i="17"/>
  <c r="O573" i="17" s="1" a="1"/>
  <c r="O573" i="17" s="1"/>
  <c r="K573" i="17"/>
  <c r="L573" i="17"/>
  <c r="I574" i="17"/>
  <c r="N574" i="17" s="1" a="1"/>
  <c r="N574" i="17" s="1"/>
  <c r="J574" i="17"/>
  <c r="O574" i="17" s="1" a="1"/>
  <c r="O574" i="17" s="1"/>
  <c r="K574" i="17"/>
  <c r="L574" i="17"/>
  <c r="I575" i="17"/>
  <c r="N575" i="17" s="1" a="1"/>
  <c r="N575" i="17" s="1"/>
  <c r="J575" i="17"/>
  <c r="O575" i="17" s="1" a="1"/>
  <c r="O575" i="17" s="1"/>
  <c r="K575" i="17"/>
  <c r="L575" i="17"/>
  <c r="M575" i="17" s="1"/>
  <c r="I576" i="17"/>
  <c r="N576" i="17" s="1" a="1"/>
  <c r="N576" i="17" s="1"/>
  <c r="J576" i="17"/>
  <c r="O576" i="17" s="1" a="1"/>
  <c r="O576" i="17" s="1"/>
  <c r="K576" i="17"/>
  <c r="L576" i="17"/>
  <c r="M576" i="17" s="1"/>
  <c r="I577" i="17"/>
  <c r="N577" i="17" s="1" a="1"/>
  <c r="N577" i="17" s="1"/>
  <c r="J577" i="17"/>
  <c r="O577" i="17" s="1" a="1"/>
  <c r="O577" i="17" s="1"/>
  <c r="K577" i="17"/>
  <c r="L577" i="17"/>
  <c r="M577" i="17" s="1"/>
  <c r="I578" i="17"/>
  <c r="N578" i="17" s="1" a="1"/>
  <c r="N578" i="17" s="1"/>
  <c r="J578" i="17"/>
  <c r="O578" i="17" s="1" a="1"/>
  <c r="O578" i="17" s="1"/>
  <c r="K578" i="17"/>
  <c r="L578" i="17"/>
  <c r="M578" i="17" s="1"/>
  <c r="I579" i="17"/>
  <c r="N579" i="17" s="1" a="1"/>
  <c r="N579" i="17" s="1"/>
  <c r="J579" i="17"/>
  <c r="O579" i="17" s="1" a="1"/>
  <c r="O579" i="17" s="1"/>
  <c r="K579" i="17"/>
  <c r="L579" i="17"/>
  <c r="M579" i="17" s="1"/>
  <c r="I580" i="17"/>
  <c r="N580" i="17" s="1" a="1"/>
  <c r="N580" i="17" s="1"/>
  <c r="J580" i="17"/>
  <c r="O580" i="17" s="1" a="1"/>
  <c r="O580" i="17" s="1"/>
  <c r="K580" i="17"/>
  <c r="L580" i="17"/>
  <c r="M580" i="17" s="1"/>
  <c r="I581" i="17"/>
  <c r="N581" i="17" s="1" a="1"/>
  <c r="N581" i="17" s="1"/>
  <c r="J581" i="17"/>
  <c r="O581" i="17" s="1" a="1"/>
  <c r="O581" i="17" s="1"/>
  <c r="K581" i="17"/>
  <c r="L581" i="17"/>
  <c r="M581" i="17" s="1"/>
  <c r="I582" i="17"/>
  <c r="N582" i="17" s="1" a="1"/>
  <c r="N582" i="17" s="1"/>
  <c r="J582" i="17"/>
  <c r="O582" i="17" s="1" a="1"/>
  <c r="O582" i="17" s="1"/>
  <c r="K582" i="17"/>
  <c r="L582" i="17"/>
  <c r="M582" i="17" s="1"/>
  <c r="I583" i="17"/>
  <c r="N583" i="17" s="1" a="1"/>
  <c r="N583" i="17" s="1"/>
  <c r="J583" i="17"/>
  <c r="O583" i="17" s="1" a="1"/>
  <c r="O583" i="17" s="1"/>
  <c r="K583" i="17"/>
  <c r="L583" i="17"/>
  <c r="M583" i="17" s="1"/>
  <c r="I584" i="17"/>
  <c r="N584" i="17" s="1" a="1"/>
  <c r="N584" i="17" s="1"/>
  <c r="J584" i="17"/>
  <c r="O584" i="17" s="1" a="1"/>
  <c r="O584" i="17" s="1"/>
  <c r="K584" i="17"/>
  <c r="L584" i="17"/>
  <c r="M584" i="17" s="1"/>
  <c r="I585" i="17"/>
  <c r="N585" i="17" s="1" a="1"/>
  <c r="N585" i="17" s="1"/>
  <c r="J585" i="17"/>
  <c r="O585" i="17" s="1" a="1"/>
  <c r="O585" i="17" s="1"/>
  <c r="K585" i="17"/>
  <c r="L585" i="17"/>
  <c r="M585" i="17" s="1"/>
  <c r="I586" i="17"/>
  <c r="N586" i="17" s="1" a="1"/>
  <c r="N586" i="17" s="1"/>
  <c r="J586" i="17"/>
  <c r="O586" i="17" s="1" a="1"/>
  <c r="O586" i="17" s="1"/>
  <c r="K586" i="17"/>
  <c r="L586" i="17"/>
  <c r="M586" i="17" s="1"/>
  <c r="I587" i="17"/>
  <c r="N587" i="17" s="1" a="1"/>
  <c r="N587" i="17" s="1"/>
  <c r="J587" i="17"/>
  <c r="O587" i="17" s="1" a="1"/>
  <c r="O587" i="17" s="1"/>
  <c r="K587" i="17"/>
  <c r="L587" i="17"/>
  <c r="M587" i="17" s="1"/>
  <c r="I588" i="17"/>
  <c r="N588" i="17" s="1" a="1"/>
  <c r="N588" i="17" s="1"/>
  <c r="J588" i="17"/>
  <c r="O588" i="17" s="1" a="1"/>
  <c r="O588" i="17" s="1"/>
  <c r="K588" i="17"/>
  <c r="L588" i="17"/>
  <c r="M588" i="17" s="1"/>
  <c r="I589" i="17"/>
  <c r="N589" i="17" s="1" a="1"/>
  <c r="N589" i="17" s="1"/>
  <c r="J589" i="17"/>
  <c r="O589" i="17" s="1" a="1"/>
  <c r="O589" i="17" s="1"/>
  <c r="K589" i="17"/>
  <c r="L589" i="17"/>
  <c r="I590" i="17"/>
  <c r="N590" i="17" s="1" a="1"/>
  <c r="N590" i="17" s="1"/>
  <c r="J590" i="17"/>
  <c r="O590" i="17" s="1" a="1"/>
  <c r="O590" i="17" s="1"/>
  <c r="K590" i="17"/>
  <c r="L590" i="17"/>
  <c r="I591" i="17"/>
  <c r="N591" i="17" s="1" a="1"/>
  <c r="N591" i="17" s="1"/>
  <c r="J591" i="17"/>
  <c r="O591" i="17" s="1" a="1"/>
  <c r="O591" i="17" s="1"/>
  <c r="K591" i="17"/>
  <c r="L591" i="17"/>
  <c r="M591" i="17" s="1"/>
  <c r="I592" i="17"/>
  <c r="N592" i="17" s="1" a="1"/>
  <c r="N592" i="17" s="1"/>
  <c r="J592" i="17"/>
  <c r="O592" i="17" s="1" a="1"/>
  <c r="O592" i="17" s="1"/>
  <c r="K592" i="17"/>
  <c r="L592" i="17"/>
  <c r="M592" i="17" s="1"/>
  <c r="I593" i="17"/>
  <c r="N593" i="17" s="1" a="1"/>
  <c r="N593" i="17" s="1"/>
  <c r="J593" i="17"/>
  <c r="O593" i="17" s="1" a="1"/>
  <c r="O593" i="17" s="1"/>
  <c r="K593" i="17"/>
  <c r="L593" i="17"/>
  <c r="M593" i="17" s="1"/>
  <c r="I594" i="17"/>
  <c r="N594" i="17" s="1" a="1"/>
  <c r="N594" i="17" s="1"/>
  <c r="J594" i="17"/>
  <c r="O594" i="17" s="1" a="1"/>
  <c r="O594" i="17" s="1"/>
  <c r="K594" i="17"/>
  <c r="L594" i="17"/>
  <c r="M594" i="17" s="1"/>
  <c r="I595" i="17"/>
  <c r="N595" i="17" s="1" a="1"/>
  <c r="N595" i="17" s="1"/>
  <c r="J595" i="17"/>
  <c r="O595" i="17" s="1" a="1"/>
  <c r="O595" i="17" s="1"/>
  <c r="K595" i="17"/>
  <c r="L595" i="17"/>
  <c r="M595" i="17" s="1"/>
  <c r="I596" i="17"/>
  <c r="N596" i="17" s="1" a="1"/>
  <c r="N596" i="17" s="1"/>
  <c r="J596" i="17"/>
  <c r="O596" i="17" s="1" a="1"/>
  <c r="O596" i="17" s="1"/>
  <c r="K596" i="17"/>
  <c r="L596" i="17"/>
  <c r="M596" i="17" s="1"/>
  <c r="I597" i="17"/>
  <c r="N597" i="17" s="1" a="1"/>
  <c r="N597" i="17" s="1"/>
  <c r="J597" i="17"/>
  <c r="O597" i="17" s="1" a="1"/>
  <c r="O597" i="17" s="1"/>
  <c r="K597" i="17"/>
  <c r="L597" i="17"/>
  <c r="M597" i="17" s="1"/>
  <c r="I598" i="17"/>
  <c r="N598" i="17" s="1" a="1"/>
  <c r="N598" i="17" s="1"/>
  <c r="J598" i="17"/>
  <c r="O598" i="17" s="1" a="1"/>
  <c r="O598" i="17" s="1"/>
  <c r="K598" i="17"/>
  <c r="L598" i="17"/>
  <c r="M598" i="17" s="1"/>
  <c r="I599" i="17"/>
  <c r="N599" i="17" s="1" a="1"/>
  <c r="N599" i="17" s="1"/>
  <c r="J599" i="17"/>
  <c r="O599" i="17" s="1" a="1"/>
  <c r="O599" i="17" s="1"/>
  <c r="K599" i="17"/>
  <c r="L599" i="17"/>
  <c r="M599" i="17" s="1"/>
  <c r="I600" i="17"/>
  <c r="N600" i="17" s="1" a="1"/>
  <c r="N600" i="17" s="1"/>
  <c r="J600" i="17"/>
  <c r="O600" i="17" s="1" a="1"/>
  <c r="O600" i="17" s="1"/>
  <c r="K600" i="17"/>
  <c r="L600" i="17"/>
  <c r="M600" i="17" s="1"/>
  <c r="I601" i="17"/>
  <c r="N601" i="17" s="1" a="1"/>
  <c r="N601" i="17" s="1"/>
  <c r="J601" i="17"/>
  <c r="O601" i="17" s="1" a="1"/>
  <c r="O601" i="17" s="1"/>
  <c r="K601" i="17"/>
  <c r="L601" i="17"/>
  <c r="M601" i="17" s="1"/>
  <c r="I602" i="17"/>
  <c r="N602" i="17" s="1" a="1"/>
  <c r="N602" i="17" s="1"/>
  <c r="J602" i="17"/>
  <c r="O602" i="17" s="1" a="1"/>
  <c r="O602" i="17" s="1"/>
  <c r="K602" i="17"/>
  <c r="L602" i="17"/>
  <c r="M602" i="17" s="1"/>
  <c r="I603" i="17"/>
  <c r="N603" i="17" s="1" a="1"/>
  <c r="N603" i="17" s="1"/>
  <c r="J603" i="17"/>
  <c r="O603" i="17" s="1" a="1"/>
  <c r="O603" i="17" s="1"/>
  <c r="K603" i="17"/>
  <c r="L603" i="17"/>
  <c r="M603" i="17" s="1"/>
  <c r="I604" i="17"/>
  <c r="N604" i="17" s="1" a="1"/>
  <c r="N604" i="17" s="1"/>
  <c r="J604" i="17"/>
  <c r="O604" i="17" s="1" a="1"/>
  <c r="O604" i="17" s="1"/>
  <c r="K604" i="17"/>
  <c r="L604" i="17"/>
  <c r="M604" i="17" s="1"/>
  <c r="I605" i="17"/>
  <c r="N605" i="17" s="1" a="1"/>
  <c r="N605" i="17" s="1"/>
  <c r="J605" i="17"/>
  <c r="O605" i="17" s="1" a="1"/>
  <c r="O605" i="17" s="1"/>
  <c r="K605" i="17"/>
  <c r="L605" i="17"/>
  <c r="I606" i="17"/>
  <c r="N606" i="17" s="1" a="1"/>
  <c r="N606" i="17" s="1"/>
  <c r="J606" i="17"/>
  <c r="O606" i="17" s="1" a="1"/>
  <c r="O606" i="17" s="1"/>
  <c r="K606" i="17"/>
  <c r="L606" i="17"/>
  <c r="I607" i="17"/>
  <c r="N607" i="17" s="1" a="1"/>
  <c r="N607" i="17" s="1"/>
  <c r="J607" i="17"/>
  <c r="O607" i="17" s="1" a="1"/>
  <c r="O607" i="17" s="1"/>
  <c r="K607" i="17"/>
  <c r="L607" i="17"/>
  <c r="M607" i="17" s="1"/>
  <c r="I608" i="17"/>
  <c r="N608" i="17" s="1" a="1"/>
  <c r="N608" i="17" s="1"/>
  <c r="J608" i="17"/>
  <c r="O608" i="17" s="1" a="1"/>
  <c r="O608" i="17" s="1"/>
  <c r="K608" i="17"/>
  <c r="L608" i="17"/>
  <c r="M608" i="17" s="1"/>
  <c r="I609" i="17"/>
  <c r="N609" i="17" s="1" a="1"/>
  <c r="N609" i="17" s="1"/>
  <c r="J609" i="17"/>
  <c r="O609" i="17" s="1" a="1"/>
  <c r="O609" i="17" s="1"/>
  <c r="K609" i="17"/>
  <c r="L609" i="17"/>
  <c r="M609" i="17" s="1"/>
  <c r="I610" i="17"/>
  <c r="N610" i="17" s="1" a="1"/>
  <c r="N610" i="17" s="1"/>
  <c r="J610" i="17"/>
  <c r="O610" i="17" s="1" a="1"/>
  <c r="O610" i="17" s="1"/>
  <c r="K610" i="17"/>
  <c r="L610" i="17"/>
  <c r="M610" i="17" s="1"/>
  <c r="I611" i="17"/>
  <c r="N611" i="17" s="1" a="1"/>
  <c r="N611" i="17" s="1"/>
  <c r="J611" i="17"/>
  <c r="O611" i="17" s="1" a="1"/>
  <c r="O611" i="17" s="1"/>
  <c r="K611" i="17"/>
  <c r="L611" i="17"/>
  <c r="M611" i="17" s="1"/>
  <c r="I612" i="17"/>
  <c r="N612" i="17" s="1" a="1"/>
  <c r="N612" i="17" s="1"/>
  <c r="J612" i="17"/>
  <c r="O612" i="17" s="1" a="1"/>
  <c r="O612" i="17" s="1"/>
  <c r="K612" i="17"/>
  <c r="L612" i="17"/>
  <c r="M612" i="17" s="1"/>
  <c r="I613" i="17"/>
  <c r="N613" i="17" s="1" a="1"/>
  <c r="N613" i="17" s="1"/>
  <c r="J613" i="17"/>
  <c r="O613" i="17" s="1" a="1"/>
  <c r="O613" i="17" s="1"/>
  <c r="K613" i="17"/>
  <c r="L613" i="17"/>
  <c r="M613" i="17" s="1"/>
  <c r="I614" i="17"/>
  <c r="N614" i="17" s="1" a="1"/>
  <c r="N614" i="17" s="1"/>
  <c r="J614" i="17"/>
  <c r="O614" i="17" s="1" a="1"/>
  <c r="O614" i="17" s="1"/>
  <c r="K614" i="17"/>
  <c r="L614" i="17"/>
  <c r="M614" i="17" s="1"/>
  <c r="I615" i="17"/>
  <c r="N615" i="17" s="1" a="1"/>
  <c r="N615" i="17" s="1"/>
  <c r="J615" i="17"/>
  <c r="O615" i="17" s="1" a="1"/>
  <c r="O615" i="17" s="1"/>
  <c r="K615" i="17"/>
  <c r="L615" i="17"/>
  <c r="M615" i="17" s="1"/>
  <c r="I616" i="17"/>
  <c r="N616" i="17" s="1" a="1"/>
  <c r="N616" i="17" s="1"/>
  <c r="J616" i="17"/>
  <c r="O616" i="17" s="1" a="1"/>
  <c r="O616" i="17" s="1"/>
  <c r="K616" i="17"/>
  <c r="L616" i="17"/>
  <c r="M616" i="17" s="1"/>
  <c r="I617" i="17"/>
  <c r="N617" i="17" s="1" a="1"/>
  <c r="N617" i="17" s="1"/>
  <c r="J617" i="17"/>
  <c r="O617" i="17" s="1" a="1"/>
  <c r="O617" i="17" s="1"/>
  <c r="K617" i="17"/>
  <c r="L617" i="17"/>
  <c r="M617" i="17" s="1"/>
  <c r="I618" i="17"/>
  <c r="N618" i="17" s="1" a="1"/>
  <c r="N618" i="17" s="1"/>
  <c r="J618" i="17"/>
  <c r="O618" i="17" s="1" a="1"/>
  <c r="O618" i="17" s="1"/>
  <c r="K618" i="17"/>
  <c r="L618" i="17"/>
  <c r="M618" i="17" s="1"/>
  <c r="I619" i="17"/>
  <c r="N619" i="17" s="1" a="1"/>
  <c r="N619" i="17" s="1"/>
  <c r="J619" i="17"/>
  <c r="O619" i="17" s="1" a="1"/>
  <c r="O619" i="17" s="1"/>
  <c r="K619" i="17"/>
  <c r="L619" i="17"/>
  <c r="M619" i="17" s="1"/>
  <c r="I620" i="17"/>
  <c r="N620" i="17" s="1" a="1"/>
  <c r="N620" i="17" s="1"/>
  <c r="J620" i="17"/>
  <c r="O620" i="17" s="1" a="1"/>
  <c r="O620" i="17" s="1"/>
  <c r="K620" i="17"/>
  <c r="L620" i="17"/>
  <c r="M620" i="17" s="1"/>
  <c r="I621" i="17"/>
  <c r="N621" i="17" s="1" a="1"/>
  <c r="N621" i="17" s="1"/>
  <c r="J621" i="17"/>
  <c r="O621" i="17" s="1" a="1"/>
  <c r="O621" i="17" s="1"/>
  <c r="K621" i="17"/>
  <c r="L621" i="17"/>
  <c r="I622" i="17"/>
  <c r="N622" i="17" s="1" a="1"/>
  <c r="N622" i="17" s="1"/>
  <c r="J622" i="17"/>
  <c r="O622" i="17" s="1" a="1"/>
  <c r="O622" i="17" s="1"/>
  <c r="K622" i="17"/>
  <c r="L622" i="17"/>
  <c r="I623" i="17"/>
  <c r="N623" i="17" s="1" a="1"/>
  <c r="N623" i="17" s="1"/>
  <c r="J623" i="17"/>
  <c r="O623" i="17" s="1" a="1"/>
  <c r="O623" i="17" s="1"/>
  <c r="K623" i="17"/>
  <c r="L623" i="17"/>
  <c r="M623" i="17" s="1"/>
  <c r="I624" i="17"/>
  <c r="N624" i="17" s="1" a="1"/>
  <c r="N624" i="17" s="1"/>
  <c r="J624" i="17"/>
  <c r="O624" i="17" s="1" a="1"/>
  <c r="O624" i="17" s="1"/>
  <c r="K624" i="17"/>
  <c r="L624" i="17"/>
  <c r="M624" i="17" s="1"/>
  <c r="I625" i="17"/>
  <c r="N625" i="17" s="1" a="1"/>
  <c r="N625" i="17" s="1"/>
  <c r="J625" i="17"/>
  <c r="O625" i="17" s="1" a="1"/>
  <c r="O625" i="17" s="1"/>
  <c r="K625" i="17"/>
  <c r="L625" i="17"/>
  <c r="M625" i="17" s="1"/>
  <c r="I626" i="17"/>
  <c r="N626" i="17" s="1" a="1"/>
  <c r="N626" i="17" s="1"/>
  <c r="J626" i="17"/>
  <c r="O626" i="17" s="1" a="1"/>
  <c r="O626" i="17" s="1"/>
  <c r="K626" i="17"/>
  <c r="L626" i="17"/>
  <c r="M626" i="17" s="1"/>
  <c r="I627" i="17"/>
  <c r="N627" i="17" s="1" a="1"/>
  <c r="N627" i="17" s="1"/>
  <c r="J627" i="17"/>
  <c r="O627" i="17" s="1" a="1"/>
  <c r="O627" i="17" s="1"/>
  <c r="K627" i="17"/>
  <c r="L627" i="17"/>
  <c r="M627" i="17" s="1"/>
  <c r="I628" i="17"/>
  <c r="N628" i="17" s="1" a="1"/>
  <c r="N628" i="17" s="1"/>
  <c r="J628" i="17"/>
  <c r="O628" i="17" s="1" a="1"/>
  <c r="O628" i="17" s="1"/>
  <c r="K628" i="17"/>
  <c r="L628" i="17"/>
  <c r="M628" i="17" s="1"/>
  <c r="I629" i="17"/>
  <c r="N629" i="17" s="1" a="1"/>
  <c r="N629" i="17" s="1"/>
  <c r="J629" i="17"/>
  <c r="O629" i="17" s="1" a="1"/>
  <c r="O629" i="17" s="1"/>
  <c r="K629" i="17"/>
  <c r="L629" i="17"/>
  <c r="M629" i="17" s="1"/>
  <c r="I630" i="17"/>
  <c r="N630" i="17" s="1" a="1"/>
  <c r="N630" i="17" s="1"/>
  <c r="J630" i="17"/>
  <c r="O630" i="17" s="1" a="1"/>
  <c r="O630" i="17" s="1"/>
  <c r="K630" i="17"/>
  <c r="L630" i="17"/>
  <c r="M630" i="17" s="1"/>
  <c r="I631" i="17"/>
  <c r="N631" i="17" s="1" a="1"/>
  <c r="N631" i="17" s="1"/>
  <c r="J631" i="17"/>
  <c r="O631" i="17" s="1" a="1"/>
  <c r="O631" i="17" s="1"/>
  <c r="K631" i="17"/>
  <c r="L631" i="17"/>
  <c r="M631" i="17" s="1"/>
  <c r="I632" i="17"/>
  <c r="N632" i="17" s="1" a="1"/>
  <c r="N632" i="17" s="1"/>
  <c r="J632" i="17"/>
  <c r="O632" i="17" s="1" a="1"/>
  <c r="O632" i="17" s="1"/>
  <c r="K632" i="17"/>
  <c r="L632" i="17"/>
  <c r="M632" i="17" s="1"/>
  <c r="I633" i="17"/>
  <c r="N633" i="17" s="1" a="1"/>
  <c r="N633" i="17" s="1"/>
  <c r="J633" i="17"/>
  <c r="O633" i="17" s="1" a="1"/>
  <c r="O633" i="17" s="1"/>
  <c r="K633" i="17"/>
  <c r="L633" i="17"/>
  <c r="M633" i="17" s="1"/>
  <c r="I634" i="17"/>
  <c r="N634" i="17" s="1" a="1"/>
  <c r="N634" i="17" s="1"/>
  <c r="J634" i="17"/>
  <c r="O634" i="17" s="1" a="1"/>
  <c r="O634" i="17" s="1"/>
  <c r="K634" i="17"/>
  <c r="L634" i="17"/>
  <c r="M634" i="17" s="1"/>
  <c r="I635" i="17"/>
  <c r="N635" i="17" s="1" a="1"/>
  <c r="N635" i="17" s="1"/>
  <c r="J635" i="17"/>
  <c r="O635" i="17" s="1" a="1"/>
  <c r="O635" i="17" s="1"/>
  <c r="K635" i="17"/>
  <c r="L635" i="17"/>
  <c r="M635" i="17" s="1"/>
  <c r="I636" i="17"/>
  <c r="N636" i="17" s="1" a="1"/>
  <c r="N636" i="17" s="1"/>
  <c r="J636" i="17"/>
  <c r="O636" i="17" s="1" a="1"/>
  <c r="O636" i="17" s="1"/>
  <c r="K636" i="17"/>
  <c r="L636" i="17"/>
  <c r="M636" i="17" s="1"/>
  <c r="I637" i="17"/>
  <c r="N637" i="17" s="1" a="1"/>
  <c r="N637" i="17" s="1"/>
  <c r="J637" i="17"/>
  <c r="O637" i="17" s="1" a="1"/>
  <c r="O637" i="17" s="1"/>
  <c r="K637" i="17"/>
  <c r="L637" i="17"/>
  <c r="I638" i="17"/>
  <c r="N638" i="17" s="1" a="1"/>
  <c r="N638" i="17" s="1"/>
  <c r="J638" i="17"/>
  <c r="O638" i="17" s="1" a="1"/>
  <c r="O638" i="17" s="1"/>
  <c r="K638" i="17"/>
  <c r="L638" i="17"/>
  <c r="I639" i="17"/>
  <c r="N639" i="17" s="1" a="1"/>
  <c r="N639" i="17" s="1"/>
  <c r="J639" i="17"/>
  <c r="O639" i="17" s="1" a="1"/>
  <c r="O639" i="17" s="1"/>
  <c r="K639" i="17"/>
  <c r="L639" i="17"/>
  <c r="M639" i="17" s="1"/>
  <c r="I640" i="17"/>
  <c r="N640" i="17" s="1" a="1"/>
  <c r="N640" i="17" s="1"/>
  <c r="J640" i="17"/>
  <c r="O640" i="17" s="1" a="1"/>
  <c r="O640" i="17" s="1"/>
  <c r="K640" i="17"/>
  <c r="L640" i="17"/>
  <c r="M640" i="17" s="1"/>
  <c r="I641" i="17"/>
  <c r="N641" i="17" s="1" a="1"/>
  <c r="N641" i="17" s="1"/>
  <c r="J641" i="17"/>
  <c r="O641" i="17" s="1" a="1"/>
  <c r="O641" i="17" s="1"/>
  <c r="K641" i="17"/>
  <c r="L641" i="17"/>
  <c r="M641" i="17" s="1"/>
  <c r="I642" i="17"/>
  <c r="N642" i="17" s="1" a="1"/>
  <c r="N642" i="17" s="1"/>
  <c r="J642" i="17"/>
  <c r="O642" i="17" s="1" a="1"/>
  <c r="O642" i="17" s="1"/>
  <c r="K642" i="17"/>
  <c r="L642" i="17"/>
  <c r="M642" i="17" s="1"/>
  <c r="I643" i="17"/>
  <c r="N643" i="17" s="1" a="1"/>
  <c r="N643" i="17" s="1"/>
  <c r="J643" i="17"/>
  <c r="O643" i="17" s="1" a="1"/>
  <c r="O643" i="17" s="1"/>
  <c r="K643" i="17"/>
  <c r="L643" i="17"/>
  <c r="M643" i="17" s="1"/>
  <c r="I644" i="17"/>
  <c r="N644" i="17" s="1" a="1"/>
  <c r="N644" i="17" s="1"/>
  <c r="J644" i="17"/>
  <c r="O644" i="17" s="1" a="1"/>
  <c r="O644" i="17" s="1"/>
  <c r="K644" i="17"/>
  <c r="L644" i="17"/>
  <c r="M644" i="17" s="1"/>
  <c r="I645" i="17"/>
  <c r="N645" i="17" s="1" a="1"/>
  <c r="N645" i="17" s="1"/>
  <c r="J645" i="17"/>
  <c r="O645" i="17" s="1" a="1"/>
  <c r="O645" i="17" s="1"/>
  <c r="K645" i="17"/>
  <c r="L645" i="17"/>
  <c r="M645" i="17" s="1"/>
  <c r="I646" i="17"/>
  <c r="N646" i="17" s="1" a="1"/>
  <c r="N646" i="17" s="1"/>
  <c r="J646" i="17"/>
  <c r="O646" i="17" s="1" a="1"/>
  <c r="O646" i="17" s="1"/>
  <c r="K646" i="17"/>
  <c r="L646" i="17"/>
  <c r="M646" i="17" s="1"/>
  <c r="I647" i="17"/>
  <c r="J647" i="17"/>
  <c r="O647" i="17" s="1" a="1"/>
  <c r="O647" i="17" s="1"/>
  <c r="K647" i="17"/>
  <c r="L647" i="17"/>
  <c r="M647" i="17" s="1"/>
  <c r="I648" i="17"/>
  <c r="N648" i="17" s="1" a="1"/>
  <c r="N648" i="17" s="1"/>
  <c r="J648" i="17"/>
  <c r="O648" i="17" s="1" a="1"/>
  <c r="O648" i="17" s="1"/>
  <c r="K648" i="17"/>
  <c r="L648" i="17"/>
  <c r="M648" i="17" s="1"/>
  <c r="I649" i="17"/>
  <c r="N649" i="17" s="1" a="1"/>
  <c r="N649" i="17" s="1"/>
  <c r="J649" i="17"/>
  <c r="O649" i="17" s="1" a="1"/>
  <c r="O649" i="17" s="1"/>
  <c r="K649" i="17"/>
  <c r="L649" i="17"/>
  <c r="M649" i="17" s="1"/>
  <c r="I650" i="17"/>
  <c r="N650" i="17" s="1" a="1"/>
  <c r="N650" i="17" s="1"/>
  <c r="J650" i="17"/>
  <c r="O650" i="17" s="1" a="1"/>
  <c r="O650" i="17" s="1"/>
  <c r="K650" i="17"/>
  <c r="L650" i="17"/>
  <c r="M650" i="17" s="1"/>
  <c r="I651" i="17"/>
  <c r="N651" i="17" s="1" a="1"/>
  <c r="N651" i="17" s="1"/>
  <c r="J651" i="17"/>
  <c r="O651" i="17" s="1" a="1"/>
  <c r="O651" i="17" s="1"/>
  <c r="K651" i="17"/>
  <c r="L651" i="17"/>
  <c r="M651" i="17" s="1"/>
  <c r="I652" i="17"/>
  <c r="N652" i="17" s="1" a="1"/>
  <c r="N652" i="17" s="1"/>
  <c r="J652" i="17"/>
  <c r="O652" i="17" s="1" a="1"/>
  <c r="O652" i="17" s="1"/>
  <c r="K652" i="17"/>
  <c r="L652" i="17"/>
  <c r="M652" i="17" s="1"/>
  <c r="I653" i="17"/>
  <c r="N653" i="17" s="1" a="1"/>
  <c r="N653" i="17" s="1"/>
  <c r="J653" i="17"/>
  <c r="O653" i="17" s="1" a="1"/>
  <c r="O653" i="17" s="1"/>
  <c r="K653" i="17"/>
  <c r="L653" i="17"/>
  <c r="I654" i="17"/>
  <c r="N654" i="17" s="1" a="1"/>
  <c r="N654" i="17" s="1"/>
  <c r="J654" i="17"/>
  <c r="O654" i="17" s="1" a="1"/>
  <c r="O654" i="17" s="1"/>
  <c r="K654" i="17"/>
  <c r="L654" i="17"/>
  <c r="I655" i="17"/>
  <c r="N655" i="17" s="1" a="1"/>
  <c r="N655" i="17" s="1"/>
  <c r="J655" i="17"/>
  <c r="O655" i="17" s="1" a="1"/>
  <c r="O655" i="17" s="1"/>
  <c r="K655" i="17"/>
  <c r="L655" i="17"/>
  <c r="M655" i="17" s="1"/>
  <c r="I656" i="17"/>
  <c r="N656" i="17" s="1" a="1"/>
  <c r="N656" i="17" s="1"/>
  <c r="J656" i="17"/>
  <c r="O656" i="17" s="1" a="1"/>
  <c r="O656" i="17" s="1"/>
  <c r="K656" i="17"/>
  <c r="L656" i="17"/>
  <c r="M656" i="17" s="1"/>
  <c r="I657" i="17"/>
  <c r="N657" i="17" s="1" a="1"/>
  <c r="N657" i="17" s="1"/>
  <c r="J657" i="17"/>
  <c r="O657" i="17" s="1" a="1"/>
  <c r="O657" i="17" s="1"/>
  <c r="K657" i="17"/>
  <c r="L657" i="17"/>
  <c r="M657" i="17" s="1"/>
  <c r="I658" i="17"/>
  <c r="N658" i="17" s="1" a="1"/>
  <c r="N658" i="17" s="1"/>
  <c r="J658" i="17"/>
  <c r="O658" i="17" s="1" a="1"/>
  <c r="O658" i="17" s="1"/>
  <c r="K658" i="17"/>
  <c r="L658" i="17"/>
  <c r="M658" i="17" s="1"/>
  <c r="I659" i="17"/>
  <c r="N659" i="17" s="1" a="1"/>
  <c r="N659" i="17" s="1"/>
  <c r="J659" i="17"/>
  <c r="O659" i="17" s="1" a="1"/>
  <c r="O659" i="17" s="1"/>
  <c r="K659" i="17"/>
  <c r="L659" i="17"/>
  <c r="M659" i="17" s="1"/>
  <c r="I660" i="17"/>
  <c r="N660" i="17" s="1" a="1"/>
  <c r="N660" i="17" s="1"/>
  <c r="J660" i="17"/>
  <c r="O660" i="17" s="1" a="1"/>
  <c r="O660" i="17" s="1"/>
  <c r="K660" i="17"/>
  <c r="L660" i="17"/>
  <c r="M660" i="17" s="1"/>
  <c r="I661" i="17"/>
  <c r="J661" i="17"/>
  <c r="O661" i="17" s="1" a="1"/>
  <c r="O661" i="17" s="1"/>
  <c r="K661" i="17"/>
  <c r="L661" i="17"/>
  <c r="M661" i="17" s="1"/>
  <c r="I662" i="17"/>
  <c r="N662" i="17" s="1" a="1"/>
  <c r="N662" i="17" s="1"/>
  <c r="J662" i="17"/>
  <c r="O662" i="17" s="1" a="1"/>
  <c r="O662" i="17" s="1"/>
  <c r="K662" i="17"/>
  <c r="L662" i="17"/>
  <c r="M662" i="17" s="1"/>
  <c r="I663" i="17"/>
  <c r="N663" i="17" s="1" a="1"/>
  <c r="N663" i="17" s="1"/>
  <c r="J663" i="17"/>
  <c r="O663" i="17" s="1" a="1"/>
  <c r="O663" i="17" s="1"/>
  <c r="K663" i="17"/>
  <c r="L663" i="17"/>
  <c r="M663" i="17" s="1"/>
  <c r="I664" i="17"/>
  <c r="N664" i="17" s="1" a="1"/>
  <c r="N664" i="17" s="1"/>
  <c r="J664" i="17"/>
  <c r="O664" i="17" s="1" a="1"/>
  <c r="O664" i="17" s="1"/>
  <c r="K664" i="17"/>
  <c r="L664" i="17"/>
  <c r="M664" i="17" s="1"/>
  <c r="I665" i="17"/>
  <c r="N665" i="17" s="1" a="1"/>
  <c r="N665" i="17" s="1"/>
  <c r="J665" i="17"/>
  <c r="O665" i="17" s="1" a="1"/>
  <c r="O665" i="17" s="1"/>
  <c r="K665" i="17"/>
  <c r="L665" i="17"/>
  <c r="M665" i="17" s="1"/>
  <c r="I666" i="17"/>
  <c r="N666" i="17" s="1" a="1"/>
  <c r="N666" i="17" s="1"/>
  <c r="J666" i="17"/>
  <c r="O666" i="17" s="1" a="1"/>
  <c r="O666" i="17" s="1"/>
  <c r="K666" i="17"/>
  <c r="L666" i="17"/>
  <c r="M666" i="17" s="1"/>
  <c r="I667" i="17"/>
  <c r="N667" i="17" s="1" a="1"/>
  <c r="N667" i="17" s="1"/>
  <c r="J667" i="17"/>
  <c r="O667" i="17" s="1" a="1"/>
  <c r="O667" i="17" s="1"/>
  <c r="K667" i="17"/>
  <c r="L667" i="17"/>
  <c r="M667" i="17" s="1"/>
  <c r="I668" i="17"/>
  <c r="N668" i="17" s="1" a="1"/>
  <c r="N668" i="17" s="1"/>
  <c r="J668" i="17"/>
  <c r="O668" i="17" s="1" a="1"/>
  <c r="O668" i="17" s="1"/>
  <c r="K668" i="17"/>
  <c r="L668" i="17"/>
  <c r="M668" i="17" s="1"/>
  <c r="I669" i="17"/>
  <c r="N669" i="17" s="1" a="1"/>
  <c r="N669" i="17" s="1"/>
  <c r="J669" i="17"/>
  <c r="O669" i="17" s="1" a="1"/>
  <c r="O669" i="17" s="1"/>
  <c r="K669" i="17"/>
  <c r="L669" i="17"/>
  <c r="I670" i="17"/>
  <c r="N670" i="17" s="1" a="1"/>
  <c r="N670" i="17" s="1"/>
  <c r="J670" i="17"/>
  <c r="O670" i="17" s="1" a="1"/>
  <c r="O670" i="17" s="1"/>
  <c r="K670" i="17"/>
  <c r="L670" i="17"/>
  <c r="I671" i="17"/>
  <c r="N671" i="17" s="1" a="1"/>
  <c r="N671" i="17" s="1"/>
  <c r="J671" i="17"/>
  <c r="O671" i="17" s="1" a="1"/>
  <c r="O671" i="17" s="1"/>
  <c r="K671" i="17"/>
  <c r="L671" i="17"/>
  <c r="M671" i="17" s="1"/>
  <c r="I672" i="17"/>
  <c r="N672" i="17" s="1" a="1"/>
  <c r="N672" i="17" s="1"/>
  <c r="J672" i="17"/>
  <c r="O672" i="17" s="1" a="1"/>
  <c r="O672" i="17" s="1"/>
  <c r="K672" i="17"/>
  <c r="L672" i="17"/>
  <c r="M672" i="17" s="1"/>
  <c r="I673" i="17"/>
  <c r="N673" i="17" s="1" a="1"/>
  <c r="N673" i="17" s="1"/>
  <c r="J673" i="17"/>
  <c r="O673" i="17" s="1" a="1"/>
  <c r="O673" i="17" s="1"/>
  <c r="K673" i="17"/>
  <c r="L673" i="17"/>
  <c r="M673" i="17" s="1"/>
  <c r="I674" i="17"/>
  <c r="N674" i="17" s="1" a="1"/>
  <c r="N674" i="17" s="1"/>
  <c r="J674" i="17"/>
  <c r="O674" i="17" s="1" a="1"/>
  <c r="O674" i="17" s="1"/>
  <c r="K674" i="17"/>
  <c r="L674" i="17"/>
  <c r="M674" i="17" s="1"/>
  <c r="I675" i="17"/>
  <c r="N675" i="17" s="1" a="1"/>
  <c r="N675" i="17" s="1"/>
  <c r="J675" i="17"/>
  <c r="O675" i="17" s="1" a="1"/>
  <c r="O675" i="17" s="1"/>
  <c r="K675" i="17"/>
  <c r="L675" i="17"/>
  <c r="M675" i="17" s="1"/>
  <c r="I676" i="17"/>
  <c r="N676" i="17" s="1" a="1"/>
  <c r="N676" i="17" s="1"/>
  <c r="J676" i="17"/>
  <c r="O676" i="17" s="1" a="1"/>
  <c r="O676" i="17" s="1"/>
  <c r="K676" i="17"/>
  <c r="L676" i="17"/>
  <c r="M676" i="17" s="1"/>
  <c r="I677" i="17"/>
  <c r="N677" i="17" s="1" a="1"/>
  <c r="N677" i="17" s="1"/>
  <c r="J677" i="17"/>
  <c r="O677" i="17" s="1" a="1"/>
  <c r="O677" i="17" s="1"/>
  <c r="K677" i="17"/>
  <c r="L677" i="17"/>
  <c r="M677" i="17" s="1"/>
  <c r="I678" i="17"/>
  <c r="N678" i="17" s="1" a="1"/>
  <c r="N678" i="17" s="1"/>
  <c r="J678" i="17"/>
  <c r="O678" i="17" s="1" a="1"/>
  <c r="O678" i="17" s="1"/>
  <c r="K678" i="17"/>
  <c r="L678" i="17"/>
  <c r="M678" i="17" s="1"/>
  <c r="I679" i="17"/>
  <c r="N679" i="17" s="1" a="1"/>
  <c r="N679" i="17" s="1"/>
  <c r="J679" i="17"/>
  <c r="O679" i="17" s="1" a="1"/>
  <c r="O679" i="17" s="1"/>
  <c r="K679" i="17"/>
  <c r="L679" i="17"/>
  <c r="M679" i="17" s="1"/>
  <c r="I680" i="17"/>
  <c r="N680" i="17" s="1" a="1"/>
  <c r="N680" i="17" s="1"/>
  <c r="J680" i="17"/>
  <c r="O680" i="17" s="1" a="1"/>
  <c r="O680" i="17" s="1"/>
  <c r="K680" i="17"/>
  <c r="L680" i="17"/>
  <c r="M680" i="17" s="1"/>
  <c r="I681" i="17"/>
  <c r="N681" i="17" s="1" a="1"/>
  <c r="N681" i="17" s="1"/>
  <c r="J681" i="17"/>
  <c r="O681" i="17" s="1" a="1"/>
  <c r="O681" i="17" s="1"/>
  <c r="K681" i="17"/>
  <c r="L681" i="17"/>
  <c r="M681" i="17" s="1"/>
  <c r="I682" i="17"/>
  <c r="N682" i="17" s="1" a="1"/>
  <c r="N682" i="17" s="1"/>
  <c r="J682" i="17"/>
  <c r="O682" i="17" s="1" a="1"/>
  <c r="O682" i="17" s="1"/>
  <c r="K682" i="17"/>
  <c r="L682" i="17"/>
  <c r="M682" i="17" s="1"/>
  <c r="I683" i="17"/>
  <c r="N683" i="17" s="1" a="1"/>
  <c r="N683" i="17" s="1"/>
  <c r="J683" i="17"/>
  <c r="O683" i="17" s="1" a="1"/>
  <c r="O683" i="17" s="1"/>
  <c r="K683" i="17"/>
  <c r="L683" i="17"/>
  <c r="M683" i="17" s="1"/>
  <c r="I684" i="17"/>
  <c r="N684" i="17" s="1" a="1"/>
  <c r="N684" i="17" s="1"/>
  <c r="J684" i="17"/>
  <c r="O684" i="17" s="1" a="1"/>
  <c r="O684" i="17" s="1"/>
  <c r="K684" i="17"/>
  <c r="L684" i="17"/>
  <c r="M684" i="17" s="1"/>
  <c r="I685" i="17"/>
  <c r="N685" i="17" s="1" a="1"/>
  <c r="N685" i="17" s="1"/>
  <c r="J685" i="17"/>
  <c r="O685" i="17" s="1" a="1"/>
  <c r="O685" i="17" s="1"/>
  <c r="K685" i="17"/>
  <c r="L685" i="17"/>
  <c r="I686" i="17"/>
  <c r="N686" i="17" s="1" a="1"/>
  <c r="N686" i="17" s="1"/>
  <c r="J686" i="17"/>
  <c r="O686" i="17" s="1" a="1"/>
  <c r="O686" i="17" s="1"/>
  <c r="K686" i="17"/>
  <c r="L686" i="17"/>
  <c r="I687" i="17"/>
  <c r="N687" i="17" s="1" a="1"/>
  <c r="N687" i="17" s="1"/>
  <c r="J687" i="17"/>
  <c r="O687" i="17" s="1" a="1"/>
  <c r="O687" i="17" s="1"/>
  <c r="K687" i="17"/>
  <c r="L687" i="17"/>
  <c r="M687" i="17" s="1"/>
  <c r="I688" i="17"/>
  <c r="N688" i="17" s="1" a="1"/>
  <c r="N688" i="17" s="1"/>
  <c r="J688" i="17"/>
  <c r="O688" i="17" s="1" a="1"/>
  <c r="O688" i="17" s="1"/>
  <c r="K688" i="17"/>
  <c r="L688" i="17"/>
  <c r="M688" i="17" s="1"/>
  <c r="I689" i="17"/>
  <c r="N689" i="17" s="1" a="1"/>
  <c r="N689" i="17" s="1"/>
  <c r="J689" i="17"/>
  <c r="O689" i="17" s="1" a="1"/>
  <c r="O689" i="17" s="1"/>
  <c r="K689" i="17"/>
  <c r="L689" i="17"/>
  <c r="M689" i="17" s="1"/>
  <c r="I690" i="17"/>
  <c r="N690" i="17" s="1" a="1"/>
  <c r="N690" i="17" s="1"/>
  <c r="J690" i="17"/>
  <c r="O690" i="17" s="1" a="1"/>
  <c r="O690" i="17" s="1"/>
  <c r="K690" i="17"/>
  <c r="L690" i="17"/>
  <c r="M690" i="17" s="1"/>
  <c r="I691" i="17"/>
  <c r="N691" i="17" s="1" a="1"/>
  <c r="N691" i="17" s="1"/>
  <c r="J691" i="17"/>
  <c r="O691" i="17" s="1" a="1"/>
  <c r="O691" i="17" s="1"/>
  <c r="K691" i="17"/>
  <c r="L691" i="17"/>
  <c r="M691" i="17" s="1"/>
  <c r="I692" i="17"/>
  <c r="N692" i="17" s="1" a="1"/>
  <c r="N692" i="17" s="1"/>
  <c r="J692" i="17"/>
  <c r="O692" i="17" s="1" a="1"/>
  <c r="O692" i="17" s="1"/>
  <c r="K692" i="17"/>
  <c r="L692" i="17"/>
  <c r="M692" i="17" s="1"/>
  <c r="I693" i="17"/>
  <c r="N693" i="17" s="1" a="1"/>
  <c r="N693" i="17" s="1"/>
  <c r="J693" i="17"/>
  <c r="O693" i="17" s="1" a="1"/>
  <c r="O693" i="17" s="1"/>
  <c r="K693" i="17"/>
  <c r="L693" i="17"/>
  <c r="M693" i="17" s="1"/>
  <c r="I694" i="17"/>
  <c r="N694" i="17" s="1" a="1"/>
  <c r="N694" i="17" s="1"/>
  <c r="J694" i="17"/>
  <c r="O694" i="17" s="1" a="1"/>
  <c r="O694" i="17" s="1"/>
  <c r="K694" i="17"/>
  <c r="L694" i="17"/>
  <c r="M694" i="17" s="1"/>
  <c r="I695" i="17"/>
  <c r="N695" i="17" s="1" a="1"/>
  <c r="N695" i="17" s="1"/>
  <c r="J695" i="17"/>
  <c r="O695" i="17" s="1" a="1"/>
  <c r="O695" i="17" s="1"/>
  <c r="K695" i="17"/>
  <c r="L695" i="17"/>
  <c r="M695" i="17" s="1"/>
  <c r="I696" i="17"/>
  <c r="N696" i="17" s="1" a="1"/>
  <c r="N696" i="17" s="1"/>
  <c r="J696" i="17"/>
  <c r="O696" i="17" s="1" a="1"/>
  <c r="O696" i="17" s="1"/>
  <c r="K696" i="17"/>
  <c r="L696" i="17"/>
  <c r="M696" i="17" s="1"/>
  <c r="I697" i="17"/>
  <c r="N697" i="17" s="1" a="1"/>
  <c r="N697" i="17" s="1"/>
  <c r="J697" i="17"/>
  <c r="K697" i="17"/>
  <c r="L697" i="17"/>
  <c r="M697" i="17" s="1"/>
  <c r="I698" i="17"/>
  <c r="N698" i="17" s="1" a="1"/>
  <c r="N698" i="17" s="1"/>
  <c r="J698" i="17"/>
  <c r="O698" i="17" s="1" a="1"/>
  <c r="O698" i="17" s="1"/>
  <c r="K698" i="17"/>
  <c r="L698" i="17"/>
  <c r="M698" i="17" s="1"/>
  <c r="I699" i="17"/>
  <c r="N699" i="17" s="1" a="1"/>
  <c r="N699" i="17" s="1"/>
  <c r="J699" i="17"/>
  <c r="O699" i="17" s="1" a="1"/>
  <c r="O699" i="17" s="1"/>
  <c r="K699" i="17"/>
  <c r="L699" i="17"/>
  <c r="M699" i="17" s="1"/>
  <c r="I700" i="17"/>
  <c r="N700" i="17" s="1" a="1"/>
  <c r="N700" i="17" s="1"/>
  <c r="J700" i="17"/>
  <c r="O700" i="17" s="1" a="1"/>
  <c r="O700" i="17" s="1"/>
  <c r="K700" i="17"/>
  <c r="L700" i="17"/>
  <c r="M700" i="17" s="1"/>
  <c r="I701" i="17"/>
  <c r="N701" i="17" s="1" a="1"/>
  <c r="N701" i="17" s="1"/>
  <c r="J701" i="17"/>
  <c r="O701" i="17" s="1" a="1"/>
  <c r="O701" i="17" s="1"/>
  <c r="K701" i="17"/>
  <c r="L701" i="17"/>
  <c r="I702" i="17"/>
  <c r="N702" i="17" s="1" a="1"/>
  <c r="N702" i="17" s="1"/>
  <c r="J702" i="17"/>
  <c r="O702" i="17" s="1" a="1"/>
  <c r="O702" i="17" s="1"/>
  <c r="K702" i="17"/>
  <c r="L702" i="17"/>
  <c r="I703" i="17"/>
  <c r="N703" i="17" s="1" a="1"/>
  <c r="N703" i="17" s="1"/>
  <c r="J703" i="17"/>
  <c r="O703" i="17" s="1" a="1"/>
  <c r="O703" i="17" s="1"/>
  <c r="K703" i="17"/>
  <c r="L703" i="17"/>
  <c r="M703" i="17" s="1"/>
  <c r="I704" i="17"/>
  <c r="N704" i="17" s="1" a="1"/>
  <c r="N704" i="17" s="1"/>
  <c r="J704" i="17"/>
  <c r="O704" i="17" s="1" a="1"/>
  <c r="O704" i="17" s="1"/>
  <c r="K704" i="17"/>
  <c r="L704" i="17"/>
  <c r="M704" i="17" s="1"/>
  <c r="I705" i="17"/>
  <c r="N705" i="17" s="1" a="1"/>
  <c r="N705" i="17" s="1"/>
  <c r="J705" i="17"/>
  <c r="O705" i="17" s="1" a="1"/>
  <c r="O705" i="17" s="1"/>
  <c r="K705" i="17"/>
  <c r="L705" i="17"/>
  <c r="M705" i="17" s="1"/>
  <c r="I706" i="17"/>
  <c r="N706" i="17" s="1" a="1"/>
  <c r="N706" i="17" s="1"/>
  <c r="J706" i="17"/>
  <c r="O706" i="17" s="1" a="1"/>
  <c r="O706" i="17" s="1"/>
  <c r="K706" i="17"/>
  <c r="L706" i="17"/>
  <c r="M706" i="17" s="1"/>
  <c r="I707" i="17"/>
  <c r="N707" i="17" s="1" a="1"/>
  <c r="N707" i="17" s="1"/>
  <c r="J707" i="17"/>
  <c r="O707" i="17" s="1" a="1"/>
  <c r="O707" i="17" s="1"/>
  <c r="K707" i="17"/>
  <c r="L707" i="17"/>
  <c r="M707" i="17" s="1"/>
  <c r="I708" i="17"/>
  <c r="N708" i="17" s="1" a="1"/>
  <c r="N708" i="17" s="1"/>
  <c r="J708" i="17"/>
  <c r="O708" i="17" s="1" a="1"/>
  <c r="O708" i="17" s="1"/>
  <c r="K708" i="17"/>
  <c r="L708" i="17"/>
  <c r="M708" i="17" s="1"/>
  <c r="I709" i="17"/>
  <c r="N709" i="17" s="1" a="1"/>
  <c r="N709" i="17" s="1"/>
  <c r="J709" i="17"/>
  <c r="O709" i="17" s="1" a="1"/>
  <c r="O709" i="17" s="1"/>
  <c r="K709" i="17"/>
  <c r="L709" i="17"/>
  <c r="M709" i="17" s="1"/>
  <c r="I710" i="17"/>
  <c r="N710" i="17" s="1" a="1"/>
  <c r="N710" i="17" s="1"/>
  <c r="J710" i="17"/>
  <c r="O710" i="17" s="1" a="1"/>
  <c r="O710" i="17" s="1"/>
  <c r="K710" i="17"/>
  <c r="L710" i="17"/>
  <c r="M710" i="17" s="1"/>
  <c r="I711" i="17"/>
  <c r="N711" i="17" s="1" a="1"/>
  <c r="N711" i="17" s="1"/>
  <c r="J711" i="17"/>
  <c r="O711" i="17" s="1" a="1"/>
  <c r="O711" i="17" s="1"/>
  <c r="K711" i="17"/>
  <c r="L711" i="17"/>
  <c r="M711" i="17" s="1"/>
  <c r="I712" i="17"/>
  <c r="N712" i="17" s="1" a="1"/>
  <c r="N712" i="17" s="1"/>
  <c r="J712" i="17"/>
  <c r="O712" i="17" s="1" a="1"/>
  <c r="O712" i="17" s="1"/>
  <c r="K712" i="17"/>
  <c r="L712" i="17"/>
  <c r="M712" i="17" s="1"/>
  <c r="I713" i="17"/>
  <c r="N713" i="17" s="1" a="1"/>
  <c r="N713" i="17" s="1"/>
  <c r="J713" i="17"/>
  <c r="O713" i="17" s="1" a="1"/>
  <c r="O713" i="17" s="1"/>
  <c r="K713" i="17"/>
  <c r="L713" i="17"/>
  <c r="M713" i="17" s="1"/>
  <c r="I714" i="17"/>
  <c r="N714" i="17" s="1" a="1"/>
  <c r="N714" i="17" s="1"/>
  <c r="J714" i="17"/>
  <c r="O714" i="17" s="1" a="1"/>
  <c r="O714" i="17" s="1"/>
  <c r="K714" i="17"/>
  <c r="L714" i="17"/>
  <c r="M714" i="17" s="1"/>
  <c r="I715" i="17"/>
  <c r="N715" i="17" s="1" a="1"/>
  <c r="N715" i="17" s="1"/>
  <c r="J715" i="17"/>
  <c r="O715" i="17" s="1" a="1"/>
  <c r="O715" i="17" s="1"/>
  <c r="K715" i="17"/>
  <c r="L715" i="17"/>
  <c r="M715" i="17" s="1"/>
  <c r="I716" i="17"/>
  <c r="N716" i="17" s="1" a="1"/>
  <c r="N716" i="17" s="1"/>
  <c r="J716" i="17"/>
  <c r="O716" i="17" s="1" a="1"/>
  <c r="O716" i="17" s="1"/>
  <c r="K716" i="17"/>
  <c r="L716" i="17"/>
  <c r="M716" i="17" s="1"/>
  <c r="I717" i="17"/>
  <c r="N717" i="17" s="1" a="1"/>
  <c r="N717" i="17" s="1"/>
  <c r="J717" i="17"/>
  <c r="O717" i="17" s="1" a="1"/>
  <c r="O717" i="17" s="1"/>
  <c r="K717" i="17"/>
  <c r="L717" i="17"/>
  <c r="I718" i="17"/>
  <c r="N718" i="17" s="1" a="1"/>
  <c r="N718" i="17" s="1"/>
  <c r="J718" i="17"/>
  <c r="O718" i="17" s="1" a="1"/>
  <c r="O718" i="17" s="1"/>
  <c r="K718" i="17"/>
  <c r="L718" i="17"/>
  <c r="I719" i="17"/>
  <c r="N719" i="17" s="1" a="1"/>
  <c r="N719" i="17" s="1"/>
  <c r="J719" i="17"/>
  <c r="O719" i="17" s="1" a="1"/>
  <c r="O719" i="17" s="1"/>
  <c r="K719" i="17"/>
  <c r="L719" i="17"/>
  <c r="M719" i="17" s="1"/>
  <c r="I720" i="17"/>
  <c r="N720" i="17" s="1" a="1"/>
  <c r="N720" i="17" s="1"/>
  <c r="J720" i="17"/>
  <c r="O720" i="17" s="1" a="1"/>
  <c r="O720" i="17" s="1"/>
  <c r="K720" i="17"/>
  <c r="L720" i="17"/>
  <c r="M720" i="17" s="1"/>
  <c r="I721" i="17"/>
  <c r="N721" i="17" s="1" a="1"/>
  <c r="N721" i="17" s="1"/>
  <c r="J721" i="17"/>
  <c r="O721" i="17" s="1" a="1"/>
  <c r="O721" i="17" s="1"/>
  <c r="K721" i="17"/>
  <c r="L721" i="17"/>
  <c r="M721" i="17" s="1"/>
  <c r="I722" i="17"/>
  <c r="N722" i="17" s="1" a="1"/>
  <c r="N722" i="17" s="1"/>
  <c r="J722" i="17"/>
  <c r="O722" i="17" s="1" a="1"/>
  <c r="O722" i="17" s="1"/>
  <c r="K722" i="17"/>
  <c r="L722" i="17"/>
  <c r="M722" i="17" s="1"/>
  <c r="I723" i="17"/>
  <c r="N723" i="17" s="1" a="1"/>
  <c r="N723" i="17" s="1"/>
  <c r="J723" i="17"/>
  <c r="O723" i="17" s="1" a="1"/>
  <c r="O723" i="17" s="1"/>
  <c r="K723" i="17"/>
  <c r="L723" i="17"/>
  <c r="M723" i="17" s="1"/>
  <c r="I724" i="17"/>
  <c r="N724" i="17" s="1" a="1"/>
  <c r="N724" i="17" s="1"/>
  <c r="J724" i="17"/>
  <c r="O724" i="17" s="1" a="1"/>
  <c r="O724" i="17" s="1"/>
  <c r="K724" i="17"/>
  <c r="L724" i="17"/>
  <c r="M724" i="17" s="1"/>
  <c r="I725" i="17"/>
  <c r="N725" i="17" s="1" a="1"/>
  <c r="N725" i="17" s="1"/>
  <c r="J725" i="17"/>
  <c r="O725" i="17" s="1" a="1"/>
  <c r="O725" i="17" s="1"/>
  <c r="K725" i="17"/>
  <c r="L725" i="17"/>
  <c r="M725" i="17" s="1"/>
  <c r="I726" i="17"/>
  <c r="N726" i="17" s="1" a="1"/>
  <c r="N726" i="17" s="1"/>
  <c r="J726" i="17"/>
  <c r="O726" i="17" s="1" a="1"/>
  <c r="O726" i="17" s="1"/>
  <c r="K726" i="17"/>
  <c r="L726" i="17"/>
  <c r="M726" i="17" s="1"/>
  <c r="I727" i="17"/>
  <c r="N727" i="17" s="1" a="1"/>
  <c r="N727" i="17" s="1"/>
  <c r="J727" i="17"/>
  <c r="O727" i="17" s="1" a="1"/>
  <c r="O727" i="17" s="1"/>
  <c r="K727" i="17"/>
  <c r="L727" i="17"/>
  <c r="M727" i="17" s="1"/>
  <c r="I728" i="17"/>
  <c r="N728" i="17" s="1" a="1"/>
  <c r="N728" i="17" s="1"/>
  <c r="J728" i="17"/>
  <c r="O728" i="17" s="1" a="1"/>
  <c r="O728" i="17" s="1"/>
  <c r="K728" i="17"/>
  <c r="L728" i="17"/>
  <c r="M728" i="17" s="1"/>
  <c r="I729" i="17"/>
  <c r="N729" i="17" s="1" a="1"/>
  <c r="N729" i="17" s="1"/>
  <c r="J729" i="17"/>
  <c r="O729" i="17" s="1" a="1"/>
  <c r="O729" i="17" s="1"/>
  <c r="K729" i="17"/>
  <c r="L729" i="17"/>
  <c r="M729" i="17" s="1"/>
  <c r="I730" i="17"/>
  <c r="N730" i="17" s="1" a="1"/>
  <c r="N730" i="17" s="1"/>
  <c r="J730" i="17"/>
  <c r="O730" i="17" s="1" a="1"/>
  <c r="O730" i="17" s="1"/>
  <c r="K730" i="17"/>
  <c r="L730" i="17"/>
  <c r="M730" i="17" s="1"/>
  <c r="I731" i="17"/>
  <c r="J731" i="17"/>
  <c r="O731" i="17" s="1" a="1"/>
  <c r="O731" i="17" s="1"/>
  <c r="K731" i="17"/>
  <c r="L731" i="17"/>
  <c r="M731" i="17" s="1"/>
  <c r="I732" i="17"/>
  <c r="N732" i="17" s="1" a="1"/>
  <c r="N732" i="17" s="1"/>
  <c r="J732" i="17"/>
  <c r="O732" i="17" s="1" a="1"/>
  <c r="O732" i="17" s="1"/>
  <c r="K732" i="17"/>
  <c r="L732" i="17"/>
  <c r="M732" i="17" s="1"/>
  <c r="I733" i="17"/>
  <c r="N733" i="17" s="1" a="1"/>
  <c r="N733" i="17" s="1"/>
  <c r="J733" i="17"/>
  <c r="O733" i="17" s="1" a="1"/>
  <c r="O733" i="17" s="1"/>
  <c r="K733" i="17"/>
  <c r="L733" i="17"/>
  <c r="I734" i="17"/>
  <c r="N734" i="17" s="1" a="1"/>
  <c r="N734" i="17" s="1"/>
  <c r="J734" i="17"/>
  <c r="O734" i="17" s="1" a="1"/>
  <c r="O734" i="17" s="1"/>
  <c r="K734" i="17"/>
  <c r="L734" i="17"/>
  <c r="I735" i="17"/>
  <c r="N735" i="17" s="1" a="1"/>
  <c r="N735" i="17" s="1"/>
  <c r="J735" i="17"/>
  <c r="O735" i="17" s="1" a="1"/>
  <c r="O735" i="17" s="1"/>
  <c r="K735" i="17"/>
  <c r="L735" i="17"/>
  <c r="M735" i="17" s="1"/>
  <c r="I736" i="17"/>
  <c r="N736" i="17" s="1" a="1"/>
  <c r="N736" i="17" s="1"/>
  <c r="J736" i="17"/>
  <c r="O736" i="17" s="1" a="1"/>
  <c r="O736" i="17" s="1"/>
  <c r="K736" i="17"/>
  <c r="L736" i="17"/>
  <c r="M736" i="17" s="1"/>
  <c r="I737" i="17"/>
  <c r="N737" i="17" s="1" a="1"/>
  <c r="N737" i="17" s="1"/>
  <c r="J737" i="17"/>
  <c r="O737" i="17" s="1" a="1"/>
  <c r="O737" i="17" s="1"/>
  <c r="K737" i="17"/>
  <c r="L737" i="17"/>
  <c r="M737" i="17" s="1"/>
  <c r="I738" i="17"/>
  <c r="N738" i="17" s="1" a="1"/>
  <c r="N738" i="17" s="1"/>
  <c r="J738" i="17"/>
  <c r="O738" i="17" s="1" a="1"/>
  <c r="O738" i="17" s="1"/>
  <c r="K738" i="17"/>
  <c r="L738" i="17"/>
  <c r="M738" i="17" s="1"/>
  <c r="I739" i="17"/>
  <c r="N739" i="17" s="1" a="1"/>
  <c r="N739" i="17" s="1"/>
  <c r="J739" i="17"/>
  <c r="O739" i="17" s="1" a="1"/>
  <c r="O739" i="17" s="1"/>
  <c r="K739" i="17"/>
  <c r="L739" i="17"/>
  <c r="M739" i="17" s="1"/>
  <c r="I740" i="17"/>
  <c r="J740" i="17"/>
  <c r="O740" i="17" s="1" a="1"/>
  <c r="O740" i="17" s="1"/>
  <c r="K740" i="17"/>
  <c r="L740" i="17"/>
  <c r="M740" i="17" s="1"/>
  <c r="I741" i="17"/>
  <c r="N741" i="17" s="1" a="1"/>
  <c r="N741" i="17" s="1"/>
  <c r="J741" i="17"/>
  <c r="O741" i="17" s="1" a="1"/>
  <c r="O741" i="17" s="1"/>
  <c r="K741" i="17"/>
  <c r="L741" i="17"/>
  <c r="M741" i="17" s="1"/>
  <c r="I742" i="17"/>
  <c r="N742" i="17" s="1" a="1"/>
  <c r="N742" i="17" s="1"/>
  <c r="J742" i="17"/>
  <c r="O742" i="17" s="1" a="1"/>
  <c r="O742" i="17" s="1"/>
  <c r="K742" i="17"/>
  <c r="L742" i="17"/>
  <c r="M742" i="17" s="1"/>
  <c r="I743" i="17"/>
  <c r="N743" i="17" s="1" a="1"/>
  <c r="N743" i="17" s="1"/>
  <c r="J743" i="17"/>
  <c r="O743" i="17" s="1" a="1"/>
  <c r="O743" i="17" s="1"/>
  <c r="K743" i="17"/>
  <c r="L743" i="17"/>
  <c r="M743" i="17" s="1"/>
  <c r="I744" i="17"/>
  <c r="N744" i="17" s="1" a="1"/>
  <c r="N744" i="17" s="1"/>
  <c r="J744" i="17"/>
  <c r="O744" i="17" s="1" a="1"/>
  <c r="O744" i="17" s="1"/>
  <c r="K744" i="17"/>
  <c r="L744" i="17"/>
  <c r="M744" i="17" s="1"/>
  <c r="I745" i="17"/>
  <c r="N745" i="17" s="1" a="1"/>
  <c r="N745" i="17" s="1"/>
  <c r="J745" i="17"/>
  <c r="O745" i="17" s="1" a="1"/>
  <c r="O745" i="17" s="1"/>
  <c r="K745" i="17"/>
  <c r="L745" i="17"/>
  <c r="M745" i="17" s="1"/>
  <c r="I746" i="17"/>
  <c r="N746" i="17" s="1" a="1"/>
  <c r="N746" i="17" s="1"/>
  <c r="J746" i="17"/>
  <c r="O746" i="17" s="1" a="1"/>
  <c r="O746" i="17" s="1"/>
  <c r="K746" i="17"/>
  <c r="L746" i="17"/>
  <c r="M746" i="17" s="1"/>
  <c r="I747" i="17"/>
  <c r="N747" i="17" s="1" a="1"/>
  <c r="N747" i="17" s="1"/>
  <c r="J747" i="17"/>
  <c r="O747" i="17" s="1" a="1"/>
  <c r="O747" i="17" s="1"/>
  <c r="K747" i="17"/>
  <c r="L747" i="17"/>
  <c r="M747" i="17" s="1"/>
  <c r="I748" i="17"/>
  <c r="N748" i="17" s="1" a="1"/>
  <c r="N748" i="17" s="1"/>
  <c r="J748" i="17"/>
  <c r="O748" i="17" s="1" a="1"/>
  <c r="O748" i="17" s="1"/>
  <c r="K748" i="17"/>
  <c r="L748" i="17"/>
  <c r="M748" i="17" s="1"/>
  <c r="I749" i="17"/>
  <c r="N749" i="17" s="1" a="1"/>
  <c r="N749" i="17" s="1"/>
  <c r="J749" i="17"/>
  <c r="O749" i="17" s="1" a="1"/>
  <c r="O749" i="17" s="1"/>
  <c r="K749" i="17"/>
  <c r="L749" i="17"/>
  <c r="I750" i="17"/>
  <c r="N750" i="17" s="1" a="1"/>
  <c r="N750" i="17" s="1"/>
  <c r="J750" i="17"/>
  <c r="O750" i="17" s="1" a="1"/>
  <c r="O750" i="17" s="1"/>
  <c r="K750" i="17"/>
  <c r="L750" i="17"/>
  <c r="I751" i="17"/>
  <c r="N751" i="17" s="1" a="1"/>
  <c r="N751" i="17" s="1"/>
  <c r="J751" i="17"/>
  <c r="O751" i="17" s="1" a="1"/>
  <c r="O751" i="17" s="1"/>
  <c r="K751" i="17"/>
  <c r="L751" i="17"/>
  <c r="M751" i="17" s="1"/>
  <c r="I752" i="17"/>
  <c r="N752" i="17" s="1" a="1"/>
  <c r="N752" i="17" s="1"/>
  <c r="J752" i="17"/>
  <c r="O752" i="17" s="1" a="1"/>
  <c r="O752" i="17" s="1"/>
  <c r="K752" i="17"/>
  <c r="L752" i="17"/>
  <c r="M752" i="17" s="1"/>
  <c r="I753" i="17"/>
  <c r="N753" i="17" s="1" a="1"/>
  <c r="N753" i="17" s="1"/>
  <c r="J753" i="17"/>
  <c r="O753" i="17" s="1" a="1"/>
  <c r="O753" i="17" s="1"/>
  <c r="K753" i="17"/>
  <c r="L753" i="17"/>
  <c r="M753" i="17" s="1"/>
  <c r="I754" i="17"/>
  <c r="N754" i="17" s="1" a="1"/>
  <c r="N754" i="17" s="1"/>
  <c r="J754" i="17"/>
  <c r="O754" i="17" s="1" a="1"/>
  <c r="O754" i="17" s="1"/>
  <c r="K754" i="17"/>
  <c r="L754" i="17"/>
  <c r="M754" i="17" s="1"/>
  <c r="I755" i="17"/>
  <c r="N755" i="17" s="1" a="1"/>
  <c r="N755" i="17" s="1"/>
  <c r="J755" i="17"/>
  <c r="O755" i="17" s="1" a="1"/>
  <c r="O755" i="17" s="1"/>
  <c r="K755" i="17"/>
  <c r="L755" i="17"/>
  <c r="M755" i="17" s="1"/>
  <c r="I756" i="17"/>
  <c r="N756" i="17" s="1" a="1"/>
  <c r="N756" i="17" s="1"/>
  <c r="J756" i="17"/>
  <c r="O756" i="17" s="1" a="1"/>
  <c r="O756" i="17" s="1"/>
  <c r="K756" i="17"/>
  <c r="L756" i="17"/>
  <c r="M756" i="17" s="1"/>
  <c r="I757" i="17"/>
  <c r="N757" i="17" s="1" a="1"/>
  <c r="N757" i="17" s="1"/>
  <c r="J757" i="17"/>
  <c r="O757" i="17" s="1" a="1"/>
  <c r="O757" i="17" s="1"/>
  <c r="K757" i="17"/>
  <c r="L757" i="17"/>
  <c r="M757" i="17" s="1"/>
  <c r="I758" i="17"/>
  <c r="N758" i="17" s="1" a="1"/>
  <c r="N758" i="17" s="1"/>
  <c r="J758" i="17"/>
  <c r="O758" i="17" s="1" a="1"/>
  <c r="O758" i="17" s="1"/>
  <c r="K758" i="17"/>
  <c r="L758" i="17"/>
  <c r="M758" i="17" s="1"/>
  <c r="I759" i="17"/>
  <c r="N759" i="17" s="1" a="1"/>
  <c r="N759" i="17" s="1"/>
  <c r="J759" i="17"/>
  <c r="O759" i="17" s="1" a="1"/>
  <c r="O759" i="17" s="1"/>
  <c r="K759" i="17"/>
  <c r="L759" i="17"/>
  <c r="M759" i="17" s="1"/>
  <c r="I760" i="17"/>
  <c r="N760" i="17" s="1" a="1"/>
  <c r="N760" i="17" s="1"/>
  <c r="J760" i="17"/>
  <c r="O760" i="17" s="1" a="1"/>
  <c r="O760" i="17" s="1"/>
  <c r="K760" i="17"/>
  <c r="L760" i="17"/>
  <c r="M760" i="17" s="1"/>
  <c r="I761" i="17"/>
  <c r="N761" i="17" s="1" a="1"/>
  <c r="N761" i="17" s="1"/>
  <c r="J761" i="17"/>
  <c r="O761" i="17" s="1" a="1"/>
  <c r="O761" i="17" s="1"/>
  <c r="K761" i="17"/>
  <c r="L761" i="17"/>
  <c r="M761" i="17" s="1"/>
  <c r="I762" i="17"/>
  <c r="N762" i="17" s="1" a="1"/>
  <c r="N762" i="17" s="1"/>
  <c r="J762" i="17"/>
  <c r="O762" i="17" s="1" a="1"/>
  <c r="O762" i="17" s="1"/>
  <c r="K762" i="17"/>
  <c r="L762" i="17"/>
  <c r="M762" i="17" s="1"/>
  <c r="I763" i="17"/>
  <c r="N763" i="17" s="1" a="1"/>
  <c r="N763" i="17" s="1"/>
  <c r="J763" i="17"/>
  <c r="O763" i="17" s="1" a="1"/>
  <c r="O763" i="17" s="1"/>
  <c r="K763" i="17"/>
  <c r="L763" i="17"/>
  <c r="M763" i="17" s="1"/>
  <c r="I764" i="17"/>
  <c r="N764" i="17" s="1" a="1"/>
  <c r="N764" i="17" s="1"/>
  <c r="J764" i="17"/>
  <c r="O764" i="17" s="1" a="1"/>
  <c r="O764" i="17" s="1"/>
  <c r="K764" i="17"/>
  <c r="L764" i="17"/>
  <c r="M764" i="17" s="1"/>
  <c r="I765" i="17"/>
  <c r="N765" i="17" s="1" a="1"/>
  <c r="N765" i="17" s="1"/>
  <c r="J765" i="17"/>
  <c r="O765" i="17" s="1" a="1"/>
  <c r="O765" i="17" s="1"/>
  <c r="K765" i="17"/>
  <c r="L765" i="17"/>
  <c r="I766" i="17"/>
  <c r="N766" i="17" s="1" a="1"/>
  <c r="N766" i="17" s="1"/>
  <c r="J766" i="17"/>
  <c r="O766" i="17" s="1" a="1"/>
  <c r="O766" i="17" s="1"/>
  <c r="K766" i="17"/>
  <c r="L766" i="17"/>
  <c r="I767" i="17"/>
  <c r="N767" i="17" s="1" a="1"/>
  <c r="N767" i="17" s="1"/>
  <c r="J767" i="17"/>
  <c r="O767" i="17" s="1" a="1"/>
  <c r="O767" i="17" s="1"/>
  <c r="K767" i="17"/>
  <c r="L767" i="17"/>
  <c r="M767" i="17" s="1"/>
  <c r="I768" i="17"/>
  <c r="N768" i="17" s="1" a="1"/>
  <c r="N768" i="17" s="1"/>
  <c r="J768" i="17"/>
  <c r="O768" i="17" s="1" a="1"/>
  <c r="O768" i="17" s="1"/>
  <c r="K768" i="17"/>
  <c r="L768" i="17"/>
  <c r="M768" i="17" s="1"/>
  <c r="I769" i="17"/>
  <c r="N769" i="17" s="1" a="1"/>
  <c r="N769" i="17" s="1"/>
  <c r="J769" i="17"/>
  <c r="O769" i="17" s="1" a="1"/>
  <c r="O769" i="17" s="1"/>
  <c r="K769" i="17"/>
  <c r="L769" i="17"/>
  <c r="M769" i="17" s="1"/>
  <c r="I770" i="17"/>
  <c r="N770" i="17" s="1" a="1"/>
  <c r="N770" i="17" s="1"/>
  <c r="J770" i="17"/>
  <c r="O770" i="17" s="1" a="1"/>
  <c r="O770" i="17" s="1"/>
  <c r="K770" i="17"/>
  <c r="L770" i="17"/>
  <c r="M770" i="17" s="1"/>
  <c r="I771" i="17"/>
  <c r="N771" i="17" s="1" a="1"/>
  <c r="N771" i="17" s="1"/>
  <c r="J771" i="17"/>
  <c r="O771" i="17" s="1" a="1"/>
  <c r="O771" i="17" s="1"/>
  <c r="K771" i="17"/>
  <c r="L771" i="17"/>
  <c r="M771" i="17" s="1"/>
  <c r="I772" i="17"/>
  <c r="N772" i="17" s="1" a="1"/>
  <c r="N772" i="17" s="1"/>
  <c r="J772" i="17"/>
  <c r="O772" i="17" s="1" a="1"/>
  <c r="O772" i="17" s="1"/>
  <c r="K772" i="17"/>
  <c r="L772" i="17"/>
  <c r="M772" i="17" s="1"/>
  <c r="I773" i="17"/>
  <c r="N773" i="17" s="1" a="1"/>
  <c r="N773" i="17" s="1"/>
  <c r="J773" i="17"/>
  <c r="O773" i="17" s="1" a="1"/>
  <c r="O773" i="17" s="1"/>
  <c r="K773" i="17"/>
  <c r="L773" i="17"/>
  <c r="M773" i="17" s="1"/>
  <c r="I774" i="17"/>
  <c r="N774" i="17" s="1" a="1"/>
  <c r="N774" i="17" s="1"/>
  <c r="J774" i="17"/>
  <c r="O774" i="17" s="1" a="1"/>
  <c r="O774" i="17" s="1"/>
  <c r="K774" i="17"/>
  <c r="L774" i="17"/>
  <c r="M774" i="17" s="1"/>
  <c r="I775" i="17"/>
  <c r="N775" i="17" s="1" a="1"/>
  <c r="N775" i="17" s="1"/>
  <c r="J775" i="17"/>
  <c r="O775" i="17" s="1" a="1"/>
  <c r="O775" i="17" s="1"/>
  <c r="K775" i="17"/>
  <c r="L775" i="17"/>
  <c r="M775" i="17" s="1"/>
  <c r="I776" i="17"/>
  <c r="N776" i="17" s="1" a="1"/>
  <c r="N776" i="17" s="1"/>
  <c r="J776" i="17"/>
  <c r="O776" i="17" s="1" a="1"/>
  <c r="O776" i="17" s="1"/>
  <c r="K776" i="17"/>
  <c r="L776" i="17"/>
  <c r="M776" i="17" s="1"/>
  <c r="I777" i="17"/>
  <c r="N777" i="17" s="1" a="1"/>
  <c r="N777" i="17" s="1"/>
  <c r="J777" i="17"/>
  <c r="O777" i="17" s="1" a="1"/>
  <c r="O777" i="17" s="1"/>
  <c r="K777" i="17"/>
  <c r="L777" i="17"/>
  <c r="M777" i="17" s="1"/>
  <c r="I778" i="17"/>
  <c r="N778" i="17" s="1" a="1"/>
  <c r="N778" i="17" s="1"/>
  <c r="J778" i="17"/>
  <c r="O778" i="17" s="1" a="1"/>
  <c r="O778" i="17" s="1"/>
  <c r="K778" i="17"/>
  <c r="L778" i="17"/>
  <c r="M778" i="17" s="1"/>
  <c r="I779" i="17"/>
  <c r="N779" i="17" s="1" a="1"/>
  <c r="N779" i="17" s="1"/>
  <c r="J779" i="17"/>
  <c r="O779" i="17" s="1" a="1"/>
  <c r="O779" i="17" s="1"/>
  <c r="K779" i="17"/>
  <c r="L779" i="17"/>
  <c r="M779" i="17" s="1"/>
  <c r="I780" i="17"/>
  <c r="N780" i="17" s="1" a="1"/>
  <c r="N780" i="17" s="1"/>
  <c r="J780" i="17"/>
  <c r="O780" i="17" s="1" a="1"/>
  <c r="O780" i="17" s="1"/>
  <c r="K780" i="17"/>
  <c r="L780" i="17"/>
  <c r="M780" i="17" s="1"/>
  <c r="I781" i="17"/>
  <c r="N781" i="17" s="1" a="1"/>
  <c r="N781" i="17" s="1"/>
  <c r="J781" i="17"/>
  <c r="O781" i="17" s="1" a="1"/>
  <c r="O781" i="17" s="1"/>
  <c r="K781" i="17"/>
  <c r="L781" i="17"/>
  <c r="I782" i="17"/>
  <c r="N782" i="17" s="1" a="1"/>
  <c r="N782" i="17" s="1"/>
  <c r="J782" i="17"/>
  <c r="O782" i="17" s="1" a="1"/>
  <c r="O782" i="17" s="1"/>
  <c r="K782" i="17"/>
  <c r="L782" i="17"/>
  <c r="I783" i="17"/>
  <c r="N783" i="17" s="1" a="1"/>
  <c r="N783" i="17" s="1"/>
  <c r="J783" i="17"/>
  <c r="O783" i="17" s="1" a="1"/>
  <c r="O783" i="17" s="1"/>
  <c r="K783" i="17"/>
  <c r="L783" i="17"/>
  <c r="M783" i="17" s="1"/>
  <c r="I784" i="17"/>
  <c r="N784" i="17" s="1" a="1"/>
  <c r="N784" i="17" s="1"/>
  <c r="J784" i="17"/>
  <c r="O784" i="17" s="1" a="1"/>
  <c r="O784" i="17" s="1"/>
  <c r="K784" i="17"/>
  <c r="L784" i="17"/>
  <c r="M784" i="17" s="1"/>
  <c r="I785" i="17"/>
  <c r="N785" i="17" s="1" a="1"/>
  <c r="N785" i="17" s="1"/>
  <c r="J785" i="17"/>
  <c r="O785" i="17" s="1" a="1"/>
  <c r="O785" i="17" s="1"/>
  <c r="K785" i="17"/>
  <c r="L785" i="17"/>
  <c r="M785" i="17" s="1"/>
  <c r="I786" i="17"/>
  <c r="N786" i="17" s="1" a="1"/>
  <c r="N786" i="17" s="1"/>
  <c r="J786" i="17"/>
  <c r="O786" i="17" s="1" a="1"/>
  <c r="O786" i="17" s="1"/>
  <c r="K786" i="17"/>
  <c r="L786" i="17"/>
  <c r="M786" i="17" s="1"/>
  <c r="I787" i="17"/>
  <c r="N787" i="17" s="1" a="1"/>
  <c r="N787" i="17" s="1"/>
  <c r="J787" i="17"/>
  <c r="O787" i="17" s="1" a="1"/>
  <c r="O787" i="17" s="1"/>
  <c r="K787" i="17"/>
  <c r="L787" i="17"/>
  <c r="M787" i="17" s="1"/>
  <c r="I788" i="17"/>
  <c r="N788" i="17" s="1" a="1"/>
  <c r="N788" i="17" s="1"/>
  <c r="J788" i="17"/>
  <c r="O788" i="17" s="1" a="1"/>
  <c r="O788" i="17" s="1"/>
  <c r="K788" i="17"/>
  <c r="L788" i="17"/>
  <c r="M788" i="17" s="1"/>
  <c r="I789" i="17"/>
  <c r="N789" i="17" s="1" a="1"/>
  <c r="N789" i="17" s="1"/>
  <c r="J789" i="17"/>
  <c r="O789" i="17" s="1" a="1"/>
  <c r="O789" i="17" s="1"/>
  <c r="K789" i="17"/>
  <c r="L789" i="17"/>
  <c r="M789" i="17" s="1"/>
  <c r="I790" i="17"/>
  <c r="N790" i="17" s="1" a="1"/>
  <c r="N790" i="17" s="1"/>
  <c r="J790" i="17"/>
  <c r="O790" i="17" s="1" a="1"/>
  <c r="O790" i="17" s="1"/>
  <c r="K790" i="17"/>
  <c r="L790" i="17"/>
  <c r="M790" i="17" s="1"/>
  <c r="I791" i="17"/>
  <c r="N791" i="17" s="1" a="1"/>
  <c r="N791" i="17" s="1"/>
  <c r="J791" i="17"/>
  <c r="O791" i="17" s="1" a="1"/>
  <c r="O791" i="17" s="1"/>
  <c r="K791" i="17"/>
  <c r="L791" i="17"/>
  <c r="M791" i="17" s="1"/>
  <c r="I792" i="17"/>
  <c r="N792" i="17" s="1" a="1"/>
  <c r="N792" i="17" s="1"/>
  <c r="J792" i="17"/>
  <c r="O792" i="17" s="1" a="1"/>
  <c r="O792" i="17" s="1"/>
  <c r="K792" i="17"/>
  <c r="L792" i="17"/>
  <c r="M792" i="17" s="1"/>
  <c r="I793" i="17"/>
  <c r="N793" i="17" s="1" a="1"/>
  <c r="N793" i="17" s="1"/>
  <c r="J793" i="17"/>
  <c r="O793" i="17" s="1" a="1"/>
  <c r="O793" i="17" s="1"/>
  <c r="K793" i="17"/>
  <c r="L793" i="17"/>
  <c r="M793" i="17" s="1"/>
  <c r="I794" i="17"/>
  <c r="N794" i="17" s="1" a="1"/>
  <c r="N794" i="17" s="1"/>
  <c r="J794" i="17"/>
  <c r="O794" i="17" s="1" a="1"/>
  <c r="O794" i="17" s="1"/>
  <c r="K794" i="17"/>
  <c r="L794" i="17"/>
  <c r="M794" i="17" s="1"/>
  <c r="I795" i="17"/>
  <c r="N795" i="17" s="1" a="1"/>
  <c r="N795" i="17" s="1"/>
  <c r="J795" i="17"/>
  <c r="O795" i="17" s="1" a="1"/>
  <c r="O795" i="17" s="1"/>
  <c r="K795" i="17"/>
  <c r="L795" i="17"/>
  <c r="M795" i="17" s="1"/>
  <c r="I796" i="17"/>
  <c r="N796" i="17" s="1" a="1"/>
  <c r="N796" i="17" s="1"/>
  <c r="J796" i="17"/>
  <c r="O796" i="17" s="1" a="1"/>
  <c r="O796" i="17" s="1"/>
  <c r="K796" i="17"/>
  <c r="L796" i="17"/>
  <c r="M796" i="17" s="1"/>
  <c r="I797" i="17"/>
  <c r="N797" i="17" s="1" a="1"/>
  <c r="N797" i="17" s="1"/>
  <c r="J797" i="17"/>
  <c r="O797" i="17" s="1" a="1"/>
  <c r="O797" i="17" s="1"/>
  <c r="K797" i="17"/>
  <c r="L797" i="17"/>
  <c r="I798" i="17"/>
  <c r="N798" i="17" s="1" a="1"/>
  <c r="N798" i="17" s="1"/>
  <c r="J798" i="17"/>
  <c r="O798" i="17" s="1" a="1"/>
  <c r="O798" i="17" s="1"/>
  <c r="K798" i="17"/>
  <c r="L798" i="17"/>
  <c r="I799" i="17"/>
  <c r="N799" i="17" s="1" a="1"/>
  <c r="N799" i="17" s="1"/>
  <c r="J799" i="17"/>
  <c r="O799" i="17" s="1" a="1"/>
  <c r="O799" i="17" s="1"/>
  <c r="K799" i="17"/>
  <c r="L799" i="17"/>
  <c r="M799" i="17" s="1"/>
  <c r="I800" i="17"/>
  <c r="N800" i="17" s="1" a="1"/>
  <c r="N800" i="17" s="1"/>
  <c r="J800" i="17"/>
  <c r="O800" i="17" s="1" a="1"/>
  <c r="O800" i="17" s="1"/>
  <c r="K800" i="17"/>
  <c r="L800" i="17"/>
  <c r="M800" i="17" s="1"/>
  <c r="I801" i="17"/>
  <c r="N801" i="17" s="1" a="1"/>
  <c r="N801" i="17" s="1"/>
  <c r="J801" i="17"/>
  <c r="O801" i="17" s="1" a="1"/>
  <c r="O801" i="17" s="1"/>
  <c r="K801" i="17"/>
  <c r="L801" i="17"/>
  <c r="M801" i="17" s="1"/>
  <c r="I802" i="17"/>
  <c r="N802" i="17" s="1" a="1"/>
  <c r="N802" i="17" s="1"/>
  <c r="J802" i="17"/>
  <c r="O802" i="17" s="1" a="1"/>
  <c r="O802" i="17" s="1"/>
  <c r="K802" i="17"/>
  <c r="L802" i="17"/>
  <c r="M802" i="17" s="1"/>
  <c r="I803" i="17"/>
  <c r="N803" i="17" s="1" a="1"/>
  <c r="N803" i="17" s="1"/>
  <c r="J803" i="17"/>
  <c r="O803" i="17" s="1" a="1"/>
  <c r="O803" i="17" s="1"/>
  <c r="K803" i="17"/>
  <c r="L803" i="17"/>
  <c r="M803" i="17" s="1"/>
  <c r="I804" i="17"/>
  <c r="N804" i="17" s="1" a="1"/>
  <c r="N804" i="17" s="1"/>
  <c r="J804" i="17"/>
  <c r="O804" i="17" s="1" a="1"/>
  <c r="O804" i="17" s="1"/>
  <c r="K804" i="17"/>
  <c r="L804" i="17"/>
  <c r="M804" i="17" s="1"/>
  <c r="I805" i="17"/>
  <c r="N805" i="17" s="1" a="1"/>
  <c r="N805" i="17" s="1"/>
  <c r="J805" i="17"/>
  <c r="O805" i="17" s="1" a="1"/>
  <c r="O805" i="17" s="1"/>
  <c r="K805" i="17"/>
  <c r="L805" i="17"/>
  <c r="M805" i="17" s="1"/>
  <c r="I806" i="17"/>
  <c r="N806" i="17" s="1" a="1"/>
  <c r="N806" i="17" s="1"/>
  <c r="J806" i="17"/>
  <c r="O806" i="17" s="1" a="1"/>
  <c r="O806" i="17" s="1"/>
  <c r="K806" i="17"/>
  <c r="L806" i="17"/>
  <c r="M806" i="17" s="1"/>
  <c r="I807" i="17"/>
  <c r="N807" i="17" s="1" a="1"/>
  <c r="N807" i="17" s="1"/>
  <c r="J807" i="17"/>
  <c r="O807" i="17" s="1" a="1"/>
  <c r="O807" i="17" s="1"/>
  <c r="K807" i="17"/>
  <c r="L807" i="17"/>
  <c r="M807" i="17" s="1"/>
  <c r="I808" i="17"/>
  <c r="N808" i="17" s="1" a="1"/>
  <c r="N808" i="17" s="1"/>
  <c r="J808" i="17"/>
  <c r="O808" i="17" s="1" a="1"/>
  <c r="O808" i="17" s="1"/>
  <c r="K808" i="17"/>
  <c r="L808" i="17"/>
  <c r="M808" i="17" s="1"/>
  <c r="I809" i="17"/>
  <c r="N809" i="17" s="1" a="1"/>
  <c r="N809" i="17" s="1"/>
  <c r="J809" i="17"/>
  <c r="O809" i="17" s="1" a="1"/>
  <c r="O809" i="17" s="1"/>
  <c r="K809" i="17"/>
  <c r="L809" i="17"/>
  <c r="M809" i="17" s="1"/>
  <c r="I810" i="17"/>
  <c r="N810" i="17" s="1" a="1"/>
  <c r="N810" i="17" s="1"/>
  <c r="J810" i="17"/>
  <c r="O810" i="17" s="1" a="1"/>
  <c r="O810" i="17" s="1"/>
  <c r="K810" i="17"/>
  <c r="L810" i="17"/>
  <c r="M810" i="17" s="1"/>
  <c r="I811" i="17"/>
  <c r="N811" i="17" s="1" a="1"/>
  <c r="N811" i="17" s="1"/>
  <c r="J811" i="17"/>
  <c r="O811" i="17" s="1" a="1"/>
  <c r="O811" i="17" s="1"/>
  <c r="K811" i="17"/>
  <c r="L811" i="17"/>
  <c r="M811" i="17" s="1"/>
  <c r="I812" i="17"/>
  <c r="N812" i="17" s="1" a="1"/>
  <c r="N812" i="17" s="1"/>
  <c r="J812" i="17"/>
  <c r="O812" i="17" s="1" a="1"/>
  <c r="O812" i="17" s="1"/>
  <c r="K812" i="17"/>
  <c r="L812" i="17"/>
  <c r="M812" i="17" s="1"/>
  <c r="I813" i="17"/>
  <c r="N813" i="17" s="1" a="1"/>
  <c r="N813" i="17" s="1"/>
  <c r="J813" i="17"/>
  <c r="O813" i="17" s="1" a="1"/>
  <c r="O813" i="17" s="1"/>
  <c r="K813" i="17"/>
  <c r="L813" i="17"/>
  <c r="I814" i="17"/>
  <c r="J814" i="17"/>
  <c r="O814" i="17" s="1" a="1"/>
  <c r="O814" i="17" s="1"/>
  <c r="K814" i="17"/>
  <c r="L814" i="17"/>
  <c r="I815" i="17"/>
  <c r="N815" i="17" s="1" a="1"/>
  <c r="N815" i="17" s="1"/>
  <c r="J815" i="17"/>
  <c r="O815" i="17" s="1" a="1"/>
  <c r="O815" i="17" s="1"/>
  <c r="K815" i="17"/>
  <c r="L815" i="17"/>
  <c r="M815" i="17" s="1"/>
  <c r="I816" i="17"/>
  <c r="N816" i="17" s="1" a="1"/>
  <c r="N816" i="17" s="1"/>
  <c r="J816" i="17"/>
  <c r="O816" i="17" s="1" a="1"/>
  <c r="O816" i="17" s="1"/>
  <c r="K816" i="17"/>
  <c r="L816" i="17"/>
  <c r="M816" i="17" s="1"/>
  <c r="I817" i="17"/>
  <c r="N817" i="17" s="1" a="1"/>
  <c r="N817" i="17" s="1"/>
  <c r="J817" i="17"/>
  <c r="O817" i="17" s="1" a="1"/>
  <c r="O817" i="17" s="1"/>
  <c r="K817" i="17"/>
  <c r="L817" i="17"/>
  <c r="M817" i="17" s="1"/>
  <c r="I818" i="17"/>
  <c r="N818" i="17" s="1" a="1"/>
  <c r="N818" i="17" s="1"/>
  <c r="J818" i="17"/>
  <c r="O818" i="17" s="1" a="1"/>
  <c r="O818" i="17" s="1"/>
  <c r="K818" i="17"/>
  <c r="L818" i="17"/>
  <c r="M818" i="17" s="1"/>
  <c r="I819" i="17"/>
  <c r="N819" i="17" s="1" a="1"/>
  <c r="N819" i="17" s="1"/>
  <c r="J819" i="17"/>
  <c r="O819" i="17" s="1" a="1"/>
  <c r="O819" i="17" s="1"/>
  <c r="K819" i="17"/>
  <c r="L819" i="17"/>
  <c r="M819" i="17" s="1"/>
  <c r="I820" i="17"/>
  <c r="N820" i="17" s="1" a="1"/>
  <c r="N820" i="17" s="1"/>
  <c r="J820" i="17"/>
  <c r="O820" i="17" s="1" a="1"/>
  <c r="O820" i="17" s="1"/>
  <c r="K820" i="17"/>
  <c r="L820" i="17"/>
  <c r="M820" i="17" s="1"/>
  <c r="I821" i="17"/>
  <c r="N821" i="17" s="1" a="1"/>
  <c r="N821" i="17" s="1"/>
  <c r="J821" i="17"/>
  <c r="O821" i="17" s="1" a="1"/>
  <c r="O821" i="17" s="1"/>
  <c r="K821" i="17"/>
  <c r="L821" i="17"/>
  <c r="M821" i="17" s="1"/>
  <c r="I822" i="17"/>
  <c r="N822" i="17" s="1" a="1"/>
  <c r="N822" i="17" s="1"/>
  <c r="J822" i="17"/>
  <c r="O822" i="17" s="1" a="1"/>
  <c r="O822" i="17" s="1"/>
  <c r="K822" i="17"/>
  <c r="L822" i="17"/>
  <c r="M822" i="17" s="1"/>
  <c r="I823" i="17"/>
  <c r="N823" i="17" s="1" a="1"/>
  <c r="N823" i="17" s="1"/>
  <c r="J823" i="17"/>
  <c r="O823" i="17" s="1" a="1"/>
  <c r="O823" i="17" s="1"/>
  <c r="K823" i="17"/>
  <c r="L823" i="17"/>
  <c r="M823" i="17" s="1"/>
  <c r="I824" i="17"/>
  <c r="N824" i="17" s="1" a="1"/>
  <c r="N824" i="17" s="1"/>
  <c r="J824" i="17"/>
  <c r="O824" i="17" s="1" a="1"/>
  <c r="O824" i="17" s="1"/>
  <c r="K824" i="17"/>
  <c r="L824" i="17"/>
  <c r="M824" i="17" s="1"/>
  <c r="I825" i="17"/>
  <c r="N825" i="17" s="1" a="1"/>
  <c r="N825" i="17" s="1"/>
  <c r="J825" i="17"/>
  <c r="O825" i="17" s="1" a="1"/>
  <c r="O825" i="17" s="1"/>
  <c r="K825" i="17"/>
  <c r="L825" i="17"/>
  <c r="M825" i="17" s="1"/>
  <c r="I826" i="17"/>
  <c r="J826" i="17"/>
  <c r="O826" i="17" s="1" a="1"/>
  <c r="O826" i="17" s="1"/>
  <c r="K826" i="17"/>
  <c r="L826" i="17"/>
  <c r="M826" i="17" s="1"/>
  <c r="I827" i="17"/>
  <c r="N827" i="17" s="1" a="1"/>
  <c r="N827" i="17" s="1"/>
  <c r="J827" i="17"/>
  <c r="O827" i="17" s="1" a="1"/>
  <c r="O827" i="17" s="1"/>
  <c r="K827" i="17"/>
  <c r="L827" i="17"/>
  <c r="M827" i="17" s="1"/>
  <c r="I828" i="17"/>
  <c r="N828" i="17" s="1" a="1"/>
  <c r="N828" i="17" s="1"/>
  <c r="J828" i="17"/>
  <c r="O828" i="17" s="1" a="1"/>
  <c r="O828" i="17" s="1"/>
  <c r="K828" i="17"/>
  <c r="L828" i="17"/>
  <c r="M828" i="17" s="1"/>
  <c r="I829" i="17"/>
  <c r="N829" i="17" s="1" a="1"/>
  <c r="N829" i="17" s="1"/>
  <c r="J829" i="17"/>
  <c r="O829" i="17" s="1" a="1"/>
  <c r="O829" i="17" s="1"/>
  <c r="K829" i="17"/>
  <c r="L829" i="17"/>
  <c r="I830" i="17"/>
  <c r="N830" i="17" s="1" a="1"/>
  <c r="N830" i="17" s="1"/>
  <c r="J830" i="17"/>
  <c r="O830" i="17" s="1" a="1"/>
  <c r="O830" i="17" s="1"/>
  <c r="K830" i="17"/>
  <c r="L830" i="17"/>
  <c r="I831" i="17"/>
  <c r="N831" i="17" s="1" a="1"/>
  <c r="N831" i="17" s="1"/>
  <c r="J831" i="17"/>
  <c r="O831" i="17" s="1" a="1"/>
  <c r="O831" i="17" s="1"/>
  <c r="K831" i="17"/>
  <c r="L831" i="17"/>
  <c r="M831" i="17" s="1"/>
  <c r="I832" i="17"/>
  <c r="N832" i="17" s="1" a="1"/>
  <c r="N832" i="17" s="1"/>
  <c r="J832" i="17"/>
  <c r="O832" i="17" s="1" a="1"/>
  <c r="O832" i="17" s="1"/>
  <c r="K832" i="17"/>
  <c r="L832" i="17"/>
  <c r="M832" i="17" s="1"/>
  <c r="I833" i="17"/>
  <c r="N833" i="17" s="1" a="1"/>
  <c r="N833" i="17" s="1"/>
  <c r="J833" i="17"/>
  <c r="O833" i="17" s="1" a="1"/>
  <c r="O833" i="17" s="1"/>
  <c r="K833" i="17"/>
  <c r="L833" i="17"/>
  <c r="M833" i="17" s="1"/>
  <c r="I834" i="17"/>
  <c r="N834" i="17" s="1" a="1"/>
  <c r="N834" i="17" s="1"/>
  <c r="J834" i="17"/>
  <c r="O834" i="17" s="1" a="1"/>
  <c r="O834" i="17" s="1"/>
  <c r="K834" i="17"/>
  <c r="L834" i="17"/>
  <c r="M834" i="17" s="1"/>
  <c r="I835" i="17"/>
  <c r="N835" i="17" s="1" a="1"/>
  <c r="N835" i="17" s="1"/>
  <c r="J835" i="17"/>
  <c r="O835" i="17" s="1" a="1"/>
  <c r="O835" i="17" s="1"/>
  <c r="K835" i="17"/>
  <c r="L835" i="17"/>
  <c r="M835" i="17" s="1"/>
  <c r="I836" i="17"/>
  <c r="N836" i="17" s="1" a="1"/>
  <c r="N836" i="17" s="1"/>
  <c r="J836" i="17"/>
  <c r="O836" i="17" s="1" a="1"/>
  <c r="O836" i="17" s="1"/>
  <c r="K836" i="17"/>
  <c r="L836" i="17"/>
  <c r="M836" i="17" s="1"/>
  <c r="I837" i="17"/>
  <c r="N837" i="17" s="1" a="1"/>
  <c r="N837" i="17" s="1"/>
  <c r="J837" i="17"/>
  <c r="O837" i="17" s="1" a="1"/>
  <c r="O837" i="17" s="1"/>
  <c r="K837" i="17"/>
  <c r="L837" i="17"/>
  <c r="M837" i="17" s="1"/>
  <c r="I838" i="17"/>
  <c r="N838" i="17" s="1" a="1"/>
  <c r="N838" i="17" s="1"/>
  <c r="J838" i="17"/>
  <c r="O838" i="17" s="1" a="1"/>
  <c r="O838" i="17" s="1"/>
  <c r="K838" i="17"/>
  <c r="L838" i="17"/>
  <c r="M838" i="17" s="1"/>
  <c r="I839" i="17"/>
  <c r="N839" i="17" s="1" a="1"/>
  <c r="N839" i="17" s="1"/>
  <c r="J839" i="17"/>
  <c r="O839" i="17" s="1" a="1"/>
  <c r="O839" i="17" s="1"/>
  <c r="K839" i="17"/>
  <c r="L839" i="17"/>
  <c r="M839" i="17" s="1"/>
  <c r="I840" i="17"/>
  <c r="N840" i="17" s="1" a="1"/>
  <c r="N840" i="17" s="1"/>
  <c r="J840" i="17"/>
  <c r="O840" i="17" s="1" a="1"/>
  <c r="O840" i="17" s="1"/>
  <c r="K840" i="17"/>
  <c r="L840" i="17"/>
  <c r="M840" i="17" s="1"/>
  <c r="I841" i="17"/>
  <c r="N841" i="17" s="1" a="1"/>
  <c r="N841" i="17" s="1"/>
  <c r="J841" i="17"/>
  <c r="O841" i="17" s="1" a="1"/>
  <c r="O841" i="17" s="1"/>
  <c r="K841" i="17"/>
  <c r="L841" i="17"/>
  <c r="M841" i="17" s="1"/>
  <c r="I842" i="17"/>
  <c r="N842" i="17" s="1" a="1"/>
  <c r="N842" i="17" s="1"/>
  <c r="J842" i="17"/>
  <c r="O842" i="17" s="1" a="1"/>
  <c r="O842" i="17" s="1"/>
  <c r="K842" i="17"/>
  <c r="L842" i="17"/>
  <c r="M842" i="17" s="1"/>
  <c r="I843" i="17"/>
  <c r="N843" i="17" s="1" a="1"/>
  <c r="N843" i="17" s="1"/>
  <c r="J843" i="17"/>
  <c r="O843" i="17" s="1" a="1"/>
  <c r="O843" i="17" s="1"/>
  <c r="K843" i="17"/>
  <c r="L843" i="17"/>
  <c r="M843" i="17" s="1"/>
  <c r="I844" i="17"/>
  <c r="N844" i="17" s="1" a="1"/>
  <c r="N844" i="17" s="1"/>
  <c r="J844" i="17"/>
  <c r="O844" i="17" s="1" a="1"/>
  <c r="O844" i="17" s="1"/>
  <c r="K844" i="17"/>
  <c r="L844" i="17"/>
  <c r="M844" i="17" s="1"/>
  <c r="I845" i="17"/>
  <c r="N845" i="17" s="1" a="1"/>
  <c r="N845" i="17" s="1"/>
  <c r="J845" i="17"/>
  <c r="O845" i="17" s="1" a="1"/>
  <c r="O845" i="17" s="1"/>
  <c r="K845" i="17"/>
  <c r="L845" i="17"/>
  <c r="I846" i="17"/>
  <c r="N846" i="17" s="1" a="1"/>
  <c r="N846" i="17" s="1"/>
  <c r="J846" i="17"/>
  <c r="O846" i="17" s="1" a="1"/>
  <c r="O846" i="17" s="1"/>
  <c r="K846" i="17"/>
  <c r="L846" i="17"/>
  <c r="I847" i="17"/>
  <c r="N847" i="17" s="1" a="1"/>
  <c r="N847" i="17" s="1"/>
  <c r="J847" i="17"/>
  <c r="O847" i="17" s="1" a="1"/>
  <c r="O847" i="17" s="1"/>
  <c r="K847" i="17"/>
  <c r="L847" i="17"/>
  <c r="M847" i="17" s="1"/>
  <c r="I848" i="17"/>
  <c r="N848" i="17" s="1" a="1"/>
  <c r="N848" i="17" s="1"/>
  <c r="J848" i="17"/>
  <c r="O848" i="17" s="1" a="1"/>
  <c r="O848" i="17" s="1"/>
  <c r="K848" i="17"/>
  <c r="L848" i="17"/>
  <c r="M848" i="17" s="1"/>
  <c r="I849" i="17"/>
  <c r="N849" i="17" s="1" a="1"/>
  <c r="N849" i="17" s="1"/>
  <c r="J849" i="17"/>
  <c r="O849" i="17" s="1" a="1"/>
  <c r="O849" i="17" s="1"/>
  <c r="K849" i="17"/>
  <c r="L849" i="17"/>
  <c r="M849" i="17" s="1"/>
  <c r="I850" i="17"/>
  <c r="N850" i="17" s="1" a="1"/>
  <c r="N850" i="17" s="1"/>
  <c r="J850" i="17"/>
  <c r="O850" i="17" s="1" a="1"/>
  <c r="O850" i="17" s="1"/>
  <c r="K850" i="17"/>
  <c r="L850" i="17"/>
  <c r="M850" i="17" s="1"/>
  <c r="I851" i="17"/>
  <c r="N851" i="17" s="1" a="1"/>
  <c r="N851" i="17" s="1"/>
  <c r="J851" i="17"/>
  <c r="O851" i="17" s="1" a="1"/>
  <c r="O851" i="17" s="1"/>
  <c r="K851" i="17"/>
  <c r="L851" i="17"/>
  <c r="M851" i="17" s="1"/>
  <c r="I852" i="17"/>
  <c r="N852" i="17" s="1" a="1"/>
  <c r="N852" i="17" s="1"/>
  <c r="J852" i="17"/>
  <c r="O852" i="17" s="1" a="1"/>
  <c r="O852" i="17" s="1"/>
  <c r="K852" i="17"/>
  <c r="L852" i="17"/>
  <c r="M852" i="17" s="1"/>
  <c r="I853" i="17"/>
  <c r="N853" i="17" s="1" a="1"/>
  <c r="N853" i="17" s="1"/>
  <c r="J853" i="17"/>
  <c r="O853" i="17" s="1" a="1"/>
  <c r="O853" i="17" s="1"/>
  <c r="K853" i="17"/>
  <c r="L853" i="17"/>
  <c r="M853" i="17" s="1"/>
  <c r="I854" i="17"/>
  <c r="N854" i="17" s="1" a="1"/>
  <c r="N854" i="17" s="1"/>
  <c r="J854" i="17"/>
  <c r="O854" i="17" s="1" a="1"/>
  <c r="O854" i="17" s="1"/>
  <c r="K854" i="17"/>
  <c r="L854" i="17"/>
  <c r="M854" i="17" s="1"/>
  <c r="I855" i="17"/>
  <c r="N855" i="17" s="1" a="1"/>
  <c r="N855" i="17" s="1"/>
  <c r="J855" i="17"/>
  <c r="O855" i="17" s="1" a="1"/>
  <c r="O855" i="17" s="1"/>
  <c r="K855" i="17"/>
  <c r="L855" i="17"/>
  <c r="M855" i="17" s="1"/>
  <c r="I856" i="17"/>
  <c r="N856" i="17" s="1" a="1"/>
  <c r="N856" i="17" s="1"/>
  <c r="J856" i="17"/>
  <c r="O856" i="17" s="1" a="1"/>
  <c r="O856" i="17" s="1"/>
  <c r="K856" i="17"/>
  <c r="L856" i="17"/>
  <c r="M856" i="17" s="1"/>
  <c r="I857" i="17"/>
  <c r="N857" i="17" s="1" a="1"/>
  <c r="N857" i="17" s="1"/>
  <c r="J857" i="17"/>
  <c r="O857" i="17" s="1" a="1"/>
  <c r="O857" i="17" s="1"/>
  <c r="K857" i="17"/>
  <c r="L857" i="17"/>
  <c r="M857" i="17" s="1"/>
  <c r="I858" i="17"/>
  <c r="N858" i="17" s="1" a="1"/>
  <c r="N858" i="17" s="1"/>
  <c r="J858" i="17"/>
  <c r="O858" i="17" s="1" a="1"/>
  <c r="O858" i="17" s="1"/>
  <c r="K858" i="17"/>
  <c r="L858" i="17"/>
  <c r="M858" i="17" s="1"/>
  <c r="I859" i="17"/>
  <c r="N859" i="17" s="1" a="1"/>
  <c r="N859" i="17" s="1"/>
  <c r="J859" i="17"/>
  <c r="O859" i="17" s="1" a="1"/>
  <c r="O859" i="17" s="1"/>
  <c r="K859" i="17"/>
  <c r="L859" i="17"/>
  <c r="M859" i="17" s="1"/>
  <c r="I860" i="17"/>
  <c r="N860" i="17" s="1" a="1"/>
  <c r="N860" i="17" s="1"/>
  <c r="J860" i="17"/>
  <c r="O860" i="17" s="1" a="1"/>
  <c r="O860" i="17" s="1"/>
  <c r="K860" i="17"/>
  <c r="L860" i="17"/>
  <c r="M860" i="17" s="1"/>
  <c r="I861" i="17"/>
  <c r="N861" i="17" s="1" a="1"/>
  <c r="N861" i="17" s="1"/>
  <c r="J861" i="17"/>
  <c r="O861" i="17" s="1" a="1"/>
  <c r="O861" i="17" s="1"/>
  <c r="K861" i="17"/>
  <c r="L861" i="17"/>
  <c r="I862" i="17"/>
  <c r="N862" i="17" s="1" a="1"/>
  <c r="N862" i="17" s="1"/>
  <c r="J862" i="17"/>
  <c r="O862" i="17" s="1" a="1"/>
  <c r="O862" i="17" s="1"/>
  <c r="K862" i="17"/>
  <c r="L862" i="17"/>
  <c r="I863" i="17"/>
  <c r="N863" i="17" s="1" a="1"/>
  <c r="N863" i="17" s="1"/>
  <c r="J863" i="17"/>
  <c r="O863" i="17" s="1" a="1"/>
  <c r="O863" i="17" s="1"/>
  <c r="K863" i="17"/>
  <c r="L863" i="17"/>
  <c r="M863" i="17" s="1"/>
  <c r="I864" i="17"/>
  <c r="N864" i="17" s="1" a="1"/>
  <c r="N864" i="17" s="1"/>
  <c r="J864" i="17"/>
  <c r="O864" i="17" s="1" a="1"/>
  <c r="O864" i="17" s="1"/>
  <c r="K864" i="17"/>
  <c r="L864" i="17"/>
  <c r="M864" i="17" s="1"/>
  <c r="I865" i="17"/>
  <c r="N865" i="17" s="1" a="1"/>
  <c r="N865" i="17" s="1"/>
  <c r="J865" i="17"/>
  <c r="O865" i="17" s="1" a="1"/>
  <c r="O865" i="17" s="1"/>
  <c r="K865" i="17"/>
  <c r="L865" i="17"/>
  <c r="M865" i="17" s="1"/>
  <c r="I866" i="17"/>
  <c r="N866" i="17" s="1" a="1"/>
  <c r="N866" i="17" s="1"/>
  <c r="J866" i="17"/>
  <c r="O866" i="17" s="1" a="1"/>
  <c r="O866" i="17" s="1"/>
  <c r="K866" i="17"/>
  <c r="L866" i="17"/>
  <c r="M866" i="17" s="1"/>
  <c r="I867" i="17"/>
  <c r="N867" i="17" s="1" a="1"/>
  <c r="N867" i="17" s="1"/>
  <c r="J867" i="17"/>
  <c r="O867" i="17" s="1" a="1"/>
  <c r="O867" i="17" s="1"/>
  <c r="K867" i="17"/>
  <c r="L867" i="17"/>
  <c r="M867" i="17" s="1"/>
  <c r="I868" i="17"/>
  <c r="N868" i="17" s="1" a="1"/>
  <c r="N868" i="17" s="1"/>
  <c r="J868" i="17"/>
  <c r="O868" i="17" s="1" a="1"/>
  <c r="O868" i="17" s="1"/>
  <c r="K868" i="17"/>
  <c r="L868" i="17"/>
  <c r="M868" i="17" s="1"/>
  <c r="I869" i="17"/>
  <c r="N869" i="17" s="1" a="1"/>
  <c r="N869" i="17" s="1"/>
  <c r="J869" i="17"/>
  <c r="O869" i="17" s="1" a="1"/>
  <c r="O869" i="17" s="1"/>
  <c r="K869" i="17"/>
  <c r="L869" i="17"/>
  <c r="M869" i="17" s="1"/>
  <c r="I870" i="17"/>
  <c r="N870" i="17" s="1" a="1"/>
  <c r="N870" i="17" s="1"/>
  <c r="J870" i="17"/>
  <c r="O870" i="17" s="1" a="1"/>
  <c r="O870" i="17" s="1"/>
  <c r="K870" i="17"/>
  <c r="L870" i="17"/>
  <c r="M870" i="17" s="1"/>
  <c r="I871" i="17"/>
  <c r="N871" i="17" s="1" a="1"/>
  <c r="N871" i="17" s="1"/>
  <c r="J871" i="17"/>
  <c r="O871" i="17" s="1" a="1"/>
  <c r="O871" i="17" s="1"/>
  <c r="K871" i="17"/>
  <c r="L871" i="17"/>
  <c r="M871" i="17" s="1"/>
  <c r="I872" i="17"/>
  <c r="N872" i="17" s="1" a="1"/>
  <c r="N872" i="17" s="1"/>
  <c r="J872" i="17"/>
  <c r="O872" i="17" s="1" a="1"/>
  <c r="O872" i="17" s="1"/>
  <c r="K872" i="17"/>
  <c r="L872" i="17"/>
  <c r="M872" i="17" s="1"/>
  <c r="I873" i="17"/>
  <c r="N873" i="17" s="1" a="1"/>
  <c r="N873" i="17" s="1"/>
  <c r="J873" i="17"/>
  <c r="O873" i="17" s="1" a="1"/>
  <c r="O873" i="17" s="1"/>
  <c r="K873" i="17"/>
  <c r="L873" i="17"/>
  <c r="M873" i="17" s="1"/>
  <c r="I874" i="17"/>
  <c r="N874" i="17" s="1" a="1"/>
  <c r="N874" i="17" s="1"/>
  <c r="J874" i="17"/>
  <c r="O874" i="17" s="1" a="1"/>
  <c r="O874" i="17" s="1"/>
  <c r="K874" i="17"/>
  <c r="L874" i="17"/>
  <c r="M874" i="17" s="1"/>
  <c r="I875" i="17"/>
  <c r="N875" i="17" s="1" a="1"/>
  <c r="N875" i="17" s="1"/>
  <c r="J875" i="17"/>
  <c r="O875" i="17" s="1" a="1"/>
  <c r="O875" i="17" s="1"/>
  <c r="K875" i="17"/>
  <c r="L875" i="17"/>
  <c r="M875" i="17" s="1"/>
  <c r="I876" i="17"/>
  <c r="N876" i="17" s="1" a="1"/>
  <c r="N876" i="17" s="1"/>
  <c r="J876" i="17"/>
  <c r="O876" i="17" s="1" a="1"/>
  <c r="O876" i="17" s="1"/>
  <c r="K876" i="17"/>
  <c r="L876" i="17"/>
  <c r="M876" i="17" s="1"/>
  <c r="I877" i="17"/>
  <c r="N877" i="17" s="1" a="1"/>
  <c r="N877" i="17" s="1"/>
  <c r="J877" i="17"/>
  <c r="O877" i="17" s="1" a="1"/>
  <c r="O877" i="17" s="1"/>
  <c r="K877" i="17"/>
  <c r="L877" i="17"/>
  <c r="I878" i="17"/>
  <c r="N878" i="17" s="1" a="1"/>
  <c r="N878" i="17" s="1"/>
  <c r="J878" i="17"/>
  <c r="O878" i="17" s="1" a="1"/>
  <c r="O878" i="17" s="1"/>
  <c r="K878" i="17"/>
  <c r="L878" i="17"/>
  <c r="I879" i="17"/>
  <c r="N879" i="17" s="1" a="1"/>
  <c r="N879" i="17" s="1"/>
  <c r="J879" i="17"/>
  <c r="O879" i="17" s="1" a="1"/>
  <c r="O879" i="17" s="1"/>
  <c r="K879" i="17"/>
  <c r="L879" i="17"/>
  <c r="M879" i="17" s="1"/>
  <c r="I880" i="17"/>
  <c r="N880" i="17" s="1" a="1"/>
  <c r="N880" i="17" s="1"/>
  <c r="J880" i="17"/>
  <c r="O880" i="17" s="1" a="1"/>
  <c r="O880" i="17" s="1"/>
  <c r="K880" i="17"/>
  <c r="L880" i="17"/>
  <c r="M880" i="17" s="1"/>
  <c r="I881" i="17"/>
  <c r="N881" i="17" s="1" a="1"/>
  <c r="N881" i="17" s="1"/>
  <c r="J881" i="17"/>
  <c r="O881" i="17" s="1" a="1"/>
  <c r="O881" i="17" s="1"/>
  <c r="K881" i="17"/>
  <c r="L881" i="17"/>
  <c r="M881" i="17" s="1"/>
  <c r="I882" i="17"/>
  <c r="N882" i="17" s="1" a="1"/>
  <c r="N882" i="17" s="1"/>
  <c r="J882" i="17"/>
  <c r="O882" i="17" s="1" a="1"/>
  <c r="O882" i="17" s="1"/>
  <c r="K882" i="17"/>
  <c r="L882" i="17"/>
  <c r="M882" i="17" s="1"/>
  <c r="I883" i="17"/>
  <c r="N883" i="17" s="1" a="1"/>
  <c r="N883" i="17" s="1"/>
  <c r="J883" i="17"/>
  <c r="O883" i="17" s="1" a="1"/>
  <c r="O883" i="17" s="1"/>
  <c r="K883" i="17"/>
  <c r="L883" i="17"/>
  <c r="M883" i="17" s="1"/>
  <c r="I884" i="17"/>
  <c r="N884" i="17" s="1" a="1"/>
  <c r="N884" i="17" s="1"/>
  <c r="J884" i="17"/>
  <c r="O884" i="17" s="1" a="1"/>
  <c r="O884" i="17" s="1"/>
  <c r="K884" i="17"/>
  <c r="L884" i="17"/>
  <c r="M884" i="17" s="1"/>
  <c r="I885" i="17"/>
  <c r="N885" i="17" s="1" a="1"/>
  <c r="N885" i="17" s="1"/>
  <c r="J885" i="17"/>
  <c r="O885" i="17" s="1" a="1"/>
  <c r="O885" i="17" s="1"/>
  <c r="K885" i="17"/>
  <c r="L885" i="17"/>
  <c r="M885" i="17" s="1"/>
  <c r="I886" i="17"/>
  <c r="N886" i="17" s="1" a="1"/>
  <c r="N886" i="17" s="1"/>
  <c r="J886" i="17"/>
  <c r="O886" i="17" s="1" a="1"/>
  <c r="O886" i="17" s="1"/>
  <c r="K886" i="17"/>
  <c r="L886" i="17"/>
  <c r="M886" i="17" s="1"/>
  <c r="I887" i="17"/>
  <c r="N887" i="17" s="1" a="1"/>
  <c r="N887" i="17" s="1"/>
  <c r="J887" i="17"/>
  <c r="O887" i="17" s="1" a="1"/>
  <c r="O887" i="17" s="1"/>
  <c r="K887" i="17"/>
  <c r="L887" i="17"/>
  <c r="M887" i="17" s="1"/>
  <c r="I888" i="17"/>
  <c r="N888" i="17" s="1" a="1"/>
  <c r="N888" i="17" s="1"/>
  <c r="J888" i="17"/>
  <c r="O888" i="17" s="1" a="1"/>
  <c r="O888" i="17" s="1"/>
  <c r="K888" i="17"/>
  <c r="L888" i="17"/>
  <c r="M888" i="17" s="1"/>
  <c r="I889" i="17"/>
  <c r="N889" i="17" s="1" a="1"/>
  <c r="N889" i="17" s="1"/>
  <c r="J889" i="17"/>
  <c r="O889" i="17" s="1" a="1"/>
  <c r="O889" i="17" s="1"/>
  <c r="K889" i="17"/>
  <c r="L889" i="17"/>
  <c r="M889" i="17" s="1"/>
  <c r="I890" i="17"/>
  <c r="N890" i="17" s="1" a="1"/>
  <c r="N890" i="17" s="1"/>
  <c r="J890" i="17"/>
  <c r="O890" i="17" s="1" a="1"/>
  <c r="O890" i="17" s="1"/>
  <c r="K890" i="17"/>
  <c r="L890" i="17"/>
  <c r="M890" i="17" s="1"/>
  <c r="I891" i="17"/>
  <c r="N891" i="17" s="1" a="1"/>
  <c r="N891" i="17" s="1"/>
  <c r="J891" i="17"/>
  <c r="O891" i="17" s="1" a="1"/>
  <c r="O891" i="17" s="1"/>
  <c r="K891" i="17"/>
  <c r="L891" i="17"/>
  <c r="M891" i="17" s="1"/>
  <c r="I892" i="17"/>
  <c r="N892" i="17" s="1" a="1"/>
  <c r="N892" i="17" s="1"/>
  <c r="J892" i="17"/>
  <c r="O892" i="17" s="1" a="1"/>
  <c r="O892" i="17" s="1"/>
  <c r="K892" i="17"/>
  <c r="L892" i="17"/>
  <c r="M892" i="17" s="1"/>
  <c r="I893" i="17"/>
  <c r="N893" i="17" s="1" a="1"/>
  <c r="N893" i="17" s="1"/>
  <c r="J893" i="17"/>
  <c r="O893" i="17" s="1" a="1"/>
  <c r="O893" i="17" s="1"/>
  <c r="K893" i="17"/>
  <c r="L893" i="17"/>
  <c r="I894" i="17"/>
  <c r="N894" i="17" s="1" a="1"/>
  <c r="N894" i="17" s="1"/>
  <c r="J894" i="17"/>
  <c r="O894" i="17" s="1" a="1"/>
  <c r="O894" i="17" s="1"/>
  <c r="K894" i="17"/>
  <c r="L894" i="17"/>
  <c r="I895" i="17"/>
  <c r="J895" i="17"/>
  <c r="O895" i="17" s="1" a="1"/>
  <c r="O895" i="17" s="1"/>
  <c r="K895" i="17"/>
  <c r="L895" i="17"/>
  <c r="M895" i="17" s="1"/>
  <c r="I896" i="17"/>
  <c r="N896" i="17" s="1" a="1"/>
  <c r="N896" i="17" s="1"/>
  <c r="J896" i="17"/>
  <c r="O896" i="17" s="1" a="1"/>
  <c r="O896" i="17" s="1"/>
  <c r="K896" i="17"/>
  <c r="L896" i="17"/>
  <c r="M896" i="17" s="1"/>
  <c r="I897" i="17"/>
  <c r="N897" i="17" s="1" a="1"/>
  <c r="N897" i="17" s="1"/>
  <c r="J897" i="17"/>
  <c r="O897" i="17" s="1" a="1"/>
  <c r="O897" i="17" s="1"/>
  <c r="K897" i="17"/>
  <c r="L897" i="17"/>
  <c r="M897" i="17" s="1"/>
  <c r="I898" i="17"/>
  <c r="N898" i="17" s="1" a="1"/>
  <c r="N898" i="17" s="1"/>
  <c r="J898" i="17"/>
  <c r="O898" i="17" s="1" a="1"/>
  <c r="O898" i="17" s="1"/>
  <c r="K898" i="17"/>
  <c r="L898" i="17"/>
  <c r="M898" i="17" s="1"/>
  <c r="I899" i="17"/>
  <c r="N899" i="17" s="1" a="1"/>
  <c r="N899" i="17" s="1"/>
  <c r="J899" i="17"/>
  <c r="O899" i="17" s="1" a="1"/>
  <c r="O899" i="17" s="1"/>
  <c r="K899" i="17"/>
  <c r="L899" i="17"/>
  <c r="M899" i="17" s="1"/>
  <c r="I900" i="17"/>
  <c r="N900" i="17" s="1" a="1"/>
  <c r="N900" i="17" s="1"/>
  <c r="J900" i="17"/>
  <c r="O900" i="17" s="1" a="1"/>
  <c r="O900" i="17" s="1"/>
  <c r="K900" i="17"/>
  <c r="L900" i="17"/>
  <c r="M900" i="17" s="1"/>
  <c r="I901" i="17"/>
  <c r="N901" i="17" s="1" a="1"/>
  <c r="N901" i="17" s="1"/>
  <c r="J901" i="17"/>
  <c r="O901" i="17" s="1" a="1"/>
  <c r="O901" i="17" s="1"/>
  <c r="K901" i="17"/>
  <c r="L901" i="17"/>
  <c r="M901" i="17" s="1"/>
  <c r="I902" i="17"/>
  <c r="N902" i="17" s="1" a="1"/>
  <c r="N902" i="17" s="1"/>
  <c r="J902" i="17"/>
  <c r="O902" i="17" s="1" a="1"/>
  <c r="O902" i="17" s="1"/>
  <c r="K902" i="17"/>
  <c r="L902" i="17"/>
  <c r="M902" i="17" s="1"/>
  <c r="I903" i="17"/>
  <c r="N903" i="17" s="1" a="1"/>
  <c r="N903" i="17" s="1"/>
  <c r="J903" i="17"/>
  <c r="O903" i="17" s="1" a="1"/>
  <c r="O903" i="17" s="1"/>
  <c r="K903" i="17"/>
  <c r="L903" i="17"/>
  <c r="M903" i="17" s="1"/>
  <c r="I904" i="17"/>
  <c r="N904" i="17" s="1" a="1"/>
  <c r="N904" i="17" s="1"/>
  <c r="J904" i="17"/>
  <c r="O904" i="17" s="1" a="1"/>
  <c r="O904" i="17" s="1"/>
  <c r="K904" i="17"/>
  <c r="L904" i="17"/>
  <c r="M904" i="17" s="1"/>
  <c r="I905" i="17"/>
  <c r="N905" i="17" s="1" a="1"/>
  <c r="N905" i="17" s="1"/>
  <c r="J905" i="17"/>
  <c r="O905" i="17" s="1" a="1"/>
  <c r="O905" i="17" s="1"/>
  <c r="K905" i="17"/>
  <c r="L905" i="17"/>
  <c r="M905" i="17" s="1"/>
  <c r="I906" i="17"/>
  <c r="N906" i="17" s="1" a="1"/>
  <c r="N906" i="17" s="1"/>
  <c r="J906" i="17"/>
  <c r="O906" i="17" s="1" a="1"/>
  <c r="O906" i="17" s="1"/>
  <c r="K906" i="17"/>
  <c r="L906" i="17"/>
  <c r="M906" i="17" s="1"/>
  <c r="I907" i="17"/>
  <c r="N907" i="17" s="1" a="1"/>
  <c r="N907" i="17" s="1"/>
  <c r="J907" i="17"/>
  <c r="O907" i="17" s="1" a="1"/>
  <c r="O907" i="17" s="1"/>
  <c r="K907" i="17"/>
  <c r="L907" i="17"/>
  <c r="M907" i="17" s="1"/>
  <c r="I908" i="17"/>
  <c r="J908" i="17"/>
  <c r="O908" i="17" s="1" a="1"/>
  <c r="O908" i="17" s="1"/>
  <c r="K908" i="17"/>
  <c r="L908" i="17"/>
  <c r="M908" i="17" s="1"/>
  <c r="I909" i="17"/>
  <c r="N909" i="17" s="1" a="1"/>
  <c r="N909" i="17" s="1"/>
  <c r="J909" i="17"/>
  <c r="O909" i="17" s="1" a="1"/>
  <c r="O909" i="17" s="1"/>
  <c r="K909" i="17"/>
  <c r="L909" i="17"/>
  <c r="I910" i="17"/>
  <c r="N910" i="17" s="1" a="1"/>
  <c r="N910" i="17" s="1"/>
  <c r="J910" i="17"/>
  <c r="O910" i="17" s="1" a="1"/>
  <c r="O910" i="17" s="1"/>
  <c r="K910" i="17"/>
  <c r="L910" i="17"/>
  <c r="I911" i="17"/>
  <c r="N911" i="17" s="1" a="1"/>
  <c r="N911" i="17" s="1"/>
  <c r="J911" i="17"/>
  <c r="O911" i="17" s="1" a="1"/>
  <c r="O911" i="17" s="1"/>
  <c r="K911" i="17"/>
  <c r="L911" i="17"/>
  <c r="M911" i="17" s="1"/>
  <c r="I912" i="17"/>
  <c r="N912" i="17" s="1" a="1"/>
  <c r="N912" i="17" s="1"/>
  <c r="J912" i="17"/>
  <c r="O912" i="17" s="1" a="1"/>
  <c r="O912" i="17" s="1"/>
  <c r="K912" i="17"/>
  <c r="L912" i="17"/>
  <c r="M912" i="17" s="1"/>
  <c r="I913" i="17"/>
  <c r="N913" i="17" s="1" a="1"/>
  <c r="N913" i="17" s="1"/>
  <c r="J913" i="17"/>
  <c r="O913" i="17" s="1" a="1"/>
  <c r="O913" i="17" s="1"/>
  <c r="K913" i="17"/>
  <c r="L913" i="17"/>
  <c r="M913" i="17" s="1"/>
  <c r="I914" i="17"/>
  <c r="N914" i="17" s="1" a="1"/>
  <c r="N914" i="17" s="1"/>
  <c r="J914" i="17"/>
  <c r="O914" i="17" s="1" a="1"/>
  <c r="O914" i="17" s="1"/>
  <c r="K914" i="17"/>
  <c r="L914" i="17"/>
  <c r="M914" i="17" s="1"/>
  <c r="I915" i="17"/>
  <c r="N915" i="17" s="1" a="1"/>
  <c r="N915" i="17" s="1"/>
  <c r="J915" i="17"/>
  <c r="O915" i="17" s="1" a="1"/>
  <c r="O915" i="17" s="1"/>
  <c r="K915" i="17"/>
  <c r="L915" i="17"/>
  <c r="M915" i="17" s="1"/>
  <c r="I916" i="17"/>
  <c r="N916" i="17" s="1" a="1"/>
  <c r="N916" i="17" s="1"/>
  <c r="J916" i="17"/>
  <c r="O916" i="17" s="1" a="1"/>
  <c r="O916" i="17" s="1"/>
  <c r="K916" i="17"/>
  <c r="L916" i="17"/>
  <c r="M916" i="17" s="1"/>
  <c r="I917" i="17"/>
  <c r="N917" i="17" s="1" a="1"/>
  <c r="N917" i="17" s="1"/>
  <c r="J917" i="17"/>
  <c r="O917" i="17" s="1" a="1"/>
  <c r="O917" i="17" s="1"/>
  <c r="K917" i="17"/>
  <c r="L917" i="17"/>
  <c r="M917" i="17" s="1"/>
  <c r="I918" i="17"/>
  <c r="N918" i="17" s="1" a="1"/>
  <c r="N918" i="17" s="1"/>
  <c r="J918" i="17"/>
  <c r="O918" i="17" s="1" a="1"/>
  <c r="O918" i="17" s="1"/>
  <c r="K918" i="17"/>
  <c r="L918" i="17"/>
  <c r="M918" i="17" s="1"/>
  <c r="I919" i="17"/>
  <c r="N919" i="17" s="1" a="1"/>
  <c r="N919" i="17" s="1"/>
  <c r="J919" i="17"/>
  <c r="O919" i="17" s="1" a="1"/>
  <c r="O919" i="17" s="1"/>
  <c r="K919" i="17"/>
  <c r="L919" i="17"/>
  <c r="M919" i="17" s="1"/>
  <c r="I920" i="17"/>
  <c r="J920" i="17"/>
  <c r="O920" i="17" s="1" a="1"/>
  <c r="O920" i="17" s="1"/>
  <c r="K920" i="17"/>
  <c r="L920" i="17"/>
  <c r="M920" i="17" s="1"/>
  <c r="I921" i="17"/>
  <c r="J921" i="17"/>
  <c r="O921" i="17" s="1" a="1"/>
  <c r="O921" i="17" s="1"/>
  <c r="K921" i="17"/>
  <c r="L921" i="17"/>
  <c r="M921" i="17" s="1"/>
  <c r="I922" i="17"/>
  <c r="N922" i="17" s="1" a="1"/>
  <c r="N922" i="17" s="1"/>
  <c r="J922" i="17"/>
  <c r="O922" i="17" s="1" a="1"/>
  <c r="O922" i="17" s="1"/>
  <c r="K922" i="17"/>
  <c r="L922" i="17"/>
  <c r="M922" i="17" s="1"/>
  <c r="I923" i="17"/>
  <c r="N923" i="17" s="1" a="1"/>
  <c r="N923" i="17" s="1"/>
  <c r="J923" i="17"/>
  <c r="O923" i="17" s="1" a="1"/>
  <c r="O923" i="17" s="1"/>
  <c r="K923" i="17"/>
  <c r="L923" i="17"/>
  <c r="M923" i="17" s="1"/>
  <c r="I924" i="17"/>
  <c r="N924" i="17" s="1" a="1"/>
  <c r="N924" i="17" s="1"/>
  <c r="J924" i="17"/>
  <c r="K924" i="17"/>
  <c r="L924" i="17"/>
  <c r="M924" i="17" s="1"/>
  <c r="I925" i="17"/>
  <c r="N925" i="17" s="1" a="1"/>
  <c r="N925" i="17" s="1"/>
  <c r="J925" i="17"/>
  <c r="O925" i="17" s="1" a="1"/>
  <c r="O925" i="17" s="1"/>
  <c r="K925" i="17"/>
  <c r="L925" i="17"/>
  <c r="I926" i="17"/>
  <c r="N926" i="17" s="1" a="1"/>
  <c r="N926" i="17" s="1"/>
  <c r="J926" i="17"/>
  <c r="O926" i="17" s="1" a="1"/>
  <c r="O926" i="17" s="1"/>
  <c r="K926" i="17"/>
  <c r="L926" i="17"/>
  <c r="I927" i="17"/>
  <c r="N927" i="17" s="1" a="1"/>
  <c r="N927" i="17" s="1"/>
  <c r="J927" i="17"/>
  <c r="O927" i="17" s="1" a="1"/>
  <c r="O927" i="17" s="1"/>
  <c r="K927" i="17"/>
  <c r="L927" i="17"/>
  <c r="M927" i="17" s="1"/>
  <c r="I928" i="17"/>
  <c r="N928" i="17" s="1" a="1"/>
  <c r="N928" i="17" s="1"/>
  <c r="J928" i="17"/>
  <c r="O928" i="17" s="1" a="1"/>
  <c r="O928" i="17" s="1"/>
  <c r="K928" i="17"/>
  <c r="L928" i="17"/>
  <c r="M928" i="17" s="1"/>
  <c r="I929" i="17"/>
  <c r="N929" i="17" s="1" a="1"/>
  <c r="N929" i="17" s="1"/>
  <c r="J929" i="17"/>
  <c r="O929" i="17" s="1" a="1"/>
  <c r="O929" i="17" s="1"/>
  <c r="K929" i="17"/>
  <c r="L929" i="17"/>
  <c r="M929" i="17" s="1"/>
  <c r="I930" i="17"/>
  <c r="N930" i="17" s="1" a="1"/>
  <c r="N930" i="17" s="1"/>
  <c r="J930" i="17"/>
  <c r="O930" i="17" s="1" a="1"/>
  <c r="O930" i="17" s="1"/>
  <c r="K930" i="17"/>
  <c r="L930" i="17"/>
  <c r="M930" i="17" s="1"/>
  <c r="I931" i="17"/>
  <c r="N931" i="17" s="1" a="1"/>
  <c r="N931" i="17" s="1"/>
  <c r="J931" i="17"/>
  <c r="O931" i="17" s="1" a="1"/>
  <c r="O931" i="17" s="1"/>
  <c r="K931" i="17"/>
  <c r="L931" i="17"/>
  <c r="M931" i="17" s="1"/>
  <c r="I932" i="17"/>
  <c r="N932" i="17" s="1" a="1"/>
  <c r="N932" i="17" s="1"/>
  <c r="J932" i="17"/>
  <c r="O932" i="17" s="1" a="1"/>
  <c r="O932" i="17" s="1"/>
  <c r="K932" i="17"/>
  <c r="L932" i="17"/>
  <c r="M932" i="17" s="1"/>
  <c r="I933" i="17"/>
  <c r="J933" i="17"/>
  <c r="O933" i="17" s="1" a="1"/>
  <c r="O933" i="17" s="1"/>
  <c r="K933" i="17"/>
  <c r="L933" i="17"/>
  <c r="M933" i="17" s="1"/>
  <c r="I934" i="17"/>
  <c r="J934" i="17"/>
  <c r="O934" i="17" s="1" a="1"/>
  <c r="O934" i="17" s="1"/>
  <c r="K934" i="17"/>
  <c r="L934" i="17"/>
  <c r="M934" i="17" s="1"/>
  <c r="I935" i="17"/>
  <c r="N935" i="17" s="1" a="1"/>
  <c r="N935" i="17" s="1"/>
  <c r="J935" i="17"/>
  <c r="O935" i="17" s="1" a="1"/>
  <c r="O935" i="17" s="1"/>
  <c r="K935" i="17"/>
  <c r="L935" i="17"/>
  <c r="M935" i="17" s="1"/>
  <c r="I936" i="17"/>
  <c r="N936" i="17" s="1" a="1"/>
  <c r="N936" i="17" s="1"/>
  <c r="J936" i="17"/>
  <c r="O936" i="17" s="1" a="1"/>
  <c r="O936" i="17" s="1"/>
  <c r="K936" i="17"/>
  <c r="L936" i="17"/>
  <c r="M936" i="17" s="1"/>
  <c r="I937" i="17"/>
  <c r="N937" i="17" s="1" a="1"/>
  <c r="N937" i="17" s="1"/>
  <c r="J937" i="17"/>
  <c r="O937" i="17" s="1" a="1"/>
  <c r="O937" i="17" s="1"/>
  <c r="K937" i="17"/>
  <c r="L937" i="17"/>
  <c r="M937" i="17" s="1"/>
  <c r="I938" i="17"/>
  <c r="N938" i="17" s="1" a="1"/>
  <c r="N938" i="17" s="1"/>
  <c r="J938" i="17"/>
  <c r="O938" i="17" s="1" a="1"/>
  <c r="O938" i="17" s="1"/>
  <c r="K938" i="17"/>
  <c r="L938" i="17"/>
  <c r="M938" i="17" s="1"/>
  <c r="I939" i="17"/>
  <c r="N939" i="17" s="1" a="1"/>
  <c r="N939" i="17" s="1"/>
  <c r="J939" i="17"/>
  <c r="O939" i="17" s="1" a="1"/>
  <c r="O939" i="17" s="1"/>
  <c r="K939" i="17"/>
  <c r="L939" i="17"/>
  <c r="M939" i="17" s="1"/>
  <c r="I940" i="17"/>
  <c r="N940" i="17" s="1" a="1"/>
  <c r="N940" i="17" s="1"/>
  <c r="J940" i="17"/>
  <c r="O940" i="17" s="1" a="1"/>
  <c r="O940" i="17" s="1"/>
  <c r="K940" i="17"/>
  <c r="L940" i="17"/>
  <c r="M940" i="17" s="1"/>
  <c r="I941" i="17"/>
  <c r="N941" i="17" s="1" a="1"/>
  <c r="N941" i="17" s="1"/>
  <c r="J941" i="17"/>
  <c r="O941" i="17" s="1" a="1"/>
  <c r="O941" i="17" s="1"/>
  <c r="K941" i="17"/>
  <c r="L941" i="17"/>
  <c r="I942" i="17"/>
  <c r="N942" i="17" s="1" a="1"/>
  <c r="N942" i="17" s="1"/>
  <c r="J942" i="17"/>
  <c r="O942" i="17" s="1" a="1"/>
  <c r="O942" i="17" s="1"/>
  <c r="K942" i="17"/>
  <c r="L942" i="17"/>
  <c r="I943" i="17"/>
  <c r="N943" i="17" s="1" a="1"/>
  <c r="N943" i="17" s="1"/>
  <c r="J943" i="17"/>
  <c r="O943" i="17" s="1" a="1"/>
  <c r="O943" i="17" s="1"/>
  <c r="K943" i="17"/>
  <c r="L943" i="17"/>
  <c r="M943" i="17" s="1"/>
  <c r="I944" i="17"/>
  <c r="N944" i="17" s="1" a="1"/>
  <c r="N944" i="17" s="1"/>
  <c r="J944" i="17"/>
  <c r="O944" i="17" s="1" a="1"/>
  <c r="O944" i="17" s="1"/>
  <c r="K944" i="17"/>
  <c r="L944" i="17"/>
  <c r="M944" i="17" s="1"/>
  <c r="I945" i="17"/>
  <c r="N945" i="17" s="1" a="1"/>
  <c r="N945" i="17" s="1"/>
  <c r="J945" i="17"/>
  <c r="O945" i="17" s="1" a="1"/>
  <c r="O945" i="17" s="1"/>
  <c r="K945" i="17"/>
  <c r="L945" i="17"/>
  <c r="M945" i="17" s="1"/>
  <c r="I946" i="17"/>
  <c r="J946" i="17"/>
  <c r="O946" i="17" s="1" a="1"/>
  <c r="O946" i="17" s="1"/>
  <c r="K946" i="17"/>
  <c r="L946" i="17"/>
  <c r="M946" i="17" s="1"/>
  <c r="I947" i="17"/>
  <c r="J947" i="17"/>
  <c r="O947" i="17" s="1" a="1"/>
  <c r="O947" i="17" s="1"/>
  <c r="K947" i="17"/>
  <c r="L947" i="17"/>
  <c r="M947" i="17" s="1"/>
  <c r="I948" i="17"/>
  <c r="N948" i="17" s="1" a="1"/>
  <c r="N948" i="17" s="1"/>
  <c r="J948" i="17"/>
  <c r="O948" i="17" s="1" a="1"/>
  <c r="O948" i="17" s="1"/>
  <c r="K948" i="17"/>
  <c r="L948" i="17"/>
  <c r="M948" i="17" s="1"/>
  <c r="I949" i="17"/>
  <c r="N949" i="17" s="1" a="1"/>
  <c r="N949" i="17" s="1"/>
  <c r="J949" i="17"/>
  <c r="O949" i="17" s="1" a="1"/>
  <c r="O949" i="17" s="1"/>
  <c r="K949" i="17"/>
  <c r="L949" i="17"/>
  <c r="M949" i="17" s="1"/>
  <c r="I950" i="17"/>
  <c r="N950" i="17" s="1" a="1"/>
  <c r="N950" i="17" s="1"/>
  <c r="J950" i="17"/>
  <c r="O950" i="17" s="1" a="1"/>
  <c r="O950" i="17" s="1"/>
  <c r="K950" i="17"/>
  <c r="L950" i="17"/>
  <c r="M950" i="17" s="1"/>
  <c r="I951" i="17"/>
  <c r="N951" i="17" s="1" a="1"/>
  <c r="N951" i="17" s="1"/>
  <c r="J951" i="17"/>
  <c r="O951" i="17" s="1" a="1"/>
  <c r="O951" i="17" s="1"/>
  <c r="K951" i="17"/>
  <c r="L951" i="17"/>
  <c r="M951" i="17" s="1"/>
  <c r="I952" i="17"/>
  <c r="N952" i="17" s="1" a="1"/>
  <c r="N952" i="17" s="1"/>
  <c r="J952" i="17"/>
  <c r="O952" i="17" s="1" a="1"/>
  <c r="O952" i="17" s="1"/>
  <c r="K952" i="17"/>
  <c r="L952" i="17"/>
  <c r="M952" i="17" s="1"/>
  <c r="I953" i="17"/>
  <c r="N953" i="17" s="1" a="1"/>
  <c r="N953" i="17" s="1"/>
  <c r="J953" i="17"/>
  <c r="O953" i="17" s="1" a="1"/>
  <c r="O953" i="17" s="1"/>
  <c r="K953" i="17"/>
  <c r="L953" i="17"/>
  <c r="M953" i="17" s="1"/>
  <c r="I954" i="17"/>
  <c r="N954" i="17" s="1" a="1"/>
  <c r="N954" i="17" s="1"/>
  <c r="J954" i="17"/>
  <c r="K954" i="17"/>
  <c r="L954" i="17"/>
  <c r="M954" i="17" s="1"/>
  <c r="I955" i="17"/>
  <c r="N955" i="17" s="1" a="1"/>
  <c r="N955" i="17" s="1"/>
  <c r="J955" i="17"/>
  <c r="O955" i="17" s="1" a="1"/>
  <c r="O955" i="17" s="1"/>
  <c r="K955" i="17"/>
  <c r="L955" i="17"/>
  <c r="M955" i="17" s="1"/>
  <c r="I956" i="17"/>
  <c r="N956" i="17" s="1" a="1"/>
  <c r="N956" i="17" s="1"/>
  <c r="J956" i="17"/>
  <c r="O956" i="17" s="1" a="1"/>
  <c r="O956" i="17" s="1"/>
  <c r="K956" i="17"/>
  <c r="L956" i="17"/>
  <c r="M956" i="17" s="1"/>
  <c r="I957" i="17"/>
  <c r="N957" i="17" s="1" a="1"/>
  <c r="N957" i="17" s="1"/>
  <c r="J957" i="17"/>
  <c r="O957" i="17" s="1" a="1"/>
  <c r="O957" i="17" s="1"/>
  <c r="K957" i="17"/>
  <c r="L957" i="17"/>
  <c r="I958" i="17"/>
  <c r="N958" i="17" s="1" a="1"/>
  <c r="N958" i="17" s="1"/>
  <c r="J958" i="17"/>
  <c r="O958" i="17" s="1" a="1"/>
  <c r="O958" i="17" s="1"/>
  <c r="K958" i="17"/>
  <c r="L958" i="17"/>
  <c r="I959" i="17"/>
  <c r="J959" i="17"/>
  <c r="O959" i="17" s="1" a="1"/>
  <c r="O959" i="17" s="1"/>
  <c r="K959" i="17"/>
  <c r="L959" i="17"/>
  <c r="M959" i="17" s="1"/>
  <c r="I960" i="17"/>
  <c r="N960" i="17" s="1" a="1"/>
  <c r="N960" i="17" s="1"/>
  <c r="J960" i="17"/>
  <c r="O960" i="17" s="1" a="1"/>
  <c r="O960" i="17" s="1"/>
  <c r="K960" i="17"/>
  <c r="L960" i="17"/>
  <c r="M960" i="17" s="1"/>
  <c r="I961" i="17"/>
  <c r="N961" i="17" s="1" a="1"/>
  <c r="N961" i="17" s="1"/>
  <c r="J961" i="17"/>
  <c r="O961" i="17" s="1" a="1"/>
  <c r="O961" i="17" s="1"/>
  <c r="K961" i="17"/>
  <c r="L961" i="17"/>
  <c r="M961" i="17" s="1"/>
  <c r="I962" i="17"/>
  <c r="N962" i="17" s="1" a="1"/>
  <c r="N962" i="17" s="1"/>
  <c r="J962" i="17"/>
  <c r="O962" i="17" s="1" a="1"/>
  <c r="O962" i="17" s="1"/>
  <c r="K962" i="17"/>
  <c r="L962" i="17"/>
  <c r="M962" i="17" s="1"/>
  <c r="I963" i="17"/>
  <c r="N963" i="17" s="1" a="1"/>
  <c r="N963" i="17" s="1"/>
  <c r="J963" i="17"/>
  <c r="O963" i="17" s="1" a="1"/>
  <c r="O963" i="17" s="1"/>
  <c r="K963" i="17"/>
  <c r="L963" i="17"/>
  <c r="M963" i="17" s="1"/>
  <c r="I964" i="17"/>
  <c r="N964" i="17" s="1" a="1"/>
  <c r="N964" i="17" s="1"/>
  <c r="J964" i="17"/>
  <c r="O964" i="17" s="1" a="1"/>
  <c r="O964" i="17" s="1"/>
  <c r="K964" i="17"/>
  <c r="L964" i="17"/>
  <c r="M964" i="17" s="1"/>
  <c r="I965" i="17"/>
  <c r="N965" i="17" s="1" a="1"/>
  <c r="N965" i="17" s="1"/>
  <c r="J965" i="17"/>
  <c r="O965" i="17" s="1" a="1"/>
  <c r="O965" i="17" s="1"/>
  <c r="K965" i="17"/>
  <c r="L965" i="17"/>
  <c r="M965" i="17" s="1"/>
  <c r="I966" i="17"/>
  <c r="N966" i="17" s="1" a="1"/>
  <c r="N966" i="17" s="1"/>
  <c r="J966" i="17"/>
  <c r="O966" i="17" s="1" a="1"/>
  <c r="O966" i="17" s="1"/>
  <c r="K966" i="17"/>
  <c r="L966" i="17"/>
  <c r="M966" i="17" s="1"/>
  <c r="I967" i="17"/>
  <c r="N967" i="17" s="1" a="1"/>
  <c r="N967" i="17" s="1"/>
  <c r="J967" i="17"/>
  <c r="O967" i="17" s="1" a="1"/>
  <c r="O967" i="17" s="1"/>
  <c r="K967" i="17"/>
  <c r="L967" i="17"/>
  <c r="M967" i="17" s="1"/>
  <c r="I968" i="17"/>
  <c r="N968" i="17" s="1" a="1"/>
  <c r="N968" i="17" s="1"/>
  <c r="J968" i="17"/>
  <c r="O968" i="17" s="1" a="1"/>
  <c r="O968" i="17" s="1"/>
  <c r="K968" i="17"/>
  <c r="L968" i="17"/>
  <c r="M968" i="17" s="1"/>
  <c r="I969" i="17"/>
  <c r="N969" i="17" s="1" a="1"/>
  <c r="N969" i="17" s="1"/>
  <c r="J969" i="17"/>
  <c r="O969" i="17" s="1" a="1"/>
  <c r="O969" i="17" s="1"/>
  <c r="K969" i="17"/>
  <c r="L969" i="17"/>
  <c r="M969" i="17" s="1"/>
  <c r="I970" i="17"/>
  <c r="N970" i="17" s="1" a="1"/>
  <c r="N970" i="17" s="1"/>
  <c r="J970" i="17"/>
  <c r="O970" i="17" s="1" a="1"/>
  <c r="O970" i="17" s="1"/>
  <c r="K970" i="17"/>
  <c r="L970" i="17"/>
  <c r="M970" i="17" s="1"/>
  <c r="I971" i="17"/>
  <c r="N971" i="17" s="1" a="1"/>
  <c r="N971" i="17" s="1"/>
  <c r="J971" i="17"/>
  <c r="O971" i="17" s="1" a="1"/>
  <c r="O971" i="17" s="1"/>
  <c r="K971" i="17"/>
  <c r="L971" i="17"/>
  <c r="M971" i="17" s="1"/>
  <c r="I972" i="17"/>
  <c r="J972" i="17"/>
  <c r="O972" i="17" s="1" a="1"/>
  <c r="O972" i="17" s="1"/>
  <c r="K972" i="17"/>
  <c r="L972" i="17"/>
  <c r="M972" i="17" s="1"/>
  <c r="I973" i="17"/>
  <c r="N973" i="17" s="1" a="1"/>
  <c r="N973" i="17" s="1"/>
  <c r="J973" i="17"/>
  <c r="O973" i="17" s="1" a="1"/>
  <c r="O973" i="17" s="1"/>
  <c r="K973" i="17"/>
  <c r="L973" i="17"/>
  <c r="I974" i="17"/>
  <c r="N974" i="17" s="1" a="1"/>
  <c r="N974" i="17" s="1"/>
  <c r="J974" i="17"/>
  <c r="O974" i="17" s="1" a="1"/>
  <c r="O974" i="17" s="1"/>
  <c r="K974" i="17"/>
  <c r="L974" i="17"/>
  <c r="I975" i="17"/>
  <c r="N975" i="17" s="1" a="1"/>
  <c r="N975" i="17" s="1"/>
  <c r="J975" i="17"/>
  <c r="O975" i="17" s="1" a="1"/>
  <c r="O975" i="17" s="1"/>
  <c r="K975" i="17"/>
  <c r="L975" i="17"/>
  <c r="M975" i="17" s="1"/>
  <c r="I976" i="17"/>
  <c r="N976" i="17" s="1" a="1"/>
  <c r="N976" i="17" s="1"/>
  <c r="J976" i="17"/>
  <c r="O976" i="17" s="1" a="1"/>
  <c r="O976" i="17" s="1"/>
  <c r="K976" i="17"/>
  <c r="L976" i="17"/>
  <c r="M976" i="17" s="1"/>
  <c r="I977" i="17"/>
  <c r="N977" i="17" s="1" a="1"/>
  <c r="N977" i="17" s="1"/>
  <c r="J977" i="17"/>
  <c r="O977" i="17" s="1" a="1"/>
  <c r="O977" i="17" s="1"/>
  <c r="K977" i="17"/>
  <c r="L977" i="17"/>
  <c r="M977" i="17" s="1"/>
  <c r="I978" i="17"/>
  <c r="N978" i="17" s="1" a="1"/>
  <c r="N978" i="17" s="1"/>
  <c r="J978" i="17"/>
  <c r="O978" i="17" s="1" a="1"/>
  <c r="O978" i="17" s="1"/>
  <c r="K978" i="17"/>
  <c r="L978" i="17"/>
  <c r="M978" i="17" s="1"/>
  <c r="I979" i="17"/>
  <c r="N979" i="17" s="1" a="1"/>
  <c r="N979" i="17" s="1"/>
  <c r="J979" i="17"/>
  <c r="O979" i="17" s="1" a="1"/>
  <c r="O979" i="17" s="1"/>
  <c r="K979" i="17"/>
  <c r="L979" i="17"/>
  <c r="M979" i="17" s="1"/>
  <c r="I980" i="17"/>
  <c r="N980" i="17" s="1" a="1"/>
  <c r="N980" i="17" s="1"/>
  <c r="J980" i="17"/>
  <c r="O980" i="17" s="1" a="1"/>
  <c r="O980" i="17" s="1"/>
  <c r="K980" i="17"/>
  <c r="L980" i="17"/>
  <c r="M980" i="17" s="1"/>
  <c r="I981" i="17"/>
  <c r="N981" i="17" s="1" a="1"/>
  <c r="N981" i="17" s="1"/>
  <c r="J981" i="17"/>
  <c r="O981" i="17" s="1" a="1"/>
  <c r="O981" i="17" s="1"/>
  <c r="K981" i="17"/>
  <c r="L981" i="17"/>
  <c r="M981" i="17" s="1"/>
  <c r="I982" i="17"/>
  <c r="N982" i="17" s="1" a="1"/>
  <c r="N982" i="17" s="1"/>
  <c r="J982" i="17"/>
  <c r="O982" i="17" s="1" a="1"/>
  <c r="O982" i="17" s="1"/>
  <c r="K982" i="17"/>
  <c r="L982" i="17"/>
  <c r="M982" i="17" s="1"/>
  <c r="I983" i="17"/>
  <c r="N983" i="17" s="1" a="1"/>
  <c r="N983" i="17" s="1"/>
  <c r="J983" i="17"/>
  <c r="O983" i="17" s="1" a="1"/>
  <c r="O983" i="17" s="1"/>
  <c r="K983" i="17"/>
  <c r="L983" i="17"/>
  <c r="M983" i="17" s="1"/>
  <c r="I984" i="17"/>
  <c r="J984" i="17"/>
  <c r="O984" i="17" s="1" a="1"/>
  <c r="O984" i="17" s="1"/>
  <c r="K984" i="17"/>
  <c r="L984" i="17"/>
  <c r="M984" i="17" s="1"/>
  <c r="I985" i="17"/>
  <c r="J985" i="17"/>
  <c r="O985" i="17" s="1" a="1"/>
  <c r="O985" i="17" s="1"/>
  <c r="K985" i="17"/>
  <c r="L985" i="17"/>
  <c r="M985" i="17" s="1"/>
  <c r="I986" i="17"/>
  <c r="N986" i="17" s="1" a="1"/>
  <c r="N986" i="17" s="1"/>
  <c r="J986" i="17"/>
  <c r="O986" i="17" s="1" a="1"/>
  <c r="O986" i="17" s="1"/>
  <c r="K986" i="17"/>
  <c r="L986" i="17"/>
  <c r="M986" i="17" s="1"/>
  <c r="I987" i="17"/>
  <c r="N987" i="17" s="1" a="1"/>
  <c r="N987" i="17" s="1"/>
  <c r="J987" i="17"/>
  <c r="O987" i="17" s="1" a="1"/>
  <c r="O987" i="17" s="1"/>
  <c r="K987" i="17"/>
  <c r="L987" i="17"/>
  <c r="M987" i="17" s="1"/>
  <c r="I988" i="17"/>
  <c r="N988" i="17" s="1" a="1"/>
  <c r="N988" i="17" s="1"/>
  <c r="J988" i="17"/>
  <c r="O988" i="17" s="1" a="1"/>
  <c r="O988" i="17" s="1"/>
  <c r="K988" i="17"/>
  <c r="L988" i="17"/>
  <c r="M988" i="17" s="1"/>
  <c r="I989" i="17"/>
  <c r="N989" i="17" s="1" a="1"/>
  <c r="N989" i="17" s="1"/>
  <c r="J989" i="17"/>
  <c r="O989" i="17" s="1" a="1"/>
  <c r="O989" i="17" s="1"/>
  <c r="K989" i="17"/>
  <c r="L989" i="17"/>
  <c r="I990" i="17"/>
  <c r="N990" i="17" s="1" a="1"/>
  <c r="N990" i="17" s="1"/>
  <c r="J990" i="17"/>
  <c r="O990" i="17" s="1" a="1"/>
  <c r="O990" i="17" s="1"/>
  <c r="K990" i="17"/>
  <c r="L990" i="17"/>
  <c r="I991" i="17"/>
  <c r="N991" i="17" s="1" a="1"/>
  <c r="N991" i="17" s="1"/>
  <c r="J991" i="17"/>
  <c r="O991" i="17" s="1" a="1"/>
  <c r="O991" i="17" s="1"/>
  <c r="K991" i="17"/>
  <c r="L991" i="17"/>
  <c r="M991" i="17" s="1"/>
  <c r="I992" i="17"/>
  <c r="N992" i="17" s="1" a="1"/>
  <c r="N992" i="17" s="1"/>
  <c r="J992" i="17"/>
  <c r="O992" i="17" s="1" a="1"/>
  <c r="O992" i="17" s="1"/>
  <c r="K992" i="17"/>
  <c r="L992" i="17"/>
  <c r="M992" i="17" s="1"/>
  <c r="I993" i="17"/>
  <c r="N993" i="17" s="1" a="1"/>
  <c r="N993" i="17" s="1"/>
  <c r="J993" i="17"/>
  <c r="O993" i="17" s="1" a="1"/>
  <c r="O993" i="17" s="1"/>
  <c r="K993" i="17"/>
  <c r="L993" i="17"/>
  <c r="M993" i="17" s="1"/>
  <c r="I994" i="17"/>
  <c r="N994" i="17" s="1" a="1"/>
  <c r="N994" i="17" s="1"/>
  <c r="J994" i="17"/>
  <c r="O994" i="17" s="1" a="1"/>
  <c r="O994" i="17" s="1"/>
  <c r="K994" i="17"/>
  <c r="L994" i="17"/>
  <c r="M994" i="17" s="1"/>
  <c r="I995" i="17"/>
  <c r="N995" i="17" s="1" a="1"/>
  <c r="N995" i="17" s="1"/>
  <c r="J995" i="17"/>
  <c r="O995" i="17" s="1" a="1"/>
  <c r="O995" i="17" s="1"/>
  <c r="K995" i="17"/>
  <c r="L995" i="17"/>
  <c r="M995" i="17" s="1"/>
  <c r="I996" i="17"/>
  <c r="N996" i="17" s="1" a="1"/>
  <c r="N996" i="17" s="1"/>
  <c r="J996" i="17"/>
  <c r="O996" i="17" s="1" a="1"/>
  <c r="O996" i="17" s="1"/>
  <c r="K996" i="17"/>
  <c r="L996" i="17"/>
  <c r="M996" i="17" s="1"/>
  <c r="I997" i="17"/>
  <c r="N997" i="17" s="1" a="1"/>
  <c r="N997" i="17" s="1"/>
  <c r="J997" i="17"/>
  <c r="O997" i="17" s="1" a="1"/>
  <c r="O997" i="17" s="1"/>
  <c r="K997" i="17"/>
  <c r="L997" i="17"/>
  <c r="M997" i="17" s="1"/>
  <c r="I998" i="17"/>
  <c r="J998" i="17"/>
  <c r="O998" i="17" s="1" a="1"/>
  <c r="O998" i="17" s="1"/>
  <c r="K998" i="17"/>
  <c r="L998" i="17"/>
  <c r="M998" i="17" s="1"/>
  <c r="I999" i="17"/>
  <c r="J999" i="17"/>
  <c r="O999" i="17" s="1" a="1"/>
  <c r="O999" i="17" s="1"/>
  <c r="K999" i="17"/>
  <c r="L999" i="17"/>
  <c r="M999" i="17" s="1"/>
  <c r="I1000" i="17"/>
  <c r="N1000" i="17" s="1" a="1"/>
  <c r="N1000" i="17" s="1"/>
  <c r="J1000" i="17"/>
  <c r="O1000" i="17" s="1" a="1"/>
  <c r="O1000" i="17" s="1"/>
  <c r="K1000" i="17"/>
  <c r="L1000" i="17"/>
  <c r="M1000" i="17" s="1"/>
  <c r="I1001" i="17"/>
  <c r="N1001" i="17" s="1" a="1"/>
  <c r="N1001" i="17" s="1"/>
  <c r="J1001" i="17"/>
  <c r="O1001" i="17" s="1" a="1"/>
  <c r="O1001" i="17" s="1"/>
  <c r="K1001" i="17"/>
  <c r="L1001" i="17"/>
  <c r="M1001" i="17" s="1"/>
  <c r="J2" i="17"/>
  <c r="O2" i="17" s="1" a="1"/>
  <c r="O2" i="17" s="1"/>
  <c r="K2" i="17"/>
  <c r="L2" i="17"/>
  <c r="M2" i="17" s="1"/>
  <c r="I2" i="17"/>
  <c r="N2" i="17" s="1" a="1"/>
  <c r="N2" i="17" s="1"/>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<sst xmlns="http://schemas.openxmlformats.org/spreadsheetml/2006/main" count="11129" uniqueCount="6222">
  <si>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</si>
  <si>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</si>
  <si>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</si>
  <si>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</si>
  <si>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</si>
  <si>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</si>
  <si>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</si>
  <si>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</si>
  <si>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</si>
  <si>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</si>
  <si>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</si>
  <si>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</si>
  <si>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</si>
  <si>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</si>
  <si>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</si>
  <si>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</si>
  <si>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</si>
  <si>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</si>
  <si>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</si>
  <si>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</si>
  <si>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</si>
  <si>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</si>
  <si>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</si>
  <si>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</si>
  <si>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</si>
  <si>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</si>
  <si>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</si>
  <si>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</si>
  <si>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</si>
  <si>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</si>
  <si>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</si>
  <si>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</si>
  <si>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</si>
  <si>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</si>
  <si>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</si>
  <si>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</si>
  <si>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</si>
  <si>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</si>
  <si>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</si>
  <si>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</si>
  <si>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</si>
  <si>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</si>
  <si>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</si>
  <si>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</si>
  <si>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</si>
  <si>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</si>
  <si>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</si>
  <si>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</si>
  <si>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</si>
  <si>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</si>
  <si>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</si>
  <si>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</si>
  <si>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</si>
  <si>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</si>
  <si>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</si>
  <si>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</si>
  <si>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</si>
  <si>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</si>
  <si>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</si>
  <si>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</si>
  <si>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</si>
  <si>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</si>
  <si>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</si>
  <si>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</si>
  <si>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</si>
  <si>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</si>
  <si>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</si>
  <si>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</si>
  <si>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</si>
  <si>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</si>
  <si>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</si>
  <si>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</si>
  <si>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</si>
  <si>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</si>
  <si>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</si>
  <si>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</si>
  <si>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</si>
  <si>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</si>
  <si>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</si>
  <si>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</si>
  <si>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</si>
  <si>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</si>
  <si>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</si>
  <si>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</si>
  <si>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</si>
  <si>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</si>
  <si>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</si>
  <si>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</si>
  <si>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</si>
  <si>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</si>
  <si>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</si>
  <si>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</si>
  <si>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</si>
  <si>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</si>
  <si>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</si>
  <si>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</si>
  <si>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</si>
  <si>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</si>
  <si>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</si>
  <si>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</si>
  <si>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</si>
  <si>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</si>
  <si>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</si>
  <si>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</si>
  <si>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</si>
  <si>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</si>
  <si>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</si>
  <si>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</si>
  <si>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</si>
  <si>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</si>
  <si>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</si>
  <si>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</si>
  <si>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</si>
  <si>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</si>
  <si>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</si>
  <si>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</si>
  <si>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</si>
  <si>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</si>
  <si>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</si>
  <si>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</si>
  <si>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</si>
  <si>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</si>
  <si>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</si>
  <si>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</si>
  <si>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</si>
  <si>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</si>
  <si>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</si>
  <si>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</si>
  <si>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</si>
  <si>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</si>
  <si>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</si>
  <si>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</si>
  <si>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</si>
  <si>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</si>
  <si>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</si>
  <si>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</si>
  <si>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</si>
  <si>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</si>
  <si>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</si>
  <si>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</si>
  <si>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</si>
  <si>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</si>
  <si>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</si>
  <si>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</si>
  <si>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</si>
  <si>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</si>
  <si>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</si>
  <si>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</si>
  <si>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</si>
  <si>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</si>
  <si>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</si>
  <si>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</si>
  <si>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</si>
  <si>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</si>
  <si>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</si>
  <si>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</si>
  <si>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</si>
  <si>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</si>
  <si>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</si>
  <si>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</si>
  <si>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</si>
  <si>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</si>
  <si>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</si>
  <si>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</si>
  <si>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</si>
  <si>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</si>
  <si>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</si>
  <si>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</si>
  <si>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</si>
  <si>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</si>
  <si>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</si>
  <si>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</si>
  <si>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</si>
  <si>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</si>
  <si>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</si>
  <si>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</si>
  <si>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</si>
  <si>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</si>
  <si>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</si>
  <si>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</si>
  <si>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</si>
  <si>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</si>
  <si>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</si>
  <si>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</si>
  <si>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</si>
  <si>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</si>
  <si>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</si>
  <si>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</si>
  <si>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</si>
  <si>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</si>
  <si>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</si>
  <si>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</si>
  <si>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</si>
  <si>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</si>
  <si>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</si>
  <si>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</si>
  <si>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</si>
  <si>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</si>
  <si>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</si>
  <si>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</si>
  <si>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</si>
  <si>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</si>
  <si>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</si>
  <si>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</si>
  <si>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</si>
  <si>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</si>
  <si>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</si>
  <si>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</si>
  <si>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</si>
  <si>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</si>
  <si>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</si>
  <si>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</si>
  <si>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</si>
  <si>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</si>
  <si>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</si>
  <si>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</si>
  <si>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</si>
  <si>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</si>
  <si>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</si>
  <si>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</si>
  <si>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</si>
  <si>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</si>
  <si>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</si>
  <si>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</si>
  <si>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</si>
  <si>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</si>
  <si>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</si>
  <si>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</si>
  <si>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</si>
  <si>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</si>
  <si>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</si>
  <si>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</si>
  <si>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</si>
  <si>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</si>
  <si>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</si>
  <si>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</si>
  <si>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</si>
  <si>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</si>
  <si>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</si>
  <si>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</si>
  <si>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</si>
  <si>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</si>
  <si>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</si>
  <si>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</si>
  <si>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</si>
  <si>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</si>
  <si>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</si>
  <si>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</si>
  <si>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</si>
  <si>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</si>
  <si>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</si>
  <si>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</si>
  <si>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</si>
  <si>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</si>
  <si>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</si>
  <si>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</si>
  <si>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</si>
  <si>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</si>
  <si>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</si>
  <si>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</si>
  <si>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</si>
  <si>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</si>
  <si>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</si>
  <si>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</si>
  <si>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</si>
  <si>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</si>
  <si>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</si>
  <si>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</si>
  <si>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</si>
  <si>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</si>
  <si>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</si>
  <si>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</si>
  <si>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</si>
  <si>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</si>
  <si>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</si>
  <si>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</si>
  <si>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</si>
  <si>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</si>
  <si>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</si>
  <si>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</si>
  <si>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</si>
  <si>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</si>
  <si>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</si>
  <si>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</si>
  <si>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</si>
  <si>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</si>
  <si>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</si>
  <si>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</si>
  <si>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</si>
  <si>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</si>
  <si>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</si>
  <si>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</si>
  <si>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</si>
  <si>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</si>
  <si>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</si>
  <si>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</si>
  <si>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</si>
  <si>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</si>
  <si>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</si>
  <si>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</si>
  <si>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</si>
  <si>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</si>
  <si>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</si>
  <si>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</si>
  <si>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</si>
  <si>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</si>
  <si>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</si>
  <si>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</si>
  <si>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</si>
  <si>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</si>
  <si>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</si>
  <si>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</si>
  <si>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</si>
  <si>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</si>
  <si>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</si>
  <si>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</si>
  <si>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</si>
  <si>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</si>
  <si>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</si>
  <si>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</si>
  <si>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</si>
  <si>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</si>
  <si>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</si>
  <si>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</si>
  <si>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</si>
  <si>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</si>
  <si>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</si>
  <si>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</si>
  <si>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</si>
  <si>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</si>
  <si>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</si>
  <si>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</si>
  <si>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</si>
  <si>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</si>
  <si>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</si>
  <si>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</si>
  <si>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</si>
  <si>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</si>
  <si>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</si>
  <si>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</si>
  <si>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</si>
  <si>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</si>
  <si>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</si>
  <si>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</si>
  <si>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</si>
  <si>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</si>
  <si>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</si>
  <si>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</si>
  <si>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</si>
  <si>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</si>
  <si>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</si>
  <si>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</si>
  <si>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</si>
  <si>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</si>
  <si>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</si>
  <si>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</si>
  <si>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</si>
  <si>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</si>
  <si>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</si>
  <si>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</si>
  <si>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</si>
  <si>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</si>
  <si>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</si>
  <si>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</si>
  <si>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</si>
  <si>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</si>
  <si>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</si>
  <si>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</si>
  <si>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</si>
  <si>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</si>
  <si>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</si>
  <si>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</si>
  <si>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</si>
  <si>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</si>
  <si>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</si>
  <si>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</si>
  <si>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</si>
  <si>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</si>
  <si>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</si>
  <si>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</si>
  <si>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</si>
  <si>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</si>
  <si>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</si>
  <si>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</si>
  <si>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</si>
  <si>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</si>
  <si>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</si>
  <si>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</si>
  <si>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</si>
  <si>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</si>
  <si>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</si>
  <si>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</si>
  <si>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</si>
  <si>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</si>
  <si>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</si>
  <si>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</si>
  <si>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</si>
  <si>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</si>
  <si>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</si>
  <si>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</si>
  <si>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</si>
  <si>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</si>
  <si>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</si>
  <si>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</si>
  <si>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</si>
  <si>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</si>
  <si>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</si>
  <si>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</si>
  <si>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</si>
  <si>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</si>
  <si>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</si>
  <si>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</si>
  <si>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</si>
  <si>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</si>
  <si>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</si>
  <si>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</si>
  <si>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</si>
  <si>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</si>
  <si>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</si>
  <si>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</si>
  <si>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</si>
  <si>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</si>
  <si>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</si>
  <si>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</si>
  <si>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</si>
  <si>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</si>
  <si>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</si>
  <si>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</si>
  <si>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</si>
  <si>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</si>
  <si>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</si>
  <si>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</si>
  <si>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</si>
  <si>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</si>
  <si>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</si>
  <si>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</si>
  <si>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</si>
  <si>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</si>
  <si>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</si>
  <si>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</si>
  <si>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</si>
  <si>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</si>
  <si>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</si>
  <si>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</si>
  <si>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</si>
  <si>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</si>
  <si>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</si>
  <si>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</si>
  <si>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</si>
  <si>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</si>
  <si>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</si>
  <si>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</si>
  <si>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</si>
  <si>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</si>
  <si>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</si>
  <si>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</si>
  <si>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</si>
  <si>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</si>
  <si>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</si>
  <si>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</si>
  <si>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</si>
  <si>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</si>
  <si>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</si>
  <si>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</si>
  <si>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</si>
  <si>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</si>
  <si>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</si>
  <si>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</si>
  <si>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</si>
  <si>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</si>
  <si>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</si>
  <si>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</si>
  <si>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</si>
  <si>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</si>
  <si>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</si>
  <si>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</si>
  <si>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</si>
  <si>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</si>
  <si>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</si>
  <si>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</si>
  <si>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</si>
  <si>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</si>
  <si>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</si>
  <si>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</si>
  <si>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</si>
  <si>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</si>
  <si>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</si>
  <si>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</si>
  <si>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</si>
  <si>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</si>
  <si>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</si>
  <si>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</si>
  <si>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</si>
  <si>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</si>
  <si>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</si>
  <si>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</si>
  <si>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</si>
  <si>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</si>
  <si>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</si>
  <si>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</si>
  <si>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</si>
  <si>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</si>
  <si>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</si>
  <si>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</si>
  <si>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</si>
  <si>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</si>
  <si>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</si>
  <si>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</si>
  <si>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</si>
  <si>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</si>
  <si>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</si>
  <si>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</si>
  <si>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</si>
  <si>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</si>
  <si>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</si>
  <si>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</si>
  <si>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</si>
  <si>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</si>
  <si>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</si>
  <si>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</si>
  <si>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</si>
  <si>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</si>
  <si>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</si>
  <si>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</si>
  <si>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</si>
  <si>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</si>
  <si>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</si>
  <si>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</si>
  <si>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</si>
  <si>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</si>
  <si>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</si>
  <si>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</si>
  <si>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</si>
  <si>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</si>
  <si>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</si>
  <si>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</si>
  <si>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</si>
  <si>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</si>
  <si>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</si>
  <si>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</si>
  <si>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</si>
  <si>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</si>
  <si>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</si>
  <si>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</si>
  <si>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</si>
  <si>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</si>
  <si>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</si>
  <si>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</si>
  <si>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</si>
  <si>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</si>
  <si>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</si>
  <si>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</si>
  <si>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</si>
  <si>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</si>
  <si>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</si>
  <si>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</si>
  <si>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</si>
  <si>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</si>
  <si>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</si>
  <si>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</si>
  <si>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</si>
  <si>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</si>
  <si>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</si>
  <si>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</si>
  <si>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</si>
  <si>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</si>
  <si>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</si>
  <si>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</si>
  <si>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</si>
  <si>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</si>
  <si>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</si>
  <si>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</si>
  <si>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</si>
  <si>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</si>
  <si>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</si>
  <si>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</si>
  <si>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</si>
  <si>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</si>
  <si>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</si>
  <si>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</si>
  <si>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</si>
  <si>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</si>
  <si>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</si>
  <si>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</si>
  <si>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</si>
  <si>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</si>
  <si>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</si>
  <si>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</si>
  <si>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</si>
  <si>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</si>
  <si>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</si>
  <si>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</si>
  <si>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</si>
  <si>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</si>
  <si>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</si>
  <si>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</si>
  <si>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</si>
  <si>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</si>
  <si>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</si>
  <si>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</si>
  <si>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</si>
  <si>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</si>
  <si>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</si>
  <si>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</si>
  <si>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</si>
  <si>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</si>
  <si>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</si>
  <si>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</si>
  <si>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</si>
  <si>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</si>
  <si>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</si>
  <si>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</si>
  <si>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</si>
  <si>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</si>
  <si>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</si>
  <si>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</si>
  <si>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</si>
  <si>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</si>
  <si>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</si>
  <si>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</si>
  <si>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</si>
  <si>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</si>
  <si>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</si>
  <si>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</si>
  <si>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</si>
  <si>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</si>
  <si>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</si>
  <si>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</si>
  <si>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</si>
  <si>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</si>
  <si>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</si>
  <si>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</si>
  <si>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</si>
  <si>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</si>
  <si>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</si>
  <si>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</si>
  <si>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</si>
  <si>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</si>
  <si>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</si>
  <si>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</si>
  <si>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</si>
  <si>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</si>
  <si>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</si>
  <si>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</si>
  <si>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</si>
  <si>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</si>
  <si>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</si>
  <si>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</si>
  <si>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</si>
  <si>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</si>
  <si>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</si>
  <si>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</si>
  <si>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</si>
  <si>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</si>
  <si>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</si>
  <si>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</si>
  <si>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</si>
  <si>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</si>
  <si>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</si>
  <si>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</si>
  <si>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</si>
  <si>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</si>
  <si>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</si>
  <si>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</si>
  <si>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</si>
  <si>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</si>
  <si>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</si>
  <si>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</si>
  <si>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</si>
  <si>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</si>
  <si>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</si>
  <si>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</si>
  <si>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</si>
  <si>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</si>
  <si>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</si>
  <si>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</si>
  <si>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</si>
  <si>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</si>
  <si>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</si>
  <si>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</si>
  <si>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</si>
  <si>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</si>
  <si>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</si>
  <si>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</si>
  <si>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</si>
  <si>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</si>
  <si>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</si>
  <si>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</si>
  <si>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</si>
  <si>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</si>
  <si>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</si>
  <si>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</si>
  <si>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</si>
  <si>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</si>
  <si>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</si>
  <si>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</si>
  <si>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</si>
  <si>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</si>
  <si>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</si>
  <si>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</si>
  <si>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</si>
  <si>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</si>
  <si>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</si>
  <si>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</si>
  <si>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</si>
  <si>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</si>
  <si>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</si>
  <si>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</si>
  <si>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</si>
  <si>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</si>
  <si>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</si>
  <si>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</si>
  <si>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</si>
  <si>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</si>
  <si>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</si>
  <si>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</si>
  <si>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</si>
  <si>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</si>
  <si>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</si>
  <si>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</si>
  <si>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</si>
  <si>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</si>
  <si>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</si>
  <si>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</si>
  <si>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</si>
  <si>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</si>
  <si>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</si>
  <si>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</si>
  <si>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</si>
  <si>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</si>
  <si>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</si>
  <si>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</si>
  <si>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</si>
  <si>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</si>
  <si>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</si>
  <si>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</si>
  <si>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</si>
  <si>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</si>
  <si>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</si>
  <si>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</si>
  <si>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</si>
  <si>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</si>
  <si>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</si>
  <si>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</si>
  <si>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</si>
  <si>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</si>
  <si>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</si>
  <si>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</si>
  <si>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</si>
  <si>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</si>
  <si>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</si>
  <si>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</si>
  <si>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</si>
  <si>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</si>
  <si>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</si>
  <si>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</si>
  <si>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</si>
  <si>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</si>
  <si>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</si>
  <si>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</si>
  <si>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</si>
  <si>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</si>
  <si>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</si>
  <si>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</si>
  <si>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</si>
  <si>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</si>
  <si>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</si>
  <si>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</si>
  <si>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</si>
  <si>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</si>
  <si>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</si>
  <si>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</si>
  <si>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</si>
  <si>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</si>
  <si>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</si>
  <si>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</si>
  <si>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</si>
  <si>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</si>
  <si>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</si>
  <si>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</si>
  <si>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</si>
  <si>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</si>
  <si>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</si>
  <si>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</si>
  <si>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</si>
  <si>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</si>
  <si>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</si>
  <si>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</si>
  <si>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</si>
  <si>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</si>
  <si>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</si>
  <si>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</si>
  <si>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</si>
  <si>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</si>
  <si>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</si>
  <si>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</si>
  <si>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</si>
  <si>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</si>
  <si>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</si>
  <si>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</si>
  <si>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</si>
  <si>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</si>
  <si>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</si>
  <si>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</si>
  <si>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</si>
  <si>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</si>
  <si>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</si>
  <si>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</si>
  <si>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</si>
  <si>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</si>
  <si>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</si>
  <si>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</si>
  <si>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</si>
  <si>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</si>
  <si>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</si>
  <si>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</si>
  <si>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</si>
  <si>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</si>
  <si>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</si>
  <si>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</si>
  <si>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</si>
  <si>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</si>
  <si>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</si>
  <si>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</si>
  <si>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</si>
  <si>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</si>
  <si>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</si>
  <si>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</si>
  <si>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</si>
  <si>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</si>
  <si>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</si>
  <si>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</si>
  <si>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</si>
  <si>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</si>
  <si>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</si>
  <si>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</si>
  <si>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</si>
  <si>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</si>
  <si>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</si>
  <si>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</si>
  <si>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</si>
  <si>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</si>
  <si>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</si>
  <si>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</si>
  <si>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</si>
  <si>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</si>
  <si>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</si>
  <si>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</si>
  <si>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</si>
  <si>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</si>
  <si>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</si>
  <si>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</si>
  <si>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</si>
  <si>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</si>
  <si>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</si>
  <si>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</si>
  <si>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</si>
  <si>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</si>
  <si>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</si>
  <si>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</si>
  <si>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</si>
  <si>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</si>
  <si>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</si>
  <si>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</si>
  <si>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</si>
  <si>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</si>
  <si>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</si>
  <si>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</si>
  <si>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</si>
  <si>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</si>
  <si>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</si>
  <si>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</si>
  <si>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</si>
  <si>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</si>
  <si>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</si>
  <si>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</si>
  <si>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</si>
  <si>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</si>
  <si>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</si>
  <si>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</si>
  <si>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</si>
  <si>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</si>
  <si>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</si>
  <si>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</si>
  <si>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</si>
  <si>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</si>
  <si>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</si>
  <si>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</si>
  <si>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</si>
  <si>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</si>
  <si>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</si>
  <si>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</si>
  <si>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</si>
  <si>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</si>
  <si>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</si>
  <si>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</si>
  <si>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</si>
  <si>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</si>
  <si>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</si>
  <si>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</si>
  <si>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</si>
  <si>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</si>
  <si>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</si>
  <si>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</si>
  <si>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</si>
  <si>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</si>
  <si>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</si>
  <si>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</si>
  <si>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</si>
  <si>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</si>
  <si>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</si>
  <si>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</si>
  <si>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</si>
  <si>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</si>
  <si>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</si>
  <si>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</si>
  <si>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</si>
  <si>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</si>
  <si>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</si>
  <si>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</si>
  <si>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</si>
  <si>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</si>
  <si>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</si>
  <si>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</si>
  <si>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</si>
  <si>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</si>
  <si>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</si>
  <si>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</si>
  <si>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</si>
  <si>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</si>
  <si>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</si>
  <si>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</si>
  <si>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</si>
  <si>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</si>
  <si>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</si>
  <si>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</si>
  <si>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</si>
  <si>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</si>
  <si>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</si>
  <si>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</si>
  <si>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</si>
  <si>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</si>
  <si>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</si>
  <si>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</si>
  <si>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</si>
  <si>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</si>
  <si>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</si>
  <si>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</si>
  <si>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</si>
  <si>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</si>
  <si>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</si>
  <si>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</si>
  <si>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</si>
  <si>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</si>
  <si>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</si>
  <si>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</si>
  <si>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</si>
  <si>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</si>
  <si>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</si>
  <si>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</si>
  <si>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</si>
  <si>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</si>
  <si>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</si>
  <si>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</si>
  <si>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</si>
  <si>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</si>
  <si>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</si>
  <si>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</si>
  <si>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</si>
  <si>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</si>
  <si>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</si>
  <si>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</si>
  <si>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</si>
  <si>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</si>
  <si>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</si>
  <si>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</si>
  <si>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</si>
  <si>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</si>
  <si>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</si>
  <si>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</si>
  <si>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</si>
  <si>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</si>
  <si>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</si>
  <si>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</si>
  <si>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</si>
  <si>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</si>
  <si>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</si>
  <si>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</si>
  <si>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</si>
  <si>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</si>
  <si>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</si>
  <si>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</si>
  <si>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</si>
  <si>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</si>
  <si>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</si>
  <si>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</si>
  <si>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</si>
  <si>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</si>
  <si>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</si>
  <si>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</si>
  <si>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</si>
  <si>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</si>
  <si>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</si>
  <si>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</si>
  <si>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</si>
  <si>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</si>
  <si>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</si>
  <si>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</si>
  <si>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</si>
  <si>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</si>
  <si>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</si>
  <si>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</si>
  <si>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</si>
  <si>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</si>
  <si>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</si>
  <si>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</si>
  <si>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</si>
  <si>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</si>
  <si>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</si>
  <si>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</si>
  <si>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</si>
  <si>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</si>
  <si>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</si>
  <si>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</si>
  <si>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</si>
  <si>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</si>
  <si>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</si>
  <si>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</si>
  <si>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</si>
  <si>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</si>
  <si>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</si>
  <si>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</si>
  <si>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</si>
  <si>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</si>
  <si>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</si>
  <si>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</si>
  <si>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</si>
  <si>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</si>
  <si>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</si>
  <si>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</si>
  <si>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</si>
  <si>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</si>
  <si>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</si>
  <si>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</si>
  <si>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</si>
  <si>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</si>
  <si>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</si>
  <si>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</si>
  <si>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</si>
  <si>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</si>
  <si>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</si>
  <si>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</si>
  <si>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</si>
  <si>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</si>
  <si>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</si>
  <si>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</si>
  <si>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</si>
  <si>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</si>
  <si>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</si>
  <si>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</si>
  <si>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</si>
  <si>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</si>
  <si>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</si>
  <si>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</si>
  <si>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</si>
  <si>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</si>
  <si>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</si>
  <si>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</si>
  <si>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</si>
  <si>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</si>
  <si>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</si>
  <si>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</si>
  <si>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</si>
  <si>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</si>
  <si>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</si>
  <si>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</si>
  <si>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</si>
  <si>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</si>
  <si>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</si>
  <si>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</si>
  <si>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</si>
  <si>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</si>
  <si>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</si>
  <si>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</si>
  <si>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</si>
  <si>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</si>
  <si>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</si>
  <si>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</si>
  <si>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</si>
  <si>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</si>
  <si>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</si>
  <si>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</si>
  <si>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</si>
  <si>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</si>
  <si>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</si>
  <si>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</si>
  <si>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</si>
  <si>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</si>
  <si>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</si>
  <si>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</si>
  <si>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</si>
  <si>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</si>
  <si>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</si>
  <si>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</si>
  <si>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</si>
  <si>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</si>
  <si>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</si>
  <si>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</si>
  <si>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</si>
  <si>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</si>
  <si>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</si>
  <si>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</si>
  <si>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</si>
  <si>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</si>
  <si>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</si>
  <si>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</si>
  <si>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</si>
  <si>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</si>
  <si>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</si>
  <si>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</si>
  <si>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</si>
  <si>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</si>
  <si>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</si>
  <si>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</si>
  <si>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</si>
  <si>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</si>
  <si>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</si>
  <si>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</si>
  <si>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</si>
  <si>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</si>
  <si>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</si>
  <si>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</si>
  <si>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</si>
  <si>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</si>
  <si>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</si>
  <si>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</si>
  <si>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</si>
  <si>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</si>
  <si>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</si>
  <si>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</si>
  <si>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</si>
  <si>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</si>
  <si>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</si>
  <si>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</si>
  <si>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</si>
  <si>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</si>
  <si>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</si>
  <si>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</si>
  <si>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</si>
  <si>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</si>
  <si>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</si>
  <si>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</si>
  <si>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</si>
  <si>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</si>
  <si>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</si>
  <si>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</si>
  <si>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</si>
  <si>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</si>
  <si>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</si>
  <si>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</si>
  <si>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</si>
  <si>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</si>
  <si>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</si>
  <si>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</si>
  <si>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</si>
  <si>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</si>
  <si>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</si>
  <si>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</si>
  <si>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</si>
  <si>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</si>
  <si>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</si>
  <si>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</si>
  <si>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</si>
  <si>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</si>
  <si>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</si>
  <si>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</si>
  <si>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</si>
  <si>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</si>
  <si>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</si>
  <si>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</si>
  <si>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</si>
  <si>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</si>
  <si>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</si>
  <si>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</si>
  <si>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</si>
  <si>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</si>
  <si>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</si>
  <si>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</si>
  <si>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</si>
  <si>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</si>
  <si>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</si>
  <si>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</si>
  <si>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</si>
  <si>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</si>
  <si>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</si>
  <si>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</si>
  <si>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</si>
  <si>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</si>
  <si>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</si>
  <si>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</si>
  <si>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</si>
  <si>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</si>
  <si>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</si>
  <si>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</si>
  <si>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</si>
  <si>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</si>
  <si>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</si>
  <si>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</si>
  <si>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</si>
  <si>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</si>
  <si>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</si>
  <si>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</si>
  <si>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</si>
  <si>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</si>
  <si>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</si>
  <si>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</si>
  <si>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</si>
  <si>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</si>
  <si>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</si>
  <si>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</si>
  <si>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</si>
  <si>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</si>
  <si>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</si>
  <si>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</si>
  <si>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</si>
  <si>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</si>
  <si>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</si>
  <si>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</si>
  <si>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</si>
  <si>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</si>
  <si>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</si>
  <si>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</si>
  <si>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</si>
  <si>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</si>
  <si>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</si>
  <si>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</si>
  <si>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</si>
  <si>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</si>
  <si>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</si>
  <si>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</si>
  <si>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</si>
  <si>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</si>
  <si>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</si>
  <si>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</si>
  <si>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</si>
  <si>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</si>
  <si>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</si>
  <si>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</si>
  <si>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</si>
  <si>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</si>
  <si>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</si>
  <si>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</si>
  <si>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</si>
  <si>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</si>
  <si>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</si>
  <si>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</si>
  <si>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</si>
  <si>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</si>
  <si>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</si>
  <si>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</si>
  <si>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</si>
  <si>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</si>
  <si>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</si>
  <si>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</si>
  <si>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</si>
  <si>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</si>
  <si>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</si>
  <si>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</si>
  <si>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</si>
  <si>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</si>
  <si>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</si>
  <si>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</si>
  <si>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</si>
  <si>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</si>
  <si>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</si>
  <si>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</si>
  <si>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</si>
  <si>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</si>
  <si>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</si>
  <si>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</si>
  <si>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</si>
  <si>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</si>
  <si>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</si>
  <si>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</si>
  <si>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</si>
  <si>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</si>
  <si>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</si>
  <si>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</si>
  <si>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</si>
  <si>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</si>
  <si>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</si>
  <si>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</si>
  <si>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</si>
  <si>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</si>
  <si>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</si>
  <si>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</si>
  <si>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</si>
  <si>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</si>
  <si>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</si>
  <si>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</si>
  <si>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</si>
  <si>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</si>
  <si>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</si>
  <si>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</si>
  <si>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</si>
  <si>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</si>
  <si>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</si>
  <si>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</si>
  <si>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</si>
  <si>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</si>
  <si>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</si>
  <si>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</si>
  <si>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</si>
  <si>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</si>
  <si>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</si>
  <si>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</si>
  <si>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</si>
  <si>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</si>
  <si>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</si>
  <si>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</si>
  <si>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</si>
  <si>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</si>
  <si>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</si>
  <si>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</si>
  <si>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</si>
  <si>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</si>
  <si>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</si>
  <si>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</si>
  <si>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</si>
  <si>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</si>
  <si>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</si>
  <si>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</si>
  <si>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</si>
  <si>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</si>
  <si>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</si>
  <si>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</si>
  <si>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</si>
  <si>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</si>
  <si>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</si>
  <si>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</si>
  <si>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</si>
  <si>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</si>
  <si>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</si>
  <si>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</si>
  <si>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</si>
  <si>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</si>
  <si>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</si>
  <si>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</si>
  <si>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</si>
  <si>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</si>
  <si>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</si>
  <si>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</si>
  <si>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</si>
  <si>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</si>
  <si>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</si>
  <si>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</si>
  <si>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</si>
  <si>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</si>
  <si>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</si>
  <si>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</si>
  <si>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</si>
  <si>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</si>
  <si>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</si>
  <si>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</si>
  <si>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</si>
  <si>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</si>
  <si>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</si>
  <si>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</si>
  <si>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</si>
  <si>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</si>
  <si>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</si>
  <si>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</si>
  <si>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</si>
  <si>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</si>
  <si>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</si>
  <si>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</si>
  <si>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</si>
  <si>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</si>
  <si>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</si>
  <si>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</si>
  <si>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</si>
  <si>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</si>
  <si>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</si>
  <si>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</si>
  <si>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</si>
  <si>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</si>
  <si>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</si>
  <si>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</si>
  <si>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</si>
  <si>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</si>
  <si>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</si>
  <si>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</si>
  <si>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</si>
  <si>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</si>
  <si>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</si>
  <si>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</si>
  <si>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</si>
  <si>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</si>
  <si>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</si>
  <si>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</si>
  <si>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</si>
  <si>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</si>
  <si>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</si>
  <si>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</si>
  <si>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</si>
  <si>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</si>
  <si>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</si>
  <si>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</si>
  <si>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</si>
  <si>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</si>
  <si>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</si>
  <si>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</si>
  <si>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</si>
  <si>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</si>
  <si>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</si>
  <si>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</si>
  <si>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</si>
  <si>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</si>
  <si>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</si>
  <si>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</si>
  <si>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</si>
  <si>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</si>
  <si>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</si>
  <si>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</si>
  <si>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</si>
  <si>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</si>
  <si>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</si>
  <si>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</si>
  <si>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</si>
  <si>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</si>
  <si>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</si>
  <si>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</si>
  <si>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</si>
  <si>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</si>
  <si>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</si>
  <si>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</si>
  <si>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</si>
  <si>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</si>
  <si>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</si>
  <si>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</si>
  <si>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</si>
  <si>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</si>
  <si>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</si>
  <si>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</si>
  <si>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</si>
  <si>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</si>
  <si>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</si>
  <si>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</si>
  <si>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</si>
  <si>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</si>
  <si>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</si>
  <si>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</si>
  <si>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</si>
  <si>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</si>
  <si>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</si>
  <si>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</si>
  <si>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</si>
  <si>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</si>
  <si>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</si>
  <si>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</si>
  <si>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</si>
  <si>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</si>
  <si>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</si>
  <si>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</si>
  <si>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</si>
  <si>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</si>
  <si>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</si>
  <si>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</si>
  <si>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</si>
  <si>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</si>
  <si>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</si>
  <si>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</si>
  <si>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</si>
  <si>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</si>
  <si>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</si>
  <si>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</si>
  <si>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</si>
  <si>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</si>
  <si>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</si>
  <si>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</si>
  <si>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</si>
  <si>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</si>
  <si>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</si>
  <si>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</si>
  <si>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</si>
  <si>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</si>
  <si>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</si>
  <si>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</si>
  <si>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</si>
  <si>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</si>
  <si>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</si>
  <si>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</si>
  <si>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</si>
  <si>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</si>
  <si>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</si>
  <si>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</si>
  <si>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</si>
  <si>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</si>
  <si>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</si>
  <si>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</si>
  <si>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</si>
  <si>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</si>
  <si>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</si>
  <si>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</si>
  <si>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</si>
  <si>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</si>
  <si>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</si>
  <si>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</si>
  <si>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</si>
  <si>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</si>
  <si>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</si>
  <si>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</si>
  <si>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</si>
  <si>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</si>
  <si>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</si>
  <si>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</si>
  <si>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</si>
  <si>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</si>
  <si>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</si>
  <si>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</si>
  <si>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</si>
  <si>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</si>
  <si>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</si>
  <si>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</si>
  <si>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</si>
  <si>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</si>
  <si>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</si>
  <si>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</si>
  <si>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</si>
  <si>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</si>
  <si>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</si>
  <si>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</si>
  <si>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</si>
  <si>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</si>
  <si>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</si>
  <si>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</si>
  <si>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</si>
  <si>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</si>
  <si>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</si>
  <si>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</si>
  <si>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</si>
  <si>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</si>
  <si>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</si>
  <si>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</si>
  <si>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</si>
  <si>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</si>
  <si>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</si>
  <si>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</si>
  <si>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</si>
  <si>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</si>
  <si>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</si>
  <si>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</si>
  <si>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</si>
  <si>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</si>
  <si>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</si>
  <si>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</si>
  <si>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</si>
  <si>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</si>
  <si>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</si>
  <si>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</si>
  <si>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</si>
  <si>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</si>
  <si>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</si>
  <si>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</si>
  <si>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</si>
  <si>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</si>
  <si>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</si>
  <si>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</si>
  <si>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</si>
  <si>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</si>
  <si>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</si>
  <si>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</si>
  <si>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</si>
  <si>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</si>
  <si>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</si>
  <si>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</si>
  <si>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</si>
  <si>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</si>
  <si>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</si>
  <si>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</si>
  <si>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</si>
  <si>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</si>
  <si>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</si>
  <si>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</si>
  <si>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</si>
  <si>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</si>
  <si>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</si>
  <si>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</si>
  <si>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</si>
  <si>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</si>
  <si>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</si>
  <si>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</si>
  <si>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</si>
  <si>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</si>
  <si>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</si>
  <si>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</si>
  <si>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</si>
  <si>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</si>
  <si>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</si>
  <si>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</si>
  <si>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</si>
  <si>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</si>
  <si>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</si>
  <si>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</si>
  <si>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</si>
  <si>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</si>
  <si>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</si>
  <si>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</si>
  <si>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</si>
  <si>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</si>
  <si>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</si>
  <si>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</si>
  <si>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</si>
  <si>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</si>
  <si>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</si>
  <si>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</si>
  <si>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</si>
  <si>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</si>
  <si>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</si>
  <si>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</si>
  <si>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</si>
  <si>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</si>
  <si>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</si>
  <si>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</si>
  <si>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</si>
  <si>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</si>
  <si>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</si>
  <si>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</si>
  <si>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</si>
  <si>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</si>
  <si>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</si>
  <si>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</si>
  <si>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</si>
  <si>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</si>
  <si>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</si>
  <si>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</si>
  <si>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</si>
  <si>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</si>
  <si>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</si>
  <si>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</si>
  <si>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</si>
  <si>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</si>
  <si>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</si>
  <si>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</si>
  <si>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</si>
  <si>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</si>
  <si>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</si>
  <si>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</si>
  <si>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</si>
  <si>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</si>
  <si>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</si>
  <si>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</si>
  <si>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</si>
  <si>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</si>
  <si>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</si>
  <si>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</si>
  <si>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</si>
  <si>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</si>
  <si>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</si>
  <si>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</si>
  <si>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</si>
  <si>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</si>
  <si>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</si>
  <si>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</si>
  <si>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</si>
  <si>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</si>
  <si>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</si>
  <si>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</si>
  <si>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</si>
  <si>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</si>
  <si>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</si>
  <si>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</si>
  <si>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</si>
  <si>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</si>
  <si>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</si>
  <si>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</si>
  <si>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</si>
  <si>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</si>
  <si>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</si>
  <si>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</si>
  <si>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</si>
  <si>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</si>
  <si>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</si>
  <si>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</si>
  <si>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</si>
  <si>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</si>
  <si>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</si>
  <si>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</si>
  <si>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</si>
  <si>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</si>
  <si>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</si>
  <si>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</si>
  <si>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</si>
  <si>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</si>
  <si>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</si>
  <si>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</si>
  <si>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</si>
  <si>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</si>
  <si>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</si>
  <si>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</si>
  <si>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</si>
  <si>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</si>
  <si>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</si>
  <si>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</si>
  <si>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</si>
  <si>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</si>
  <si>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</si>
  <si>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</si>
  <si>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</si>
  <si>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</si>
  <si>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</si>
  <si>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</si>
  <si>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</si>
  <si>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</si>
  <si>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</si>
  <si>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</si>
  <si>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</si>
  <si>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</si>
  <si>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</si>
  <si>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</si>
  <si>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</si>
  <si>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</si>
  <si>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</si>
  <si>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</si>
  <si>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</si>
  <si>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</si>
  <si>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</si>
  <si>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</si>
  <si>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</si>
  <si>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</si>
  <si>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</si>
  <si>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</si>
  <si>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</si>
  <si>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</si>
  <si>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</si>
  <si>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</si>
  <si>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</si>
  <si>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</si>
  <si>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</si>
  <si>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</si>
  <si>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</si>
  <si>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</si>
  <si>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</si>
  <si>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</si>
  <si>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</si>
  <si>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</si>
  <si>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</si>
  <si>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</si>
  <si>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</si>
  <si>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</si>
  <si>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</si>
  <si>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</si>
  <si>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</si>
  <si>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</si>
  <si>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</si>
  <si>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</si>
  <si>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</si>
  <si>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</si>
  <si>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</si>
  <si>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</si>
  <si>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</si>
  <si>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</si>
  <si>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</si>
  <si>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</si>
  <si>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</si>
  <si>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</si>
  <si>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</si>
  <si>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</si>
  <si>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</si>
  <si>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</si>
  <si>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</si>
  <si>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</si>
  <si>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</si>
  <si>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</si>
  <si>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</si>
  <si>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</si>
  <si>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</si>
  <si>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</si>
  <si>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</si>
  <si>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</si>
  <si>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</si>
  <si>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</si>
  <si>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</si>
  <si>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</si>
  <si>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</si>
  <si>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</si>
  <si>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</si>
  <si>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</si>
  <si>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</si>
  <si>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</si>
  <si>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</si>
  <si>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</si>
  <si>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</si>
  <si>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</si>
  <si>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</si>
  <si>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</si>
  <si>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</si>
  <si>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</si>
  <si>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</si>
  <si>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</si>
  <si>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</si>
  <si>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</si>
  <si>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</si>
  <si>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</si>
  <si>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</si>
  <si>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</si>
  <si>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</si>
  <si>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</si>
  <si>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</si>
  <si>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</si>
  <si>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</si>
  <si>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</si>
  <si>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</si>
  <si>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</si>
  <si>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</si>
  <si>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</si>
  <si>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</si>
  <si>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</si>
  <si>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</si>
  <si>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</si>
  <si>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</si>
  <si>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</si>
  <si>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</si>
  <si>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</si>
  <si>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</si>
  <si>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</si>
  <si>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</si>
  <si>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</si>
  <si>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</si>
  <si>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</si>
  <si>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</si>
  <si>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</si>
  <si>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</si>
  <si>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</si>
  <si>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</si>
  <si>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</si>
  <si>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</si>
  <si>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</si>
  <si>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</si>
  <si>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</si>
  <si>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</si>
  <si>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</si>
  <si>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</si>
  <si>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</si>
  <si>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</si>
  <si>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</si>
  <si>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</si>
  <si>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</si>
  <si>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</si>
  <si>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</si>
  <si>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</si>
  <si>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</si>
  <si>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</si>
  <si>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</si>
  <si>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</si>
  <si>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</si>
  <si>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</si>
  <si>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</si>
  <si>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</si>
  <si>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</si>
  <si>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</si>
  <si>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</si>
  <si>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</si>
  <si>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</si>
  <si>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</si>
  <si>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</si>
  <si>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</si>
  <si>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</si>
  <si>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</si>
  <si>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</si>
  <si>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</si>
  <si>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</si>
  <si>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</si>
  <si>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</si>
  <si>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</si>
  <si>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</si>
  <si>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</si>
  <si>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</si>
  <si>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</si>
  <si>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</si>
  <si>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</si>
  <si>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</si>
  <si>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</si>
  <si>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</si>
  <si>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</si>
  <si>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</si>
  <si>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</si>
  <si>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</si>
  <si>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</si>
  <si>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</si>
  <si>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</si>
  <si>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</si>
  <si>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</si>
  <si>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</si>
  <si>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</si>
  <si>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</si>
  <si>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</si>
  <si>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</si>
  <si>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</si>
  <si>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</si>
  <si>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</si>
  <si>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</si>
  <si>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</si>
  <si>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</si>
  <si>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</si>
  <si>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</si>
  <si>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</si>
  <si>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</si>
  <si>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</si>
  <si>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</si>
  <si>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</si>
  <si>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</si>
  <si>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</si>
  <si>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</si>
  <si>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</si>
  <si>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</si>
  <si>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</si>
  <si>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</si>
  <si>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</si>
  <si>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</si>
  <si>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</si>
  <si>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</si>
  <si>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</si>
  <si>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</si>
  <si>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</si>
  <si>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</si>
  <si>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</si>
  <si>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</si>
  <si>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</si>
  <si>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</si>
  <si>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</si>
  <si>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</si>
  <si>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</si>
  <si>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</si>
  <si>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</si>
  <si>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</si>
  <si>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</si>
  <si>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</si>
  <si>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</si>
  <si>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</si>
  <si>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</si>
  <si>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</si>
  <si>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</si>
  <si>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</si>
  <si>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</si>
  <si>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</si>
  <si>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</si>
  <si>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</si>
  <si>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</si>
  <si>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</si>
  <si>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</si>
  <si>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</si>
  <si>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</si>
  <si>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</si>
  <si>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</si>
  <si>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</si>
  <si>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</si>
  <si>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</si>
  <si>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</si>
  <si>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</si>
  <si>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</si>
  <si>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</si>
  <si>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</si>
  <si>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</si>
  <si>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</si>
  <si>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</si>
  <si>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</si>
  <si>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</si>
  <si>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</si>
  <si>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</si>
  <si>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</si>
  <si>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</si>
  <si>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</si>
  <si>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</si>
  <si>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</si>
  <si>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</si>
  <si>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</si>
  <si>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</si>
  <si>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</si>
  <si>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</si>
  <si>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</si>
  <si>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</si>
  <si>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</si>
  <si>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</si>
  <si>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</si>
  <si>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</si>
  <si>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</si>
  <si>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</si>
  <si>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</si>
  <si>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</si>
  <si>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</si>
  <si>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</si>
  <si>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</si>
  <si>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</si>
  <si>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</si>
  <si>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</si>
  <si>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</si>
  <si>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</si>
  <si>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</si>
  <si>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</si>
  <si>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</si>
  <si>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</si>
  <si>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</si>
  <si>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</si>
  <si>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</si>
  <si>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</si>
  <si>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</si>
  <si>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</si>
  <si>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</si>
  <si>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</si>
  <si>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</si>
  <si>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</si>
  <si>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</si>
  <si>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</si>
  <si>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</si>
  <si>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</si>
  <si>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</si>
  <si>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</si>
  <si>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</si>
  <si>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</si>
  <si>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</si>
  <si>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</si>
  <si>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</si>
  <si>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</si>
  <si>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</si>
  <si>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</si>
  <si>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</si>
  <si>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</si>
  <si>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</si>
  <si>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</si>
  <si>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</si>
  <si>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</si>
  <si>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</si>
  <si>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</si>
  <si>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</si>
  <si>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</si>
  <si>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</si>
  <si>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</si>
  <si>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</si>
  <si>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</si>
  <si>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</si>
  <si>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</si>
  <si>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</si>
  <si>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</si>
  <si>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</si>
  <si>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</si>
  <si>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</si>
  <si>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</si>
  <si>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</si>
  <si>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</si>
  <si>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</si>
  <si>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</si>
  <si>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</si>
  <si>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</si>
  <si>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</si>
  <si>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</si>
  <si>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</si>
  <si>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</si>
  <si>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</si>
  <si>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</si>
  <si>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</si>
  <si>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</si>
  <si>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</si>
  <si>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</si>
  <si>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</si>
  <si>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</si>
  <si>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</si>
  <si>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</si>
  <si>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</si>
  <si>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</si>
  <si>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</si>
  <si>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</si>
  <si>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</si>
  <si>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</si>
  <si>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</si>
  <si>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</si>
  <si>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</si>
  <si>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</si>
  <si>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</si>
  <si>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</si>
  <si>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</si>
  <si>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</si>
  <si>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</si>
  <si>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</si>
  <si>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</si>
  <si>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</si>
  <si>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</si>
  <si>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</si>
  <si>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</si>
  <si>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</si>
  <si>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</si>
  <si>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</si>
  <si>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</si>
  <si>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</si>
  <si>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</si>
  <si>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</si>
  <si>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</si>
  <si>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</si>
  <si>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</si>
  <si>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</si>
  <si>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</si>
  <si>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</si>
  <si>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</si>
  <si>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</si>
  <si>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</si>
  <si>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</si>
  <si>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</si>
  <si>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</si>
  <si>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</si>
  <si>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</si>
  <si>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</si>
  <si>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</si>
  <si>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</si>
  <si>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</si>
  <si>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</si>
  <si>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</si>
  <si>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</si>
  <si>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</si>
  <si>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</si>
  <si>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</si>
  <si>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</si>
  <si>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</si>
  <si>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</si>
  <si>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</si>
  <si>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</si>
  <si>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</si>
  <si>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</si>
  <si>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</si>
  <si>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</si>
  <si>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</si>
  <si>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</si>
  <si>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</si>
  <si>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</si>
  <si>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</si>
  <si>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</si>
  <si>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</si>
  <si>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</si>
  <si>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</si>
  <si>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</si>
  <si>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</si>
  <si>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</si>
  <si>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</si>
  <si>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</si>
  <si>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</si>
  <si>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</si>
  <si>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</si>
  <si>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</si>
  <si>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</si>
  <si>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</si>
  <si>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</si>
  <si>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</si>
  <si>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</si>
  <si>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</si>
  <si>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</si>
  <si>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</si>
  <si>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</si>
  <si>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</si>
  <si>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</si>
  <si>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</si>
  <si>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</si>
  <si>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</si>
  <si>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</si>
  <si>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</si>
  <si>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</si>
  <si>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</si>
  <si>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</si>
  <si>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</si>
  <si>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</si>
  <si>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</si>
  <si>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</si>
  <si>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</si>
  <si>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</si>
  <si>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</si>
  <si>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</si>
  <si>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</si>
  <si>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</si>
  <si>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</si>
  <si>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</si>
  <si>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</si>
  <si>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</si>
  <si>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</si>
  <si>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</si>
  <si>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</si>
  <si>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</si>
  <si>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</si>
  <si>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</si>
  <si>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</si>
  <si>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</si>
  <si>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</si>
  <si>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</si>
  <si>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</si>
  <si>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</si>
  <si>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</si>
  <si>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</si>
  <si>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</si>
  <si>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</si>
  <si>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</si>
  <si>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</si>
  <si>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</si>
  <si>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</si>
  <si>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</si>
  <si>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</si>
  <si>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</si>
  <si>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</si>
  <si>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</si>
  <si>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</si>
  <si>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</si>
  <si>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</si>
  <si>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</si>
  <si>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</si>
  <si>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</si>
  <si>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</si>
  <si>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</si>
  <si>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</si>
  <si>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</si>
  <si>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</si>
  <si>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</si>
  <si>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</si>
  <si>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</si>
  <si>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</si>
  <si>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</si>
  <si>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</si>
  <si>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</si>
  <si>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</si>
  <si>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</si>
  <si>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</si>
  <si>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</si>
  <si>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</si>
  <si>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</si>
  <si>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</si>
  <si>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</si>
  <si>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</si>
  <si>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</si>
  <si>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</si>
  <si>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</si>
  <si>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</si>
  <si>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</si>
  <si>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</si>
  <si>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</si>
  <si>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</si>
  <si>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</si>
  <si>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</si>
  <si>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</si>
  <si>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</si>
  <si>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</si>
  <si>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</si>
  <si>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</si>
  <si>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</si>
  <si>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</si>
  <si>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</si>
  <si>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</si>
  <si>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</si>
  <si>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</si>
  <si>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</si>
  <si>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</si>
  <si>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</si>
  <si>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</si>
  <si>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</si>
  <si>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</si>
  <si>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</si>
  <si>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</si>
  <si>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</si>
  <si>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</si>
  <si>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</si>
  <si>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</si>
  <si>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</si>
  <si>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</si>
  <si>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</si>
  <si>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</si>
  <si>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</si>
  <si>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</si>
  <si>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</si>
  <si>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</si>
  <si>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</si>
  <si>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</si>
  <si>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</si>
  <si>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</si>
  <si>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</si>
  <si>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</si>
  <si>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</si>
  <si>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</si>
  <si>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</si>
  <si>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</si>
  <si>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</si>
  <si>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</si>
  <si>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</si>
  <si>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</si>
  <si>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</si>
  <si>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</si>
  <si>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</si>
  <si>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</si>
  <si>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</si>
  <si>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</si>
  <si>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</si>
  <si>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</si>
  <si>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</si>
  <si>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</si>
  <si>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</si>
  <si>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</si>
  <si>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</si>
  <si>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</si>
  <si>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</si>
  <si>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</si>
  <si>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</si>
  <si>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</si>
  <si>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</si>
  <si>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</si>
  <si>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</si>
  <si>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</si>
  <si>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</si>
  <si>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</si>
  <si>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</si>
  <si>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</si>
  <si>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</si>
  <si>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</si>
  <si>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</si>
  <si>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</si>
  <si>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</si>
  <si>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</si>
  <si>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</si>
  <si>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</si>
  <si>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</si>
  <si>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</si>
  <si>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</si>
  <si>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</si>
  <si>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</si>
  <si>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</si>
  <si>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</si>
  <si>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</si>
  <si>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</si>
  <si>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</si>
  <si>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</si>
  <si>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</si>
  <si>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</si>
  <si>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</si>
  <si>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</si>
  <si>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</si>
  <si>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</si>
  <si>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</si>
  <si>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</si>
  <si>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</si>
  <si>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</si>
  <si>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</si>
  <si>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</si>
  <si>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</si>
  <si>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</si>
  <si>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</si>
  <si>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</si>
  <si>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</si>
  <si>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</si>
  <si>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</si>
  <si>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</si>
  <si>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</si>
  <si>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</si>
  <si>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</si>
  <si>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</si>
  <si>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</si>
  <si>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</si>
  <si>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</si>
  <si>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</si>
  <si>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</si>
  <si>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</si>
  <si>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</si>
  <si>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</si>
  <si>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</si>
  <si>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</si>
  <si>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</si>
  <si>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</si>
  <si>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</si>
  <si>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</si>
  <si>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</si>
  <si>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</si>
  <si>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</si>
  <si>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</si>
  <si>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</si>
  <si>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</si>
  <si>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</si>
  <si>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</si>
  <si>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</si>
  <si>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</si>
  <si>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</si>
  <si>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</si>
  <si>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</si>
  <si>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</si>
  <si>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</si>
  <si>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</si>
  <si>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</si>
  <si>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</si>
  <si>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</si>
  <si>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</si>
  <si>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</si>
  <si>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</si>
  <si>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</si>
  <si>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</si>
  <si>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</si>
  <si>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</si>
  <si>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</si>
  <si>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</si>
  <si>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</si>
  <si>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</si>
  <si>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</si>
  <si>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</si>
  <si>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</si>
  <si>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</si>
  <si>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</si>
  <si>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</si>
  <si>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</si>
  <si>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</si>
  <si>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</si>
  <si>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</si>
  <si>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</si>
  <si>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</si>
  <si>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</si>
  <si>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</si>
  <si>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</si>
  <si>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</si>
  <si>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</si>
  <si>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</si>
  <si>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</si>
  <si>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</si>
  <si>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</si>
  <si>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</si>
  <si>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</si>
  <si>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</si>
  <si>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</si>
  <si>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</si>
  <si>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</si>
  <si>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</si>
  <si>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</si>
  <si>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</si>
  <si>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</si>
  <si>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</si>
  <si>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</si>
  <si>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</si>
  <si>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</si>
  <si>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</si>
  <si>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</si>
  <si>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</si>
  <si>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</si>
  <si>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</si>
  <si>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</si>
  <si>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</si>
  <si>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</si>
  <si>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</si>
  <si>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</si>
  <si>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</si>
  <si>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</si>
  <si>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</si>
  <si>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</si>
  <si>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</si>
  <si>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</si>
  <si>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</si>
  <si>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</si>
  <si>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</si>
  <si>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</si>
  <si>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</si>
  <si>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</si>
  <si>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</si>
  <si>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</si>
  <si>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</si>
  <si>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</si>
  <si>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</si>
  <si>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</si>
  <si>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</si>
  <si>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</si>
  <si>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</si>
  <si>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</si>
  <si>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</si>
  <si>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</si>
  <si>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</si>
  <si>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</si>
  <si>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</si>
  <si>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</si>
  <si>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</si>
  <si>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</si>
  <si>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</si>
  <si>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</si>
  <si>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</si>
  <si>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</si>
  <si>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</si>
  <si>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</si>
  <si>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</si>
  <si>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</si>
  <si>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</si>
  <si>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</si>
  <si>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</si>
  <si>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</si>
  <si>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</si>
  <si>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</si>
  <si>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</si>
  <si>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</si>
  <si>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</si>
  <si>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</si>
  <si>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</si>
  <si>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</si>
  <si>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</si>
  <si>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</si>
  <si>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</si>
  <si>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</si>
  <si>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</si>
  <si>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</si>
  <si>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</si>
  <si>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</si>
  <si>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</si>
  <si>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</si>
  <si>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</si>
  <si>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</si>
  <si>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</si>
  <si>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</si>
  <si>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</si>
  <si>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</si>
  <si>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</si>
  <si>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</si>
  <si>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</si>
  <si>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</si>
  <si>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</si>
  <si>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</si>
  <si>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</si>
  <si>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</si>
  <si>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</si>
  <si>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</si>
  <si>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</si>
  <si>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</si>
  <si>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</si>
  <si>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</si>
  <si>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</si>
  <si>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</si>
  <si>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</si>
  <si>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</si>
  <si>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</si>
  <si>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</si>
  <si>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</si>
  <si>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</si>
  <si>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</si>
  <si>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</si>
  <si>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</si>
  <si>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</si>
  <si>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</si>
  <si>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</si>
  <si>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</si>
  <si>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</si>
  <si>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</si>
  <si>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</si>
  <si>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</si>
  <si>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</si>
  <si>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</si>
  <si>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</si>
  <si>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</si>
  <si>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</si>
  <si>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</si>
  <si>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</si>
  <si>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</si>
  <si>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</si>
  <si>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</si>
  <si>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</si>
  <si>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</si>
  <si>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</si>
  <si>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</si>
  <si>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</si>
  <si>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</si>
  <si>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</si>
  <si>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</si>
  <si>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</si>
  <si>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</si>
  <si>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</si>
  <si>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</si>
  <si>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</si>
  <si>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</si>
  <si>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</si>
  <si>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</si>
  <si>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</si>
  <si>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</si>
  <si>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</si>
  <si>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</si>
  <si>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</si>
  <si>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</si>
  <si>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</si>
  <si>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</si>
  <si>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</si>
  <si>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</si>
  <si>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</si>
  <si>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</si>
  <si>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</si>
  <si>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</si>
  <si>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</si>
  <si>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</si>
  <si>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</si>
  <si>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</si>
  <si>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</si>
  <si>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</si>
  <si>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</si>
  <si>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</si>
  <si>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</si>
  <si>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</si>
  <si>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</si>
  <si>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</si>
  <si>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</si>
  <si>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</si>
  <si>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</si>
  <si>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</si>
  <si>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</si>
  <si>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</si>
  <si>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</si>
  <si>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</si>
  <si>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</si>
  <si>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</si>
  <si>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</si>
  <si>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</si>
  <si>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</si>
  <si>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</si>
  <si>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</si>
  <si>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</si>
  <si>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</si>
  <si>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</si>
  <si>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</si>
  <si>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</si>
  <si>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</si>
  <si>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</si>
  <si>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</si>
  <si>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</si>
  <si>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</si>
  <si>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</si>
  <si>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</si>
  <si>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</si>
  <si>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</si>
  <si>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</si>
  <si>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</si>
  <si>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</si>
  <si>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</si>
  <si>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</si>
  <si>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</si>
  <si>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</si>
  <si>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</si>
  <si>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</si>
  <si>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</si>
  <si>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</si>
  <si>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</si>
  <si>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</si>
  <si>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</si>
  <si>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</si>
  <si>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</si>
  <si>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</si>
  <si>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</si>
  <si>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</si>
  <si>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</si>
  <si>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</si>
  <si>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</si>
  <si>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</si>
  <si>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</si>
  <si>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</si>
  <si>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</si>
  <si>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</si>
  <si>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</si>
  <si>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</si>
  <si>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</si>
  <si>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</si>
  <si>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</si>
  <si>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</si>
  <si>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</si>
  <si>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</si>
  <si>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</si>
  <si>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</si>
  <si>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</si>
  <si>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</si>
  <si>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</si>
  <si>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</si>
  <si>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</si>
  <si>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</si>
  <si>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</si>
  <si>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</si>
  <si>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</si>
  <si>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</si>
  <si>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</si>
  <si>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</si>
  <si>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</si>
  <si>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</si>
  <si>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</si>
  <si>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</si>
  <si>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</si>
  <si>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</si>
  <si>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</si>
  <si>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</si>
  <si>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</si>
  <si>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</si>
  <si>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</si>
  <si>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</si>
  <si>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</si>
  <si>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</si>
  <si>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</si>
  <si>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</si>
  <si>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</si>
  <si>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</si>
  <si>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</si>
  <si>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</si>
  <si>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</si>
  <si>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</si>
  <si>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</si>
  <si>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</si>
  <si>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</si>
  <si>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</si>
  <si>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</si>
  <si>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</si>
  <si>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</si>
  <si>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</si>
  <si>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</si>
  <si>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</si>
  <si>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</si>
  <si>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</si>
  <si>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</si>
  <si>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</si>
  <si>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</si>
  <si>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</si>
  <si>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</si>
  <si>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</si>
  <si>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</si>
  <si>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</si>
  <si>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</si>
  <si>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</si>
  <si>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</si>
  <si>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</si>
  <si>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</si>
  <si>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</si>
  <si>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</si>
  <si>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</si>
  <si>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</si>
  <si>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</si>
  <si>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</si>
  <si>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</si>
  <si>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</si>
  <si>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</si>
  <si>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</si>
  <si>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</si>
  <si>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</si>
  <si>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</si>
  <si>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</si>
  <si>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</si>
  <si>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</si>
  <si>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</si>
  <si>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</si>
  <si>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</si>
  <si>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</si>
  <si>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</si>
  <si>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</si>
  <si>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</si>
  <si>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</si>
  <si>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</si>
  <si>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</si>
  <si>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</si>
  <si>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</si>
  <si>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</si>
  <si>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</si>
  <si>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</si>
  <si>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</si>
  <si>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</si>
  <si>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</si>
  <si>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</si>
  <si>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</si>
  <si>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</si>
  <si>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</si>
  <si>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</si>
  <si>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</si>
  <si>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</si>
  <si>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</si>
  <si>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</si>
  <si>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</si>
  <si>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</si>
  <si>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</si>
  <si>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</si>
  <si>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</si>
  <si>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</si>
  <si>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</si>
  <si>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</si>
  <si>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</si>
  <si>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</si>
  <si>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</si>
  <si>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</si>
  <si>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</si>
  <si>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</si>
  <si>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</si>
  <si>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</si>
  <si>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</si>
  <si>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</si>
  <si>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</si>
  <si>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</si>
  <si>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</si>
  <si>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</si>
  <si>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</si>
  <si>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</si>
  <si>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</si>
  <si>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</si>
  <si>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</si>
  <si>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</si>
  <si>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</si>
  <si>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</si>
  <si>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</si>
  <si>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</si>
  <si>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</si>
  <si>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</si>
  <si>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</si>
  <si>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</si>
  <si>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</si>
  <si>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</si>
  <si>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</si>
  <si>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</si>
  <si>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</si>
  <si>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</si>
  <si>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</si>
  <si>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</si>
  <si>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</si>
  <si>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</si>
  <si>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</si>
  <si>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</si>
  <si>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</si>
  <si>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</si>
  <si>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</si>
  <si>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</si>
  <si>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</si>
  <si>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</si>
  <si>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</si>
  <si>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</si>
  <si>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</si>
  <si>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</si>
  <si>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</si>
  <si>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</si>
  <si>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</si>
  <si>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</si>
  <si>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</si>
  <si>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</si>
  <si>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</si>
  <si>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</si>
  <si>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</si>
  <si>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</si>
  <si>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</si>
  <si>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</si>
  <si>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</si>
  <si>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</si>
  <si>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</si>
  <si>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</si>
  <si>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</si>
  <si>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</si>
  <si>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</si>
  <si>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</si>
  <si>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</si>
  <si>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</si>
  <si>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</si>
  <si>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</si>
  <si>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</si>
  <si>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</si>
  <si>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</si>
  <si>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</si>
  <si>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</si>
  <si>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</si>
  <si>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</si>
  <si>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</si>
  <si>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</si>
  <si>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</si>
  <si>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</si>
  <si>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</si>
  <si>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</si>
  <si>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</si>
  <si>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</si>
  <si>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</si>
  <si>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</si>
  <si>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</si>
  <si>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</si>
  <si>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</si>
  <si>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</si>
  <si>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</si>
  <si>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</si>
  <si>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</si>
  <si>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</si>
  <si>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</si>
  <si>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</si>
  <si>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</si>
  <si>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</si>
  <si>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</si>
  <si>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</si>
  <si>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</si>
  <si>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</si>
  <si>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</si>
  <si>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</si>
  <si>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</si>
  <si>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</si>
  <si>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</si>
  <si>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</si>
  <si>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</si>
  <si>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</si>
  <si>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</si>
  <si>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</si>
  <si>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</si>
  <si>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</si>
  <si>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</si>
  <si>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</si>
  <si>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</si>
  <si>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</si>
  <si>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</si>
  <si>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</si>
  <si>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</si>
  <si>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</si>
  <si>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</si>
  <si>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</si>
  <si>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</si>
  <si>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</si>
  <si>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</si>
  <si>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</si>
  <si>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</si>
  <si>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</si>
  <si>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</si>
  <si>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</si>
  <si>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</si>
  <si>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</si>
  <si>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</si>
  <si>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</si>
  <si>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</si>
  <si>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</si>
  <si>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</si>
  <si>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</si>
  <si>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</si>
  <si>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</si>
  <si>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</si>
  <si>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</si>
  <si>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</si>
  <si>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</si>
  <si>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</si>
  <si>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</si>
  <si>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</si>
  <si>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</si>
  <si>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</si>
  <si>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</si>
  <si>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</si>
  <si>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</si>
  <si>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</si>
  <si>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</si>
  <si>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</si>
  <si>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</si>
  <si>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</si>
  <si>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</si>
  <si>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</si>
  <si>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</si>
  <si>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</si>
  <si>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</si>
  <si>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</si>
  <si>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</si>
  <si>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</si>
  <si>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</si>
  <si>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</si>
  <si>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</si>
  <si>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</si>
  <si>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</si>
  <si>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</si>
  <si>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</si>
  <si>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</si>
  <si>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</si>
  <si>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</si>
  <si>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</si>
  <si>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</si>
  <si>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</si>
  <si>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</si>
  <si>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</si>
  <si>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</si>
  <si>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</si>
  <si>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</si>
  <si>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</si>
  <si>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</si>
  <si>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</si>
  <si>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</si>
  <si>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</si>
  <si>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</si>
  <si>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</si>
  <si>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</si>
  <si>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</si>
  <si>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</si>
  <si>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</si>
  <si>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</si>
  <si>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</si>
  <si>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</si>
  <si>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</si>
  <si>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</si>
  <si>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</si>
  <si>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</si>
  <si>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</si>
  <si>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</si>
  <si>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</si>
  <si>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</si>
  <si>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</si>
  <si>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</si>
  <si>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</si>
  <si>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</si>
  <si>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</si>
  <si>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</si>
  <si>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</si>
  <si>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</si>
  <si>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</si>
  <si>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</si>
  <si>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</si>
  <si>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</si>
  <si>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</si>
  <si>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</si>
  <si>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</si>
  <si>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</si>
  <si>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</si>
  <si>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</si>
  <si>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</si>
  <si>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</si>
  <si>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</si>
  <si>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</si>
  <si>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</si>
  <si>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</si>
  <si>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</si>
  <si>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</si>
  <si>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</si>
  <si>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</si>
  <si>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</si>
  <si>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</si>
  <si>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</si>
  <si>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</si>
  <si>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</si>
  <si>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</si>
  <si>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</si>
  <si>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</si>
  <si>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</si>
  <si>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</si>
  <si>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</si>
  <si>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</si>
  <si>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</si>
  <si>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</si>
  <si>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</si>
  <si>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</si>
  <si>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</si>
  <si>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</si>
  <si>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</si>
  <si>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</si>
  <si>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</si>
  <si>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</si>
  <si>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</si>
  <si>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</si>
  <si>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</si>
  <si>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</si>
  <si>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</si>
  <si>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</si>
  <si>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</si>
  <si>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</si>
  <si>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</si>
  <si>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</si>
  <si>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</si>
  <si>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</si>
  <si>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</si>
  <si>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</si>
  <si>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</si>
  <si>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</si>
  <si>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</si>
  <si>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</si>
  <si>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</si>
  <si>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</si>
  <si>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</si>
  <si>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</si>
  <si>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</si>
  <si>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</si>
  <si>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</si>
  <si>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</si>
  <si>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</si>
  <si>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</si>
  <si>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</si>
  <si>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</si>
  <si>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</si>
  <si>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</si>
  <si>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</si>
  <si>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</si>
  <si>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</si>
  <si>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</si>
  <si>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</si>
  <si>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</si>
  <si>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</si>
  <si>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</si>
  <si>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</si>
  <si>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</si>
  <si>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</si>
  <si>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</si>
  <si>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</si>
  <si>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</si>
  <si>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</si>
  <si>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</si>
  <si>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</si>
  <si>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</si>
  <si>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</si>
  <si>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</si>
  <si>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</si>
  <si>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</si>
  <si>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</si>
  <si>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</si>
  <si>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</si>
  <si>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</si>
  <si>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</si>
  <si>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</si>
  <si>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</si>
  <si>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</si>
  <si>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</si>
  <si>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</si>
  <si>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</si>
  <si>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</si>
  <si>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</si>
  <si>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</si>
  <si>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</si>
  <si>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</si>
  <si>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</si>
  <si>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</si>
  <si>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</si>
  <si>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</si>
  <si>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</si>
  <si>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</si>
  <si>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</si>
  <si>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</si>
  <si>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</si>
  <si>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</si>
  <si>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</si>
  <si>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</si>
  <si>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</si>
  <si>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</si>
  <si>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</si>
  <si>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</si>
  <si>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</si>
  <si>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</si>
  <si>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</si>
  <si>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</si>
  <si>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</si>
  <si>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</si>
  <si>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</si>
  <si>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</si>
  <si>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</si>
  <si>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</si>
  <si>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</si>
  <si>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</si>
  <si>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</si>
  <si>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</si>
  <si>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</si>
  <si>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</si>
  <si>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</si>
  <si>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</si>
  <si>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</si>
  <si>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</si>
  <si>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</si>
  <si>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</si>
  <si>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</si>
  <si>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</si>
  <si>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</si>
  <si>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</si>
  <si>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</si>
  <si>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</si>
  <si>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</si>
  <si>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</si>
  <si>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</si>
  <si>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</si>
  <si>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</si>
  <si>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</si>
  <si>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</si>
  <si>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</si>
  <si>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</si>
  <si>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</si>
  <si>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</si>
  <si>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</si>
  <si>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</si>
  <si>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</si>
  <si>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</si>
  <si>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</si>
  <si>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</si>
  <si>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</si>
  <si>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</si>
  <si>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</si>
  <si>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</si>
  <si>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</si>
  <si>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</si>
  <si>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</si>
  <si>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</si>
  <si>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</si>
  <si>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</si>
  <si>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</si>
  <si>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</si>
  <si>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</si>
  <si>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</si>
  <si>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</si>
  <si>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</si>
  <si>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</si>
  <si>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</si>
  <si>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</si>
  <si>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</si>
  <si>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</si>
  <si>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</si>
  <si>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</si>
  <si>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</si>
  <si>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</si>
  <si>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</si>
  <si>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</si>
  <si>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</si>
  <si>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</si>
  <si>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</si>
  <si>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</si>
  <si>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</si>
  <si>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</si>
  <si>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</si>
  <si>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</si>
  <si>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</si>
  <si>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</si>
  <si>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</si>
  <si>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</si>
  <si>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</si>
  <si>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</si>
  <si>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</si>
  <si>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</si>
  <si>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</si>
  <si>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</si>
  <si>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</si>
  <si>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</si>
  <si>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</si>
  <si>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</si>
  <si>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</si>
  <si>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</si>
  <si>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</si>
  <si>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</si>
  <si>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</si>
  <si>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</si>
  <si>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</si>
  <si>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</si>
  <si>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</si>
  <si>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</si>
  <si>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</si>
  <si>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</si>
  <si>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</si>
  <si>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</si>
  <si>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</si>
  <si>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</si>
  <si>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</si>
  <si>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</si>
  <si>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</si>
  <si>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</si>
  <si>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</si>
  <si>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</si>
  <si>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</si>
  <si>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</si>
  <si>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</si>
  <si>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</si>
  <si>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</si>
  <si>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</si>
  <si>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</si>
  <si>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</si>
  <si>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</si>
  <si>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</si>
  <si>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</si>
  <si>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</si>
  <si>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</si>
  <si>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</si>
  <si>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</si>
  <si>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</si>
  <si>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</si>
  <si>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</si>
  <si>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</si>
  <si>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</si>
  <si>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</si>
  <si>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</si>
  <si>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</si>
  <si>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</si>
  <si>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</si>
  <si>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</si>
  <si>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</si>
  <si>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</si>
  <si>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</si>
  <si>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</si>
  <si>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</si>
  <si>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</si>
  <si>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</si>
  <si>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</si>
  <si>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</si>
  <si>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</si>
  <si>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</si>
  <si>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</si>
  <si>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</si>
  <si>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</si>
  <si>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</si>
  <si>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</si>
  <si>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</si>
  <si>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</si>
  <si>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</si>
  <si>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</si>
  <si>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</si>
  <si>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</si>
  <si>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</si>
  <si>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</si>
  <si>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</si>
  <si>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</si>
  <si>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</si>
  <si>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</si>
  <si>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</si>
  <si>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</si>
  <si>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</si>
  <si>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</si>
  <si>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</si>
  <si>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</si>
  <si>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</si>
  <si>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</si>
  <si>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</si>
  <si>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</si>
  <si>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</si>
  <si>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</si>
  <si>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</si>
  <si>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</si>
  <si>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</si>
  <si>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</si>
  <si>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</si>
  <si>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</si>
  <si>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</si>
  <si>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</si>
  <si>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</si>
  <si>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</si>
  <si>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</si>
  <si>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</si>
  <si>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</si>
  <si>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</si>
  <si>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</si>
  <si>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</si>
  <si>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</si>
  <si>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</si>
  <si>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</si>
  <si>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</si>
  <si>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</si>
  <si>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</si>
  <si>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</si>
  <si>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</si>
  <si>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</si>
  <si>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</si>
  <si>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</si>
  <si>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</si>
  <si>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</si>
  <si>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</si>
  <si>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</si>
  <si>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</si>
  <si>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</si>
  <si>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</si>
  <si>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</si>
  <si>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</si>
  <si>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</si>
  <si>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</si>
  <si>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</si>
  <si>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</si>
  <si>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</si>
  <si>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</si>
  <si>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</si>
  <si>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</si>
  <si>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</si>
  <si>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</si>
  <si>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</si>
  <si>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</si>
  <si>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</si>
  <si>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</si>
  <si>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</si>
  <si>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</si>
  <si>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</si>
  <si>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</si>
  <si>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</si>
  <si>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</si>
  <si>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</si>
  <si>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</si>
  <si>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</si>
  <si>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</si>
  <si>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</si>
  <si>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</si>
  <si>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</si>
  <si>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</si>
  <si>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</si>
  <si>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</si>
  <si>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</si>
  <si>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</si>
  <si>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</si>
  <si>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</si>
  <si>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</si>
  <si>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</si>
  <si>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</si>
  <si>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</si>
  <si>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</si>
  <si>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</si>
  <si>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</si>
  <si>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</si>
  <si>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</si>
  <si>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</si>
  <si>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</si>
  <si>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</si>
  <si>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</si>
  <si>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</si>
  <si>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</si>
  <si>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</si>
  <si>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</si>
  <si>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</si>
  <si>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</si>
  <si>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</si>
  <si>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</si>
  <si>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</si>
  <si>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</si>
  <si>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</si>
  <si>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</si>
  <si>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</si>
  <si>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</si>
  <si>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</si>
  <si>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</si>
  <si>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</si>
  <si>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</si>
  <si>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</si>
  <si>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</si>
  <si>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</si>
  <si>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</si>
  <si>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</si>
  <si>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</si>
  <si>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</si>
  <si>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</si>
  <si>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</si>
  <si>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</si>
  <si>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</si>
  <si>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</si>
  <si>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</si>
  <si>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</si>
  <si>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</si>
  <si>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</si>
  <si>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</si>
  <si>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</si>
  <si>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</si>
  <si>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</si>
  <si>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</si>
  <si>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</si>
  <si>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</si>
  <si>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</si>
  <si>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</si>
  <si>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</si>
  <si>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</si>
  <si>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</si>
  <si>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</si>
  <si>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</si>
  <si>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</si>
  <si>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</si>
  <si>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</si>
  <si>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</si>
  <si>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</si>
  <si>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</si>
  <si>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</si>
  <si>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</si>
  <si>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</si>
  <si>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</si>
  <si>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</si>
  <si>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</si>
  <si>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</si>
  <si>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</si>
  <si>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</si>
  <si>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</si>
  <si>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</si>
  <si>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</si>
  <si>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</si>
  <si>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</si>
  <si>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</si>
  <si>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</si>
  <si>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</si>
  <si>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</si>
  <si>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</si>
  <si>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</si>
  <si>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</si>
  <si>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</si>
  <si>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</si>
  <si>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</si>
  <si>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</si>
  <si>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</si>
  <si>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</si>
  <si>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</si>
  <si>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</si>
  <si>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</si>
  <si>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</si>
  <si>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</si>
  <si>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</si>
  <si>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</si>
  <si>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</si>
  <si>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</si>
  <si>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</si>
  <si>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</si>
  <si>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</si>
  <si>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</si>
  <si>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</si>
  <si>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</si>
  <si>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</si>
  <si>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</si>
  <si>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</si>
  <si>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</si>
  <si>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</si>
  <si>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</si>
  <si>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</si>
  <si>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</si>
  <si>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</si>
  <si>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</si>
  <si>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</si>
  <si>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</si>
  <si>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</si>
  <si>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</si>
  <si>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</si>
  <si>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</si>
  <si>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</si>
  <si>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</si>
  <si>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</si>
  <si>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</si>
  <si>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</si>
  <si>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</si>
  <si>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</si>
  <si>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</si>
  <si>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</si>
  <si>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</si>
  <si>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</si>
  <si>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</si>
  <si>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</si>
  <si>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</si>
  <si>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</si>
  <si>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</si>
  <si>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</si>
  <si>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</si>
  <si>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</si>
  <si>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</si>
  <si>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</si>
  <si>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</si>
  <si>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</si>
  <si>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</si>
  <si>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</si>
  <si>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</si>
  <si>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</si>
  <si>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</si>
  <si>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</si>
  <si>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</si>
  <si>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</si>
  <si>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</si>
  <si>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</si>
  <si>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</si>
  <si>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</si>
  <si>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</si>
  <si>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</si>
  <si>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</si>
  <si>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</si>
  <si>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</si>
  <si>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</si>
  <si>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</si>
  <si>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</si>
  <si>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</si>
  <si>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</si>
  <si>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</si>
  <si>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</si>
  <si>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</si>
  <si>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</si>
  <si>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</si>
  <si>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</si>
  <si>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</si>
  <si>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</si>
  <si>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</si>
  <si>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</si>
  <si>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</si>
  <si>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</si>
  <si>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</si>
  <si>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</si>
  <si>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</si>
  <si>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</si>
  <si>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</si>
  <si>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</si>
  <si>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</si>
  <si>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</si>
  <si>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</si>
  <si>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</si>
  <si>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</si>
  <si>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</si>
  <si>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</si>
  <si>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</si>
  <si>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</si>
  <si>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</si>
  <si>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</si>
  <si>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</si>
  <si>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</si>
  <si>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</si>
  <si>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</si>
  <si>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</si>
  <si>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</si>
  <si>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</si>
  <si>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</si>
  <si>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</si>
  <si>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</si>
  <si>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</si>
  <si>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</si>
  <si>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</si>
  <si>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</si>
  <si>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</si>
  <si>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</si>
  <si>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</si>
  <si>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</si>
  <si>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</si>
  <si>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</si>
  <si>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</si>
  <si>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</si>
  <si>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</si>
  <si>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</si>
  <si>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</si>
  <si>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</si>
  <si>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</si>
  <si>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</si>
  <si>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</si>
  <si>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</si>
  <si>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</si>
  <si>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</si>
  <si>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</si>
  <si>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</si>
  <si>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</si>
  <si>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</si>
  <si>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</si>
  <si>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</si>
  <si>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</si>
  <si>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</si>
  <si>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</si>
  <si>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</si>
  <si>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</si>
  <si>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</si>
  <si>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</si>
  <si>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</si>
  <si>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</si>
  <si>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</si>
  <si>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</si>
  <si>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</si>
  <si>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</si>
  <si>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</si>
  <si>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</si>
  <si>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</si>
  <si>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</si>
  <si>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</si>
  <si>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</si>
  <si>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</si>
  <si>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</si>
  <si>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</si>
  <si>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</si>
  <si>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</si>
  <si>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</si>
  <si>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</si>
  <si>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</si>
  <si>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</si>
  <si>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</si>
  <si>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</si>
  <si>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</si>
  <si>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</si>
  <si>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</si>
  <si>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</si>
  <si>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</si>
  <si>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</si>
  <si>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</si>
  <si>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</si>
  <si>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</si>
  <si>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</si>
  <si>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</si>
  <si>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</si>
  <si>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</si>
  <si>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</si>
  <si>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</si>
  <si>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</si>
  <si>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</si>
  <si>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</si>
  <si>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</si>
  <si>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</si>
  <si>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</si>
  <si>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</si>
  <si>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</si>
  <si>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</si>
  <si>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</si>
  <si>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</si>
  <si>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</si>
  <si>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</si>
  <si>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</si>
  <si>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</si>
  <si>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</si>
  <si>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</si>
  <si>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</si>
  <si>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</si>
  <si>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</si>
  <si>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</si>
  <si>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</si>
  <si>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</si>
  <si>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</si>
  <si>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</si>
  <si>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</si>
  <si>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</si>
  <si>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</si>
  <si>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</si>
  <si>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</si>
  <si>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</si>
  <si>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</si>
  <si>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</si>
  <si>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</si>
  <si>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</si>
  <si>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</si>
  <si>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</si>
  <si>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</si>
  <si>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</si>
  <si>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</si>
  <si>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</si>
  <si>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</si>
  <si>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</si>
  <si>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</si>
  <si>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</si>
  <si>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</si>
  <si>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</si>
  <si>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</si>
  <si>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</si>
  <si>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</si>
  <si>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</si>
  <si>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</si>
  <si>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</si>
  <si>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</si>
  <si>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</si>
  <si>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</si>
  <si>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</si>
  <si>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</si>
  <si>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</si>
  <si>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</si>
  <si>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</si>
  <si>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</si>
  <si>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</si>
  <si>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</si>
  <si>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</si>
  <si>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</si>
  <si>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</si>
  <si>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</si>
  <si>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</si>
  <si>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</si>
  <si>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</si>
  <si>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</si>
  <si>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</si>
  <si>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</si>
  <si>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</si>
  <si>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</si>
  <si>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</si>
  <si>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</si>
  <si>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</si>
  <si>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</si>
  <si>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</si>
  <si>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</si>
  <si>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</si>
  <si>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</si>
  <si>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</si>
  <si>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</si>
  <si>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</si>
  <si>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</si>
  <si>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</si>
  <si>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</si>
  <si>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</si>
  <si>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</si>
  <si>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</si>
  <si>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</si>
  <si>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</si>
  <si>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</si>
  <si>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</si>
  <si>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</si>
  <si>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</si>
  <si>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</si>
  <si>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</si>
  <si>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</si>
  <si>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</si>
  <si>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</si>
  <si>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</si>
  <si>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</si>
  <si>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</si>
  <si>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</si>
  <si>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</si>
  <si>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</si>
  <si>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</si>
  <si>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</si>
  <si>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</si>
  <si>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</si>
  <si>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</si>
  <si>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</si>
  <si>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</si>
  <si>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</si>
  <si>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</si>
  <si>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</si>
  <si>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</si>
  <si>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</si>
  <si>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</si>
  <si>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</si>
  <si>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</si>
  <si>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</si>
  <si>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</si>
  <si>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</si>
  <si>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</si>
  <si>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</si>
  <si>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</si>
  <si>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</si>
  <si>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</si>
  <si>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</si>
  <si>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</si>
  <si>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</si>
  <si>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</si>
  <si>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</si>
  <si>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</si>
  <si>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</si>
  <si>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</si>
  <si>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</si>
  <si>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</si>
  <si>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</si>
  <si>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</si>
  <si>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</si>
  <si>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</si>
  <si>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</si>
  <si>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</si>
  <si>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</si>
  <si>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</si>
  <si>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</si>
  <si>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</si>
  <si>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</si>
  <si>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</si>
  <si>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</si>
  <si>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</si>
  <si>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</si>
  <si>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</si>
  <si>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</si>
  <si>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</si>
  <si>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</si>
  <si>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</si>
  <si>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</si>
  <si>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</si>
  <si>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</si>
  <si>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</si>
  <si>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</si>
  <si>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</si>
  <si>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</si>
  <si>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</si>
  <si>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</si>
  <si>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</si>
  <si>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</si>
  <si>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</si>
  <si>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</si>
  <si>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</si>
  <si>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</si>
  <si>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</si>
  <si>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</si>
  <si>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</si>
  <si>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</si>
  <si>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</si>
  <si>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</si>
  <si>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</si>
  <si>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</si>
  <si>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</si>
  <si>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</si>
  <si>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</si>
  <si>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</si>
  <si>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</si>
  <si>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</si>
  <si>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</si>
  <si>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</si>
  <si>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</si>
  <si>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</si>
  <si>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</si>
  <si>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</si>
  <si>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</si>
  <si>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</si>
  <si>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</si>
  <si>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</si>
  <si>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</si>
  <si>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</si>
  <si>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</si>
  <si>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</si>
  <si>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</si>
  <si>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</si>
  <si>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</si>
  <si>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</si>
  <si>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</si>
  <si>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</si>
  <si>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</si>
  <si>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</si>
  <si>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</si>
  <si>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</si>
  <si>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</si>
  <si>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</si>
  <si>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</si>
  <si>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</si>
  <si>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</si>
  <si>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</si>
  <si>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</si>
  <si>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</si>
  <si>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</si>
  <si>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</si>
  <si>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</si>
  <si>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</si>
  <si>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</si>
  <si>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</si>
  <si>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</si>
  <si>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</si>
  <si>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</si>
  <si>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</si>
  <si>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</si>
  <si>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</si>
  <si>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</si>
  <si>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</si>
  <si>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</si>
  <si>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</si>
  <si>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</si>
  <si>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</si>
  <si>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</si>
  <si>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</si>
  <si>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</si>
  <si>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</si>
  <si>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</si>
  <si>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</si>
  <si>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</si>
  <si>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</si>
  <si>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</si>
  <si>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</si>
  <si>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</si>
  <si>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</si>
  <si>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</si>
  <si>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</si>
  <si>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</si>
  <si>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</si>
  <si>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</si>
  <si>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</si>
  <si>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</si>
  <si>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</si>
  <si>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</si>
  <si>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</si>
  <si>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</si>
  <si>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</si>
  <si>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</si>
  <si>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</si>
  <si>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</si>
  <si>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</si>
  <si>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</si>
  <si>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</si>
  <si>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</si>
  <si>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</si>
  <si>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</si>
  <si>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</si>
  <si>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</si>
  <si>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</si>
  <si>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</si>
  <si>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</si>
  <si>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</si>
  <si>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</si>
  <si>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</si>
  <si>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</si>
  <si>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</si>
  <si>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</si>
  <si>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</si>
  <si>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</si>
  <si>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</si>
  <si>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</si>
  <si>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</si>
  <si>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</si>
  <si>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</si>
  <si>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</si>
  <si>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</si>
  <si>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</si>
  <si>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</si>
  <si>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</si>
  <si>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</si>
  <si>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</si>
  <si>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</si>
  <si>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</si>
  <si>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</si>
  <si>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</si>
  <si>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</si>
  <si>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</si>
  <si>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</si>
  <si>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</si>
  <si>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</si>
  <si>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</si>
  <si>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</si>
  <si>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</si>
  <si>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</si>
  <si>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</si>
  <si>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</si>
  <si>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</si>
  <si>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</si>
  <si>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</si>
  <si>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</si>
  <si>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</si>
  <si>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</si>
  <si>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</si>
  <si>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</si>
  <si>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</si>
  <si>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</si>
  <si>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</si>
  <si>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</si>
  <si>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</si>
  <si>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</si>
  <si>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</si>
  <si>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</si>
  <si>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</si>
  <si>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</si>
  <si>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</si>
  <si>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</si>
  <si>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</si>
  <si>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</si>
  <si>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</si>
  <si>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</si>
  <si>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</si>
  <si>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</si>
  <si>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</si>
  <si>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</si>
  <si>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</si>
  <si>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</si>
  <si>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</si>
  <si>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</si>
  <si>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</si>
  <si>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</si>
  <si>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</si>
  <si>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</si>
  <si>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</si>
  <si>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</si>
  <si>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</si>
  <si>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</si>
  <si>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</si>
  <si>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</si>
  <si>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</si>
  <si>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</si>
  <si>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</si>
  <si>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</si>
  <si>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</si>
  <si>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</si>
  <si>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</si>
  <si>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</si>
  <si>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</si>
  <si>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</si>
  <si>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</si>
  <si>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</si>
  <si>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</si>
  <si>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</si>
  <si>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</si>
  <si>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</si>
  <si>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</si>
  <si>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</si>
  <si>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</si>
  <si>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</si>
  <si>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</si>
  <si>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</si>
  <si>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</si>
  <si>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</si>
  <si>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</si>
  <si>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</si>
  <si>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</si>
  <si>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</si>
  <si>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</si>
  <si>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</si>
  <si>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</si>
  <si>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</si>
  <si>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</si>
  <si>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</si>
  <si>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</si>
  <si>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</si>
  <si>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</si>
  <si>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</si>
  <si>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</si>
  <si>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</si>
  <si>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</si>
  <si>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</si>
  <si>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</si>
  <si>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</si>
  <si>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</si>
  <si>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</si>
  <si>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</si>
  <si>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</si>
  <si>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</si>
  <si>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</si>
  <si>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</si>
  <si>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</si>
  <si>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</si>
  <si>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</si>
  <si>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</si>
  <si>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</si>
  <si>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</si>
  <si>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</si>
  <si>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</si>
  <si>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</si>
  <si>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</si>
  <si>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</si>
  <si>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</si>
  <si>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</si>
  <si>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</si>
  <si>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</si>
  <si>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</si>
  <si>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</si>
  <si>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</si>
  <si>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</si>
  <si>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</si>
  <si>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</si>
  <si>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</si>
  <si>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</si>
  <si>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</si>
  <si>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</si>
  <si>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</si>
  <si>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</si>
  <si>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</si>
  <si>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</si>
  <si>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</si>
  <si>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</si>
  <si>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</si>
  <si>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</si>
  <si>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</si>
  <si>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</si>
  <si>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</si>
  <si>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</si>
  <si>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</si>
  <si>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</si>
  <si>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</si>
  <si>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</si>
  <si>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</si>
  <si>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</si>
  <si>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</si>
  <si>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</si>
  <si>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</si>
  <si>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</si>
  <si>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</si>
  <si>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</si>
  <si>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</si>
  <si>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</si>
  <si>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</si>
  <si>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</si>
  <si>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</si>
  <si>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</si>
  <si>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</si>
  <si>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</si>
  <si>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</si>
  <si>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</si>
  <si>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</si>
  <si>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</si>
  <si>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</si>
  <si>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</si>
  <si>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</si>
  <si>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</si>
  <si>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</si>
  <si>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</si>
  <si>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</si>
  <si>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</si>
  <si>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</si>
  <si>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</si>
  <si>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</si>
  <si>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</si>
  <si>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</si>
  <si>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</si>
  <si>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</si>
  <si>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</si>
  <si>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</si>
  <si>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</si>
  <si>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</si>
  <si>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</si>
  <si>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</si>
  <si>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</si>
  <si>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</si>
  <si>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</si>
  <si>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</si>
  <si>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</si>
  <si>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</si>
  <si>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</si>
  <si>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</si>
  <si>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</si>
  <si>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</si>
  <si>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</si>
  <si>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</si>
  <si>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</si>
  <si>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</si>
  <si>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</si>
  <si>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</si>
  <si>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</si>
  <si>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</si>
  <si>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</si>
  <si>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</si>
  <si>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</si>
  <si>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</si>
  <si>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</si>
  <si>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</si>
  <si>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</si>
  <si>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</si>
  <si>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</si>
  <si>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</si>
  <si>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</si>
  <si>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</si>
  <si>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</si>
  <si>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</si>
  <si>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</si>
  <si>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</si>
  <si>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</si>
  <si>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</si>
  <si>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</si>
  <si>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</si>
  <si>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</si>
  <si>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</si>
  <si>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</si>
  <si>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</si>
  <si>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</si>
  <si>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</si>
  <si>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</si>
  <si>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</si>
  <si>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</si>
  <si>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</si>
  <si>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</si>
  <si>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</si>
  <si>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</si>
  <si>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</si>
  <si>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</si>
  <si>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</si>
  <si>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</si>
  <si>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</si>
  <si>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</si>
  <si>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</si>
  <si>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</si>
  <si>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</si>
  <si>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</si>
  <si>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</si>
  <si>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</si>
  <si>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</si>
  <si>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</si>
  <si>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</si>
  <si>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</si>
  <si>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</si>
  <si>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</si>
  <si>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</si>
  <si>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</si>
  <si>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</si>
  <si>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</si>
  <si>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</si>
  <si>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</si>
  <si>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</si>
  <si>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</si>
  <si>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</si>
  <si>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</si>
  <si>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</si>
  <si>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</si>
  <si>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</si>
  <si>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</si>
  <si>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</si>
  <si>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</si>
  <si>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</si>
  <si>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</si>
  <si>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</si>
  <si>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</si>
  <si>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</si>
  <si>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</si>
  <si>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</si>
  <si>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</si>
  <si>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</si>
  <si>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</si>
  <si>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</si>
  <si>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</si>
  <si>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</si>
  <si>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</si>
  <si>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</si>
  <si>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</si>
  <si>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</si>
  <si>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</si>
  <si>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</si>
  <si>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</si>
  <si>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</si>
  <si>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</si>
  <si>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</si>
  <si>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</si>
  <si>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</si>
  <si>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</si>
  <si>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</si>
  <si>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</si>
  <si>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</si>
  <si>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</si>
  <si>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</si>
  <si>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</si>
  <si>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</si>
  <si>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</si>
  <si>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</si>
  <si>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</si>
  <si>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</si>
  <si>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</si>
  <si>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</si>
  <si>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</si>
  <si>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</si>
  <si>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</si>
  <si>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</si>
  <si>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</si>
  <si>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</si>
  <si>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</si>
  <si>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</si>
  <si>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</si>
  <si>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</si>
  <si>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</si>
  <si>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</si>
  <si>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</si>
  <si>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</si>
  <si>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</si>
  <si>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</si>
  <si>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</si>
  <si>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</si>
  <si>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</si>
  <si>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</si>
  <si>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</si>
  <si>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</si>
  <si>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</si>
  <si>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</si>
  <si>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</si>
  <si>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</si>
  <si>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</si>
  <si>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</si>
  <si>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</si>
  <si>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</si>
  <si>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</si>
  <si>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</si>
  <si>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</si>
  <si>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</si>
  <si>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</si>
  <si>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</si>
  <si>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</si>
  <si>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</si>
  <si>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</si>
  <si>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</si>
  <si>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</si>
  <si>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</si>
  <si>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</si>
  <si>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</si>
  <si>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</si>
  <si>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</si>
  <si>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</si>
  <si>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</si>
  <si>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</si>
  <si>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</si>
  <si>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</si>
  <si>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</si>
  <si>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</si>
  <si>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</si>
  <si>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</si>
  <si>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</si>
  <si>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</si>
  <si>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</si>
  <si>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</si>
  <si>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</si>
  <si>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</si>
  <si>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</si>
  <si>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</si>
  <si>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</si>
  <si>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</si>
  <si>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</si>
  <si>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</si>
  <si>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</si>
  <si>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</si>
  <si>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</si>
  <si>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</si>
  <si>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</si>
  <si>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</si>
  <si>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</si>
  <si>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</si>
  <si>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</si>
  <si>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</si>
  <si>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</si>
  <si>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</si>
  <si>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</si>
  <si>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</si>
  <si>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</si>
  <si>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</si>
  <si>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</si>
  <si>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</si>
  <si>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</si>
  <si>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</si>
  <si>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</si>
  <si>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</si>
  <si>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</si>
  <si>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</si>
  <si>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</si>
  <si>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</si>
  <si>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</si>
  <si>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</si>
  <si>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</si>
  <si>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</si>
  <si>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</si>
  <si>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</si>
  <si>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</si>
  <si>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</si>
  <si>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</si>
  <si>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</si>
  <si>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</si>
  <si>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</si>
  <si>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</si>
  <si>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</si>
  <si>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</si>
  <si>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</si>
  <si>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</si>
  <si>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</si>
  <si>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</si>
  <si>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</si>
  <si>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</si>
  <si>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</si>
  <si>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</si>
  <si>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</si>
  <si>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</si>
  <si>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</si>
  <si>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</si>
  <si>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</si>
  <si>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</si>
  <si>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</si>
  <si>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</si>
  <si>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</si>
  <si>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</si>
  <si>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</si>
  <si>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</si>
  <si>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</si>
  <si>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</si>
  <si>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</si>
  <si>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</si>
  <si>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</si>
  <si>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</si>
  <si>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</si>
  <si>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</si>
  <si>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</si>
  <si>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</si>
  <si>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</si>
  <si>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</si>
  <si>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</si>
  <si>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</si>
  <si>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</si>
  <si>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</si>
  <si>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</si>
  <si>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</si>
  <si>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</si>
  <si>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</si>
  <si>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</si>
  <si>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</si>
  <si>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</si>
  <si>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</si>
  <si>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</si>
  <si>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</si>
  <si>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</si>
  <si>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</si>
  <si>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</si>
  <si>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</si>
  <si>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</si>
  <si>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</si>
  <si>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</si>
  <si>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</si>
  <si>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</si>
  <si>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</si>
  <si>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</si>
  <si>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</si>
  <si>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</si>
  <si>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</si>
  <si>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</si>
  <si>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</si>
  <si>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</si>
  <si>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</si>
  <si>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</si>
  <si>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</si>
  <si>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</si>
  <si>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</si>
  <si>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</si>
  <si>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</si>
  <si>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</si>
  <si>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</si>
  <si>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</si>
  <si>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</si>
  <si>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</si>
  <si>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</si>
  <si>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</si>
  <si>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</si>
  <si>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</si>
  <si>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</si>
  <si>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</si>
  <si>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</si>
  <si>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</si>
  <si>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</si>
  <si>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</si>
  <si>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</si>
  <si>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</si>
  <si>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</si>
  <si>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</si>
  <si>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</si>
  <si>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</si>
  <si>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</si>
  <si>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</si>
  <si>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</si>
  <si>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</si>
  <si>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</si>
  <si>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</si>
  <si>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</si>
  <si>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</si>
  <si>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</si>
  <si>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</si>
  <si>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</si>
  <si>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</si>
  <si>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</si>
  <si>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</si>
  <si>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</si>
  <si>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</si>
  <si>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</si>
  <si>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</si>
  <si>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</si>
  <si>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</si>
  <si>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</si>
  <si>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</si>
  <si>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</si>
  <si>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</si>
  <si>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</si>
  <si>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</si>
  <si>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</si>
  <si>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</si>
  <si>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</si>
  <si>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</si>
  <si>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</si>
  <si>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</si>
  <si>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</si>
  <si>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</si>
  <si>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</si>
  <si>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</si>
  <si>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</si>
  <si>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</si>
  <si>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</si>
  <si>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</si>
  <si>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</si>
  <si>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</si>
  <si>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</si>
  <si>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</si>
  <si>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</si>
  <si>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</si>
  <si>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</si>
  <si>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</si>
  <si>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</si>
  <si>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</si>
  <si>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</si>
  <si>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</si>
  <si>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</si>
  <si>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</si>
  <si>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</si>
  <si>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</si>
  <si>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</si>
  <si>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</si>
  <si>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</si>
  <si>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</si>
  <si>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</si>
  <si>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</si>
  <si>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</si>
  <si>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</si>
  <si>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</si>
  <si>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</si>
  <si>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</si>
  <si>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</si>
  <si>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</si>
  <si>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</si>
  <si>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</si>
  <si>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</si>
  <si>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</si>
  <si>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</si>
  <si>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</si>
  <si>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</si>
  <si>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</si>
  <si>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</si>
  <si>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</si>
  <si>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</si>
  <si>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</si>
  <si>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</si>
  <si>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</si>
  <si>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</si>
  <si>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</si>
  <si>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</si>
  <si>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</si>
  <si>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</si>
  <si>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</si>
  <si>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</si>
  <si>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</si>
  <si>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</si>
  <si>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</si>
  <si>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</si>
  <si>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</si>
  <si>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</si>
  <si>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</si>
  <si>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</si>
  <si>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</si>
  <si>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</si>
  <si>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</si>
  <si>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</si>
  <si>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</si>
  <si>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</si>
  <si>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</si>
  <si>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</si>
  <si>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</si>
  <si>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</si>
  <si>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</si>
  <si>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</si>
  <si>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</si>
  <si>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</si>
  <si>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</si>
  <si>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</si>
  <si>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</si>
  <si>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</si>
  <si>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</si>
  <si>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</si>
  <si>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</si>
  <si>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</si>
  <si>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</si>
  <si>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</si>
  <si>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</si>
  <si>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</si>
  <si>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</si>
  <si>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</si>
  <si>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</si>
  <si>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</si>
  <si>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</si>
  <si>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</si>
  <si>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</si>
  <si>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</si>
  <si>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</si>
  <si>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</si>
  <si>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</si>
  <si>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</si>
  <si>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</si>
  <si>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</si>
  <si>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</si>
  <si>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</si>
  <si>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</si>
  <si>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</si>
  <si>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</si>
  <si>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</si>
  <si>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</si>
  <si>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</si>
  <si>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</si>
  <si>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</si>
  <si>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</si>
  <si>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</si>
  <si>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</si>
  <si>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</si>
  <si>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</si>
  <si>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</si>
  <si>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</si>
  <si>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</si>
  <si>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</si>
  <si>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</si>
  <si>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</si>
  <si>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</si>
  <si>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</si>
  <si>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</si>
  <si>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</si>
  <si>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</si>
  <si>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</si>
  <si>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</si>
  <si>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</si>
  <si>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</si>
  <si>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</si>
  <si>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</si>
  <si>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</si>
  <si>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</si>
  <si>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</si>
  <si>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</si>
  <si>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</si>
  <si>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</si>
  <si>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</si>
  <si>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</si>
  <si>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</si>
  <si>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</si>
  <si>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</si>
  <si>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</si>
  <si>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</si>
  <si>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</si>
  <si>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</si>
  <si>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</si>
  <si>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</si>
  <si>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</si>
  <si>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</si>
  <si>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</si>
  <si>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</si>
  <si>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</si>
  <si>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</si>
  <si>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</si>
  <si>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</si>
  <si>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</si>
  <si>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</si>
  <si>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</si>
  <si>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</si>
  <si>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</si>
  <si>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</si>
  <si>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</si>
  <si>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</si>
  <si>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</si>
  <si>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</si>
  <si>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</si>
  <si>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</si>
  <si>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</si>
  <si>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</si>
  <si>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</si>
  <si>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</si>
  <si>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</si>
  <si>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</si>
  <si>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</si>
  <si>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</si>
  <si>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</si>
  <si>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</si>
  <si>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</si>
  <si>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</si>
  <si>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</si>
  <si>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</si>
  <si>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</si>
  <si>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</si>
  <si>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</si>
  <si>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</si>
  <si>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</si>
  <si>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</si>
  <si>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</si>
  <si>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</si>
  <si>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</si>
  <si>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</si>
  <si>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</si>
  <si>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</si>
  <si>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</si>
  <si>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</si>
  <si>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</si>
  <si>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</si>
  <si>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</si>
  <si>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</si>
  <si>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</si>
  <si>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</si>
  <si>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</si>
  <si>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</si>
  <si>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</si>
  <si>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</si>
  <si>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</si>
  <si>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</si>
  <si>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</si>
  <si>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</si>
  <si>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</si>
  <si>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</si>
  <si>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</si>
  <si>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</si>
  <si>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</si>
  <si>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</si>
  <si>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</si>
  <si>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</si>
  <si>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</si>
  <si>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</si>
  <si>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</si>
  <si>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</si>
  <si>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</si>
  <si>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</si>
  <si>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</si>
  <si>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</si>
  <si>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</si>
  <si>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</si>
  <si>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</si>
  <si>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</si>
  <si>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</si>
  <si>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</si>
  <si>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</si>
  <si>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</si>
  <si>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</si>
  <si>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</si>
  <si>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</si>
  <si>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</si>
  <si>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</si>
  <si>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</si>
  <si>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</si>
  <si>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</si>
  <si>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</si>
  <si>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</si>
  <si>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</si>
  <si>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</si>
  <si>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</si>
  <si>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</si>
  <si>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</si>
  <si>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</si>
  <si>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</si>
  <si>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</si>
  <si>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</si>
  <si>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</si>
  <si>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</si>
  <si>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</si>
  <si>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</si>
  <si>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</si>
  <si>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</si>
  <si>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</si>
  <si>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</si>
  <si>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</si>
  <si>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</si>
  <si>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</si>
  <si>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</si>
  <si>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</si>
  <si>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</si>
  <si>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</si>
  <si>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</si>
  <si>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</si>
  <si>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</si>
  <si>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</si>
  <si>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</si>
  <si>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</si>
  <si>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</si>
  <si>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</si>
  <si>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</si>
  <si>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</si>
  <si>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</si>
  <si>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</si>
  <si>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</si>
  <si>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</si>
  <si>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</si>
  <si>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</si>
  <si>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</si>
  <si>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</si>
  <si>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</si>
  <si>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</si>
  <si>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</si>
  <si>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</si>
  <si>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</si>
  <si>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</si>
  <si>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</si>
  <si>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</si>
  <si>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</si>
  <si>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</si>
  <si>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</si>
  <si>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</si>
  <si>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</si>
  <si>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</si>
  <si>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</si>
  <si>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</si>
  <si>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</si>
  <si>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</si>
  <si>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</si>
  <si>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</si>
  <si>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</si>
  <si>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</si>
  <si>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</si>
  <si>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</si>
  <si>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</si>
  <si>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</si>
  <si>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</si>
  <si>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</si>
  <si>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</si>
  <si>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</si>
  <si>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</si>
  <si>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</si>
  <si>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</si>
  <si>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</si>
  <si>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</si>
  <si>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</si>
  <si>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</si>
  <si>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</si>
  <si>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</si>
  <si>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</si>
  <si>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</si>
  <si>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</si>
  <si>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</si>
  <si>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</si>
  <si>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</si>
  <si>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</si>
  <si>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</si>
  <si>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</si>
  <si>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</si>
  <si>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</si>
  <si>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</si>
  <si>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</si>
  <si>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</si>
  <si>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</si>
  <si>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</si>
  <si>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</si>
  <si>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</si>
  <si>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</si>
  <si>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</si>
  <si>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</si>
  <si>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</si>
  <si>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</si>
  <si>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</si>
  <si>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</si>
  <si>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</si>
  <si>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</si>
  <si>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</si>
  <si>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</si>
  <si>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</si>
  <si>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</si>
  <si>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</si>
  <si>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</si>
  <si>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</si>
  <si>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</si>
  <si>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</si>
  <si>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</si>
  <si>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</si>
  <si>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</si>
  <si>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</si>
  <si>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</si>
  <si>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</si>
  <si>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</si>
  <si>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</si>
  <si>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</si>
  <si>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</si>
  <si>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</si>
  <si>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</si>
  <si>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</si>
  <si>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</si>
  <si>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</si>
  <si>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</si>
  <si>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</si>
  <si>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</si>
  <si>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</si>
  <si>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</si>
  <si>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</si>
  <si>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</si>
  <si>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</si>
  <si>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</si>
  <si>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</si>
  <si>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</si>
  <si>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</si>
  <si>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</si>
  <si>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</si>
  <si>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</si>
  <si>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</si>
  <si>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</si>
  <si>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</si>
  <si>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</si>
  <si>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</si>
  <si>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</si>
  <si>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</si>
  <si>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</si>
  <si>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</si>
  <si>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</si>
  <si>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</si>
  <si>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</si>
  <si>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</si>
  <si>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</si>
  <si>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</si>
  <si>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</si>
  <si>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</si>
  <si>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</si>
  <si>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</si>
  <si>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</si>
  <si>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</si>
  <si>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</si>
  <si>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</si>
  <si>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</si>
  <si>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</si>
  <si>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</si>
  <si>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</si>
  <si>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</si>
  <si>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</si>
  <si>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</si>
  <si>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</si>
  <si>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</si>
  <si>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</si>
  <si>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</si>
  <si>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</si>
  <si>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</si>
  <si>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</si>
  <si>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</si>
  <si>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</si>
  <si>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</si>
  <si>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</si>
  <si>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</si>
  <si>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</si>
  <si>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</si>
  <si>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</si>
  <si>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</si>
  <si>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</si>
  <si>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</si>
  <si>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</si>
  <si>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</si>
  <si>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</si>
  <si>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</si>
  <si>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</si>
  <si>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</si>
  <si>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</si>
  <si>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</si>
  <si>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</si>
  <si>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</si>
  <si>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</si>
  <si>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</si>
  <si>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</si>
  <si>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</si>
  <si>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</si>
  <si>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</si>
  <si>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</si>
  <si>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</si>
  <si>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</si>
  <si>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</si>
  <si>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</si>
  <si>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</si>
  <si>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</si>
  <si>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</si>
  <si>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</si>
  <si>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</si>
  <si>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</si>
  <si>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</si>
  <si>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</si>
  <si>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</si>
  <si>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</si>
  <si>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</si>
  <si>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</si>
  <si>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</si>
  <si>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</si>
  <si>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</si>
  <si>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</si>
  <si>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</si>
  <si>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</si>
  <si>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</si>
  <si>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</si>
  <si>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</si>
  <si>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</si>
  <si>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</si>
  <si>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</si>
  <si>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</si>
  <si>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</si>
  <si>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</si>
  <si>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</si>
  <si>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</si>
  <si>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</si>
  <si>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</si>
  <si>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</si>
  <si>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</si>
  <si>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</si>
  <si>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</si>
  <si>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</si>
  <si>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</si>
  <si>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</si>
  <si>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</si>
  <si>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</si>
  <si>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</si>
  <si>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</si>
  <si>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</si>
  <si>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</si>
  <si>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</si>
  <si>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</si>
  <si>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</si>
  <si>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</si>
  <si>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</si>
  <si>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</si>
  <si>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</si>
  <si>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</si>
  <si>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</si>
  <si>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</si>
  <si>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</si>
  <si>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</si>
  <si>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</si>
  <si>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</si>
  <si>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</si>
  <si>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</si>
  <si>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</si>
  <si>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</si>
  <si>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</si>
  <si>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</si>
  <si>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</si>
  <si>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</si>
  <si>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</si>
  <si>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</si>
  <si>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</si>
  <si>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</si>
  <si>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</si>
  <si>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</si>
  <si>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</si>
  <si>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</si>
  <si>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</si>
  <si>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</si>
  <si>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</si>
  <si>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</si>
  <si>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</si>
  <si>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</si>
  <si>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</si>
  <si>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</si>
  <si>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</si>
  <si>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</si>
  <si>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</si>
  <si>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</si>
  <si>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</si>
  <si>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</si>
  <si>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</si>
  <si>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</si>
  <si>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</si>
  <si>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</si>
  <si>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</si>
  <si>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</si>
  <si>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</si>
  <si>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</si>
  <si>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</si>
  <si>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</si>
  <si>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</si>
  <si>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</si>
  <si>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</si>
  <si>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</si>
  <si>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</si>
  <si>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</si>
  <si>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</si>
  <si>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</si>
  <si>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</si>
  <si>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</si>
  <si>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</si>
  <si>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</si>
  <si>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</si>
  <si>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</si>
  <si>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</si>
  <si>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</si>
  <si>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</si>
  <si>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</si>
  <si>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</si>
  <si>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</si>
  <si>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</si>
  <si>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</si>
  <si>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</si>
  <si>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</si>
  <si>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</si>
  <si>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</si>
  <si>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</si>
  <si>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</si>
  <si>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</si>
  <si>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</si>
  <si>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</si>
  <si>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</si>
  <si>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</si>
  <si>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</si>
  <si>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</si>
  <si>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</si>
  <si>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</si>
  <si>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</si>
  <si>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</si>
  <si>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</si>
  <si>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</si>
  <si>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</si>
  <si>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</si>
  <si>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</si>
  <si>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</si>
  <si>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</si>
  <si>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</si>
  <si>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</si>
  <si>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</si>
  <si>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</si>
  <si>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</si>
  <si>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</si>
  <si>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</si>
  <si>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</si>
  <si>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</si>
  <si>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</si>
  <si>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</si>
  <si>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</si>
  <si>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</si>
  <si>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</si>
  <si>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</si>
  <si>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</si>
  <si>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</si>
  <si>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</si>
  <si>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</si>
  <si>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</si>
  <si>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</si>
  <si>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</si>
  <si>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</si>
  <si>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</si>
  <si>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</si>
  <si>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</si>
  <si>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</si>
  <si>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</si>
  <si>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</si>
  <si>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</si>
  <si>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</si>
  <si>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</si>
  <si>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</si>
  <si>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</si>
  <si>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</si>
  <si>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</si>
  <si>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</si>
  <si>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</si>
  <si>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</si>
  <si>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</si>
  <si>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</si>
  <si>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</si>
  <si>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</si>
  <si>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</si>
  <si>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</si>
  <si>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</si>
  <si>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</si>
  <si>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</si>
  <si>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</si>
  <si>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</si>
  <si>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</si>
  <si>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</si>
  <si>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</si>
  <si>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</si>
  <si>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</si>
  <si>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</si>
  <si>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</si>
  <si>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</si>
  <si>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</si>
  <si>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</si>
  <si>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</si>
  <si>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</si>
  <si>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</si>
  <si>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</si>
  <si>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</si>
  <si>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</si>
  <si>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</si>
  <si>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</si>
  <si>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</si>
  <si>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</si>
  <si>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</si>
  <si>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</si>
  <si>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</si>
  <si>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</si>
  <si>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</si>
  <si>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</si>
  <si>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</si>
  <si>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</si>
  <si>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</si>
  <si>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</si>
  <si>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</si>
  <si>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</si>
  <si>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</si>
  <si>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</si>
  <si>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</si>
  <si>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</si>
  <si>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</si>
  <si>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</si>
  <si>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</si>
  <si>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</si>
  <si>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</si>
  <si>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</si>
  <si>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</si>
  <si>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</si>
  <si>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</si>
  <si>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</si>
  <si>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</si>
  <si>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</si>
  <si>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</si>
  <si>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</si>
  <si>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</si>
  <si>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</si>
  <si>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</si>
  <si>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</si>
  <si>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</si>
  <si>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</si>
  <si>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</si>
  <si>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</si>
  <si>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</si>
  <si>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</si>
  <si>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</si>
  <si>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</si>
  <si>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</si>
  <si>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</si>
  <si>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</si>
  <si>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</si>
  <si>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</si>
  <si>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</si>
  <si>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</si>
  <si>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</si>
  <si>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</si>
  <si>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</si>
  <si>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</si>
  <si>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</si>
  <si>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</si>
  <si>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</si>
  <si>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</si>
  <si>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</si>
  <si>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</si>
  <si>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</si>
  <si>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</si>
  <si>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</si>
  <si>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</si>
  <si>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</si>
  <si>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</si>
  <si>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</si>
  <si>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</si>
  <si>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</si>
  <si>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</si>
  <si>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</si>
  <si>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</si>
  <si>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</si>
  <si>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</si>
  <si>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</si>
  <si>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</si>
  <si>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</si>
  <si>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</si>
  <si>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</si>
  <si>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</si>
  <si>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</si>
  <si>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</si>
  <si>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</si>
  <si>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</si>
  <si>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</si>
  <si>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</si>
  <si>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</si>
  <si>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</si>
  <si>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</si>
  <si>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</si>
  <si>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</si>
  <si>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</si>
  <si>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</si>
  <si>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</si>
  <si>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</si>
  <si>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</si>
  <si>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</si>
  <si>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</si>
  <si>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</si>
  <si>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</si>
  <si>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</si>
  <si>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</si>
  <si>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</si>
  <si>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</si>
  <si>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</si>
  <si>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</si>
  <si>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</si>
  <si>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</si>
  <si>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</si>
  <si>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</si>
  <si>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</si>
  <si>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</si>
  <si>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</si>
  <si>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</si>
  <si>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</si>
  <si>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</si>
  <si>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</si>
  <si>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</si>
  <si>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</si>
  <si>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</si>
  <si>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</si>
  <si>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</si>
  <si>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</si>
  <si>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</si>
  <si>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</si>
  <si>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</si>
  <si>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</si>
  <si>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</si>
  <si>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</si>
  <si>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</si>
  <si>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</si>
  <si>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</si>
  <si>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</si>
  <si>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</si>
  <si>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</si>
  <si>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</si>
  <si>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</si>
  <si>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</si>
  <si>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</si>
  <si>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</si>
  <si>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</si>
  <si>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</si>
  <si>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</si>
  <si>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</si>
  <si>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</si>
  <si>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</si>
  <si>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</si>
  <si>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</si>
  <si>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</si>
  <si>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</si>
  <si>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</si>
  <si>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</si>
  <si>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</si>
  <si>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</si>
  <si>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</si>
  <si>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</si>
  <si>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</si>
  <si>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</si>
  <si>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</si>
  <si>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</si>
  <si>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</si>
  <si>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</si>
  <si>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</si>
  <si>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</si>
  <si>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</si>
  <si>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</si>
  <si>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</si>
  <si>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</si>
  <si>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</si>
  <si>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</si>
  <si>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</si>
  <si>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</si>
  <si>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</si>
  <si>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</si>
  <si>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</si>
  <si>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</si>
  <si>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</si>
  <si>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</si>
  <si>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</si>
  <si>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</si>
  <si>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</si>
  <si>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</si>
  <si>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</si>
  <si>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</si>
  <si>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</si>
  <si>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</si>
  <si>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</si>
  <si>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</si>
  <si>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</si>
  <si>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</si>
  <si>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</si>
  <si>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</si>
  <si>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</si>
  <si>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</si>
  <si>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</si>
  <si>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</si>
  <si>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</si>
  <si>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</si>
  <si>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</si>
  <si>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</si>
  <si>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</si>
  <si>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</si>
  <si>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</si>
  <si>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</si>
  <si>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</si>
  <si>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</si>
  <si>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</si>
  <si>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</si>
  <si>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</si>
  <si>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</si>
  <si>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</si>
  <si>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</si>
  <si>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</si>
  <si>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</si>
  <si>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</si>
  <si>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</si>
  <si>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</si>
  <si>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</si>
  <si>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</si>
  <si>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</si>
  <si>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</si>
  <si>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</si>
  <si>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</si>
  <si>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</si>
  <si>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</si>
  <si>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</si>
  <si>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</si>
  <si>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</si>
  <si>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</si>
  <si>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</si>
  <si>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</si>
  <si>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</si>
  <si>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</si>
  <si>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</si>
  <si>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</si>
  <si>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</si>
  <si>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</si>
  <si>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</si>
  <si>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</si>
  <si>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</si>
  <si>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</si>
  <si>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</si>
  <si>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</si>
  <si>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</si>
  <si>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</si>
  <si>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</si>
  <si>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</si>
  <si>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</si>
  <si>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</si>
  <si>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</si>
  <si>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</si>
  <si>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</si>
  <si>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</si>
  <si>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</si>
  <si>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</si>
  <si>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</si>
  <si>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</si>
  <si>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</si>
  <si>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</si>
  <si>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</si>
  <si>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</si>
  <si>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</si>
  <si>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</si>
  <si>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</si>
  <si>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</si>
  <si>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</si>
  <si>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</si>
  <si>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</si>
  <si>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</si>
  <si>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</si>
  <si>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</si>
  <si>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</si>
  <si>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</si>
  <si>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</si>
  <si>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</si>
  <si>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</si>
  <si>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</si>
  <si>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</si>
  <si>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</si>
  <si>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</si>
  <si>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</si>
  <si>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</si>
  <si>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</si>
  <si>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</si>
  <si>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</si>
  <si>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</si>
  <si>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</si>
  <si>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</si>
  <si>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</si>
  <si>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</si>
  <si>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</si>
  <si>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</si>
  <si>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</si>
  <si>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</si>
  <si>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</si>
  <si>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</si>
  <si>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</si>
  <si>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</si>
  <si>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</si>
  <si>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</si>
  <si>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</si>
  <si>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</si>
  <si>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</si>
  <si>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</si>
  <si>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</si>
  <si>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</si>
  <si>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</si>
  <si>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</si>
  <si>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</si>
  <si>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</si>
  <si>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</si>
  <si>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</si>
  <si>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</si>
  <si>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</si>
  <si>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</si>
  <si>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</si>
  <si>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</si>
  <si>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</si>
  <si>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</si>
  <si>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</si>
  <si>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</si>
  <si>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</si>
  <si>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</si>
  <si>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</si>
  <si>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</si>
  <si>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</si>
  <si>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</si>
  <si>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</si>
  <si>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</si>
  <si>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</si>
  <si>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</si>
  <si>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</si>
  <si>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</si>
  <si>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</si>
  <si>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</si>
  <si>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</si>
  <si>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</si>
  <si>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</si>
  <si>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</si>
  <si>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</si>
  <si>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</si>
  <si>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</si>
  <si>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</si>
  <si>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</si>
  <si>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</si>
  <si>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</si>
  <si>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</si>
  <si>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</si>
  <si>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</si>
  <si>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</si>
  <si>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</si>
  <si>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</si>
  <si>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</si>
  <si>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</si>
  <si>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</si>
  <si>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</si>
  <si>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</si>
  <si>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</si>
  <si>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</si>
  <si>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</si>
  <si>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</si>
  <si>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</si>
  <si>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</si>
  <si>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</si>
  <si>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</si>
  <si>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</si>
  <si>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</si>
  <si>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</si>
  <si>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</si>
  <si>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</si>
  <si>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</si>
  <si>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</si>
  <si>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</si>
  <si>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</si>
  <si>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</si>
  <si>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</si>
  <si>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</si>
  <si>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</si>
  <si>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</si>
  <si>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</si>
  <si>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</si>
  <si>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</si>
  <si>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</si>
  <si>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</si>
  <si>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</si>
  <si>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</si>
  <si>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</si>
  <si>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</si>
  <si>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</si>
  <si>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</si>
  <si>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</si>
  <si>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</si>
  <si>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</si>
  <si>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</si>
  <si>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</si>
  <si>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</si>
  <si>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</si>
  <si>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</si>
  <si>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</si>
  <si>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</si>
  <si>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</si>
  <si>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</si>
  <si>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</si>
  <si>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</si>
  <si>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</si>
  <si>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</si>
  <si>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</si>
  <si>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</si>
  <si>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</si>
  <si>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</si>
  <si>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</si>
  <si>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</si>
  <si>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</si>
  <si>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</si>
  <si>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</si>
  <si>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</si>
  <si>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</si>
  <si>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</si>
  <si>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</si>
  <si>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</si>
  <si>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</si>
  <si>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</si>
  <si>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</si>
  <si>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</si>
  <si>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</si>
  <si>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</si>
  <si>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</si>
  <si>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</si>
  <si>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</si>
  <si>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</si>
  <si>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</si>
  <si>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</si>
  <si>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</si>
  <si>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</si>
  <si>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</si>
  <si>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</si>
  <si>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</si>
  <si>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</si>
  <si>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</si>
  <si>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</si>
  <si>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</si>
  <si>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</si>
  <si>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</si>
  <si>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</si>
  <si>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</si>
  <si>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</si>
  <si>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</si>
  <si>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</si>
  <si>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</si>
  <si>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</si>
  <si>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</si>
  <si>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</si>
  <si>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</si>
  <si>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</si>
  <si>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</si>
  <si>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</si>
  <si>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</si>
  <si>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</si>
  <si>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</si>
  <si>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</si>
  <si>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</si>
  <si>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</si>
  <si>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</si>
  <si>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</si>
  <si>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</si>
  <si>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</si>
  <si>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</si>
  <si>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</si>
  <si>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</si>
  <si>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</si>
  <si>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</si>
  <si>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</si>
  <si>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</si>
  <si>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</si>
  <si>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</si>
  <si>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</si>
  <si>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</si>
  <si>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</si>
  <si>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</si>
  <si>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</si>
  <si>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</si>
  <si>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</si>
  <si>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</si>
  <si>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</si>
  <si>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</si>
  <si>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</si>
  <si>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</si>
  <si>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</si>
  <si>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</si>
  <si>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</si>
  <si>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</si>
  <si>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</si>
  <si>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</si>
  <si>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</si>
  <si>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</si>
  <si>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</si>
  <si>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</si>
  <si>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</si>
  <si>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</si>
  <si>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</si>
  <si>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</si>
  <si>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</si>
  <si>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</si>
  <si>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</si>
  <si>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</si>
  <si>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</si>
  <si>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</si>
  <si>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</si>
  <si>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</si>
  <si>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</si>
  <si>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</si>
  <si>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</si>
  <si>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</si>
  <si>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</si>
  <si>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</si>
  <si>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</si>
  <si>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</si>
  <si>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</si>
  <si>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</si>
  <si>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</si>
  <si>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</si>
  <si>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</si>
  <si>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</si>
  <si>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</si>
  <si>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</si>
  <si>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</si>
  <si>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</si>
  <si>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</si>
  <si>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</si>
  <si>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</si>
  <si>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</si>
  <si>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</si>
  <si>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</si>
  <si>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</si>
  <si>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</si>
  <si>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</si>
  <si>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</si>
  <si>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</si>
  <si>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</si>
  <si>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</si>
  <si>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</si>
  <si>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</si>
  <si>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</si>
  <si>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</si>
  <si>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</si>
  <si>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</si>
  <si>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</si>
  <si>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</si>
  <si>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</si>
  <si>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</si>
  <si>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</si>
  <si>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</si>
  <si>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</si>
  <si>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</si>
  <si>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</si>
  <si>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</si>
  <si>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</si>
  <si>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</si>
  <si>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</si>
  <si>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</si>
  <si>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</si>
  <si>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</si>
  <si>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</si>
  <si>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</si>
  <si>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</si>
  <si>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</si>
  <si>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</si>
  <si>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</si>
  <si>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</si>
  <si>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</si>
  <si>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</si>
  <si>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</si>
  <si>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</si>
  <si>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</si>
  <si>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</si>
  <si>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</si>
  <si>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</si>
  <si>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</si>
  <si>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</si>
  <si>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</si>
  <si>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</si>
  <si>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</si>
  <si>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</si>
  <si>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</si>
  <si>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</si>
  <si>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</si>
  <si>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</si>
  <si>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</si>
  <si>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</si>
  <si>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</si>
  <si>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</si>
  <si>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</si>
  <si>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</si>
  <si>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</si>
  <si>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</si>
  <si>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</si>
  <si>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</si>
  <si>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</si>
  <si>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</si>
  <si>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</si>
  <si>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</si>
  <si>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</si>
  <si>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</si>
  <si>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</si>
  <si>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</si>
  <si>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</si>
  <si>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</si>
  <si>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</si>
  <si>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</si>
  <si>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</si>
  <si>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</si>
  <si>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</si>
  <si>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</si>
  <si>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</si>
  <si>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</si>
  <si>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</si>
  <si>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</si>
  <si>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</si>
  <si>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</si>
  <si>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</si>
  <si>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</si>
  <si>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</si>
  <si>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</si>
  <si>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</si>
  <si>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</si>
  <si>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</si>
  <si>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</si>
  <si>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</si>
  <si>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</si>
  <si>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</si>
  <si>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</si>
  <si>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</si>
  <si>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</si>
  <si>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</si>
  <si>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</si>
  <si>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</si>
  <si>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</si>
  <si>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</si>
  <si>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</si>
  <si>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</si>
  <si>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</si>
  <si>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</si>
  <si>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</si>
  <si>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</si>
  <si>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</si>
  <si>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</si>
  <si>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</si>
  <si>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</si>
  <si>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</si>
  <si>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</si>
  <si>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</si>
  <si>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</si>
  <si>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</si>
  <si>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</si>
  <si>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</si>
  <si>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</si>
  <si>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</si>
  <si>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</si>
  <si>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</si>
  <si>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</si>
  <si>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</si>
  <si>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</si>
  <si>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</si>
  <si>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</si>
  <si>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</si>
  <si>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</si>
  <si>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</si>
  <si>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</si>
  <si>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</si>
  <si>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</si>
  <si>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</si>
  <si>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</si>
  <si>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</si>
  <si>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</si>
  <si>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</si>
  <si>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</si>
  <si>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</si>
  <si>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</si>
  <si>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</si>
  <si>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</si>
  <si>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</si>
  <si>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</si>
  <si>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</si>
  <si>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</si>
  <si>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</si>
  <si>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</si>
  <si>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</si>
  <si>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</si>
  <si>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</si>
  <si>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</si>
  <si>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</si>
  <si>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</si>
  <si>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</si>
  <si>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</si>
  <si>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</si>
  <si>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</si>
  <si>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</si>
  <si>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</si>
  <si>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</si>
  <si>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</si>
  <si>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</si>
  <si>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</si>
  <si>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</si>
  <si>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</si>
  <si>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</si>
  <si>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</si>
  <si>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</si>
  <si>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</si>
  <si>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</si>
  <si>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</si>
  <si>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</si>
  <si>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</si>
  <si>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</si>
  <si>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</si>
  <si>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</si>
  <si>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</si>
  <si>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</si>
  <si>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</si>
  <si>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</si>
  <si>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</si>
  <si>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</si>
  <si>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</si>
  <si>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</si>
  <si>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</si>
  <si>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</si>
  <si>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</si>
  <si>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</si>
  <si>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</si>
  <si>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</si>
  <si>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</si>
  <si>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</si>
  <si>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</si>
  <si>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</si>
  <si>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</si>
  <si>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</si>
  <si>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</si>
  <si>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</si>
  <si>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</si>
  <si>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</si>
  <si>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</si>
  <si>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</si>
  <si>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</si>
  <si>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</si>
  <si>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</si>
  <si>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</si>
  <si>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</si>
  <si>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</si>
  <si>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</si>
  <si>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</si>
  <si>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</si>
  <si>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</si>
  <si>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</si>
  <si>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</si>
  <si>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</si>
  <si>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</si>
  <si>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</si>
  <si>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</si>
  <si>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</si>
  <si>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</si>
  <si>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</si>
  <si>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</si>
  <si>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</si>
  <si>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</si>
  <si>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</si>
  <si>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</si>
  <si>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</si>
  <si>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</si>
  <si>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</si>
  <si>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</si>
  <si>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</si>
  <si>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</si>
  <si>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</si>
  <si>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</si>
  <si>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</si>
  <si>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</si>
  <si>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</si>
  <si>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</si>
  <si>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</si>
  <si>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</si>
  <si>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</si>
  <si>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</si>
  <si>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</si>
  <si>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</si>
  <si>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</si>
  <si>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</si>
  <si>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</si>
  <si>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</si>
  <si>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</si>
  <si>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</si>
  <si>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</si>
  <si>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</si>
  <si>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</si>
  <si>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</si>
  <si>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</si>
  <si>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</si>
  <si>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</si>
  <si>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</si>
  <si>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</si>
  <si>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</si>
  <si>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</si>
  <si>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</si>
  <si>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</si>
  <si>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</si>
  <si>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</si>
  <si>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</si>
  <si>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</si>
  <si>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</si>
  <si>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</si>
  <si>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</si>
  <si>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</si>
  <si>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</si>
  <si>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</si>
  <si>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</si>
  <si>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</si>
  <si>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</si>
  <si>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</si>
  <si>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</si>
  <si>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</si>
  <si>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</si>
  <si>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</si>
  <si>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</si>
  <si>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</si>
  <si>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</si>
  <si>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</si>
  <si>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</si>
  <si>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</si>
  <si>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</si>
  <si>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</si>
  <si>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</si>
  <si>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</si>
  <si>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</si>
  <si>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</si>
  <si>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</si>
  <si>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</si>
  <si>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</si>
  <si>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</si>
  <si>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</si>
  <si>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</si>
  <si>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</si>
  <si>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</si>
  <si>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</si>
  <si>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</si>
  <si>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</si>
  <si>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</si>
  <si>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</si>
  <si>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</si>
  <si>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</si>
  <si>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</si>
  <si>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</si>
  <si>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</si>
  <si>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</si>
  <si>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</si>
  <si>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</si>
  <si>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</si>
  <si>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</si>
  <si>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</si>
  <si>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</si>
  <si>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</si>
  <si>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</si>
  <si>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</si>
  <si>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</si>
  <si>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</si>
  <si>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</si>
  <si>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</si>
  <si>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</si>
  <si>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</si>
  <si>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</si>
  <si>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</si>
  <si>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</si>
  <si>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</si>
  <si>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</si>
  <si>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</si>
  <si>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</si>
  <si>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</si>
  <si>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</si>
  <si>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</si>
  <si>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</si>
  <si>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</si>
  <si>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</si>
  <si>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</si>
  <si>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</si>
  <si>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</si>
  <si>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</si>
  <si>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</si>
  <si>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</si>
  <si>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</si>
  <si>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</si>
  <si>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</si>
  <si>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</si>
  <si>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</si>
  <si>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</si>
  <si>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</si>
  <si>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</si>
  <si>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</si>
  <si>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</si>
  <si>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</si>
  <si>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</si>
  <si>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</si>
  <si>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</si>
  <si>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</si>
  <si>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</si>
  <si>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</si>
  <si>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</si>
  <si>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</si>
  <si>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</si>
  <si>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</si>
  <si>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</si>
  <si>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</si>
  <si>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</si>
  <si>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</si>
  <si>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</si>
  <si>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</si>
  <si>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</si>
  <si>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</si>
  <si>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</si>
  <si>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</si>
  <si>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</si>
  <si>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</si>
  <si>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</si>
  <si>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</si>
  <si>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</si>
  <si>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</si>
  <si>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</si>
  <si>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</si>
  <si>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</si>
  <si>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</si>
  <si>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</si>
  <si>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</si>
  <si>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</si>
  <si>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</si>
  <si>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</si>
  <si>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</si>
  <si>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</si>
  <si>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</si>
  <si>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</si>
  <si>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</si>
  <si>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</si>
  <si>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</si>
  <si>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</si>
  <si>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</si>
  <si>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</si>
  <si>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</si>
  <si>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</si>
  <si>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</si>
  <si>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</si>
  <si>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</si>
  <si>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</si>
  <si>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</si>
  <si>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</si>
  <si>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</si>
  <si>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</si>
  <si>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</si>
  <si>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</si>
  <si>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</si>
  <si>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</si>
  <si>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</si>
  <si>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</si>
  <si>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</si>
  <si>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</si>
  <si>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</si>
  <si>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</si>
  <si>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</si>
  <si>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</si>
  <si>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</si>
  <si>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</si>
  <si>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</si>
  <si>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</si>
  <si>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</si>
  <si>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</si>
  <si>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</si>
  <si>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</si>
  <si>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</si>
  <si>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</si>
  <si>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</si>
  <si>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</si>
  <si>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</si>
  <si>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</si>
  <si>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</si>
  <si>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</si>
  <si>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</si>
  <si>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</si>
  <si>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</si>
  <si>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</si>
  <si>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</si>
  <si>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</si>
  <si>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</si>
  <si>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</si>
  <si>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</si>
  <si>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</si>
  <si>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</si>
  <si>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</si>
  <si>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</si>
  <si>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</si>
  <si>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</si>
  <si>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</si>
  <si>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</si>
  <si>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</si>
  <si>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</si>
  <si>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</si>
  <si>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</si>
  <si>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</si>
  <si>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</si>
  <si>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</si>
  <si>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</si>
  <si>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</si>
  <si>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</si>
  <si>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</si>
  <si>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</si>
  <si>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</si>
  <si>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</si>
  <si>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</si>
  <si>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</si>
  <si>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</si>
  <si>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</si>
  <si>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</si>
  <si>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</si>
  <si>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</si>
  <si>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Roast Type Name</t>
  </si>
  <si>
    <t>Coffee Type Name</t>
  </si>
  <si>
    <t>2019</t>
  </si>
  <si>
    <t>2020</t>
  </si>
  <si>
    <t>2021</t>
  </si>
  <si>
    <t>2022</t>
  </si>
  <si>
    <t>янв</t>
  </si>
  <si>
    <t>фев</t>
  </si>
  <si>
    <t>мар</t>
  </si>
  <si>
    <t>апр</t>
  </si>
  <si>
    <t>май</t>
  </si>
  <si>
    <t>июн</t>
  </si>
  <si>
    <t>июл</t>
  </si>
  <si>
    <t>авг</t>
  </si>
  <si>
    <t>сен</t>
  </si>
  <si>
    <t>окт</t>
  </si>
  <si>
    <t>ноя</t>
  </si>
  <si>
    <t>дек</t>
  </si>
  <si>
    <t>Years (Order Date)</t>
  </si>
  <si>
    <t>Months (Order Date)</t>
  </si>
  <si>
    <t>Arabica</t>
  </si>
  <si>
    <t>Excelsa</t>
  </si>
  <si>
    <t>Liberica</t>
  </si>
  <si>
    <t>Robusta</t>
  </si>
  <si>
    <t>Sum of Sales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</si>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</sst>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6" formatCode="dd/mmm/yyyy"/>
    <numFmt numFmtId="170" formatCode="#.0&quot;kg&quot;"/>
    <numFmt numFmtId="171" formatCode="_-[$$-409]* #,##0.00_ ;_-[$$-409]* \-#,##0.00\ ;_-[$$-409]* &quot;-&quot;??_ ;_-@_ "/>
    <numFmt numFmtId="172" formatCode="0.0&quot; kg&quot;"/>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1" fillId="0" borderId="0" xfId="0" applyFont="1" applyAlignment="1">
      <alignment vertical="center"/>
    </xf>
    <xf numFmtId="166" fontId="1" fillId="0" borderId="0" xfId="0" applyNumberFormat="1" applyFont="1" applyAlignment="1">
      <alignment vertical="center"/>
    </xf>
    <xf numFmtId="171" fontId="0" fillId="0" borderId="0" xfId="0" applyNumberFormat="1"/>
    <xf numFmtId="0" fontId="0" fillId="0" borderId="0" xfId="0" pivotButton="1"/>
    <xf numFmtId="3" fontId="0" fillId="0" borderId="0" xfId="0" applyNumberFormat="1"/>
    <xf numFmtId="172" fontId="0" fillId="0" borderId="0" xfId="0" applyNumberFormat="1"/>
  </cellXfs>
  <cellStyles count="1">
    <cellStyle name="Normal" xfId="0" builtinId="0"/>
  </cellStyles>
  <dxfs count="16">
    <dxf>
      <numFmt numFmtId="172" formatCode="0.0&quot; kg&quot;"/>
    </dxf>
    <dxf>
      <font>
        <b/>
        <i val="0"/>
        <color theme="0"/>
        <name val="Calibri"/>
        <family val="2"/>
        <charset val="162"/>
        <scheme val="minor"/>
      </font>
    </dxf>
    <dxf>
      <font>
        <b val="0"/>
        <i val="0"/>
        <color theme="0"/>
        <name val="Calibri"/>
        <family val="2"/>
        <charset val="162"/>
        <scheme val="minor"/>
      </font>
      <fill>
        <patternFill>
          <bgColor rgb="FF3C1464"/>
        </patternFill>
      </fill>
    </dxf>
    <dxf>
      <numFmt numFmtId="0" formatCode="General"/>
    </dxf>
    <dxf>
      <font>
        <b/>
        <i val="0"/>
        <sz val="11"/>
        <color theme="0"/>
        <name val="Calibri"/>
        <family val="2"/>
        <charset val="162"/>
        <scheme val="minor"/>
      </font>
      <border>
        <left style="thin">
          <color theme="0"/>
        </left>
        <right style="thin">
          <color theme="0"/>
        </right>
        <top style="thin">
          <color theme="0"/>
        </top>
        <bottom style="thin">
          <color theme="0"/>
        </bottom>
      </border>
    </dxf>
    <dxf>
      <font>
        <b val="0"/>
        <i val="0"/>
        <sz val="11"/>
        <color theme="0"/>
        <name val="Calibri"/>
        <family val="2"/>
        <charset val="162"/>
        <scheme val="minor"/>
      </font>
      <fill>
        <patternFill patternType="solid">
          <fgColor theme="0"/>
          <bgColor rgb="FF3C1464"/>
        </patternFill>
      </fill>
      <border>
        <left style="thin">
          <color rgb="FF3C1464"/>
        </left>
        <right style="thin">
          <color rgb="FF3C1464"/>
        </right>
        <top style="thin">
          <color rgb="FF3C1464"/>
        </top>
        <bottom style="thin">
          <color rgb="FF3C1464"/>
        </bottom>
      </border>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numFmt numFmtId="171" formatCode="_-[$$-409]* #,##0.00_ ;_-[$$-409]* \-#,##0.00\ ;_-[$$-409]* &quot;-&quot;??_ ;_-@_ "/>
    </dxf>
    <dxf>
      <numFmt numFmtId="171" formatCode="_-[$$-409]* #,##0.00_ ;_-[$$-409]* \-#,##0.00\ ;_-[$$-409]* &quot;-&quot;??_ ;_-@_ "/>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6"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s>
  <tableStyles count="2" defaultTableStyle="TableStyleMedium2" defaultPivotStyle="PivotStyleMedium9">
    <tableStyle name="Purple Slicer" pivot="0" table="0" count="7" xr9:uid="{1574DD14-8712-4ADB-9826-D7788D830F37}">
      <tableStyleElement type="wholeTable" dxfId="2"/>
      <tableStyleElement type="headerRow" dxfId="1"/>
    </tableStyle>
    <tableStyle name="Purple Timeline Style" pivot="0" table="0" count="8" xr9:uid="{69D27627-8F1C-4980-9D48-A4BAEE1918F5}">
      <tableStyleElement type="wholeTable" dxfId="5"/>
      <tableStyleElement type="headerRow" dxfId="4"/>
    </tableStyle>
  </tableStyles>
  <colors>
    <mruColors>
      <color rgb="FF3C1464"/>
      <color rgb="FF93FFC4"/>
      <color rgb="FF00EE6C"/>
      <color rgb="FF005426"/>
      <color rgb="FFAD76E4"/>
      <color rgb="FFE0CBF5"/>
    </mruColors>
  </colors>
  <extLst>
    <ext xmlns:x14="http://schemas.microsoft.com/office/spreadsheetml/2009/9/main" uri="{46F421CA-312F-682f-3DD2-61675219B42D}">
      <x14:dxfs count="4">
        <dxf>
          <font>
            <b val="0"/>
            <i val="0"/>
            <strike/>
            <color theme="0" tint="-4.9989318521683403E-2"/>
            <name val="Calibri"/>
            <family val="2"/>
            <charset val="162"/>
            <scheme val="minor"/>
          </font>
          <border>
            <left style="thin">
              <color theme="0"/>
            </left>
            <right style="thin">
              <color theme="0"/>
            </right>
            <top style="thin">
              <color theme="0"/>
            </top>
            <bottom style="thin">
              <color theme="0"/>
            </bottom>
          </border>
        </dxf>
        <dxf>
          <font>
            <b val="0"/>
            <i val="0"/>
            <strike/>
            <color theme="0" tint="-4.9989318521683403E-2"/>
            <name val="Calibri"/>
            <family val="2"/>
            <charset val="162"/>
            <scheme val="minor"/>
          </font>
          <border>
            <left style="thin">
              <color theme="0"/>
            </left>
            <right style="thin">
              <color theme="0"/>
            </right>
            <top style="thin">
              <color theme="0"/>
            </top>
            <bottom style="thin">
              <color theme="0"/>
            </bottom>
          </border>
        </dxf>
        <dxf>
          <font>
            <b/>
            <i val="0"/>
            <color theme="0"/>
            <name val="Calibri"/>
            <family val="2"/>
            <charset val="162"/>
            <scheme val="minor"/>
          </font>
          <border>
            <left style="thin">
              <color theme="0"/>
            </left>
            <right style="thin">
              <color theme="0"/>
            </right>
            <top style="thin">
              <color theme="0"/>
            </top>
            <bottom style="thin">
              <color theme="0"/>
            </bottom>
          </border>
        </dxf>
        <dxf>
          <font>
            <b/>
            <i val="0"/>
            <color theme="0"/>
            <name val="Calibri"/>
            <family val="2"/>
            <charset val="162"/>
            <scheme val="minor"/>
          </font>
          <border>
            <left style="thin">
              <color theme="0"/>
            </left>
            <right style="thin">
              <color theme="0"/>
            </right>
            <top style="thin">
              <color theme="0"/>
            </top>
            <bottom style="thin">
              <color theme="0"/>
            </bottom>
          </border>
        </dxf>
      </x14:dxfs>
    </ext>
    <ext xmlns:x14="http://schemas.microsoft.com/office/spreadsheetml/2009/9/main" uri="{EB79DEF2-80B8-43e5-95BD-54CBDDF9020C}">
      <x14:slicerStyles defaultSlicerStyle="SlicerStyleLight1">
        <x14:slicerStyle name="Purple Slicer">
          <x14:slicerStyleElements>
            <x14:slicerStyleElement type="unselectedItemWithData" dxfId="1"/>
            <x14:slicerStyleElement type="unselectedItemWithNoData" dxfId="0"/>
            <x14:slicerStyleElement type="selectedItemWithData" dxfId="3"/>
            <x14:slicerStyleElement type="selectedItemWithNoData" dxfId="2"/>
          </x14:slicerStyleElements>
        </x14:slicerStyle>
      </x14:slicerStyles>
    </ext>
    <ext xmlns:x15="http://schemas.microsoft.com/office/spreadsheetml/2010/11/main" uri="{A0A4C193-F2C1-4fcb-8827-314CF55A85BB}">
      <x15:dxfs count="6">
        <dxf>
          <fill>
            <patternFill patternType="solid">
              <fgColor theme="0" tint="-0.14996795556505021"/>
              <bgColor theme="0" tint="-4.9989318521683403E-2"/>
            </patternFill>
          </fill>
        </dxf>
        <dxf>
          <fill>
            <patternFill patternType="solid">
              <fgColor theme="0"/>
              <bgColor rgb="FFAD76E4"/>
            </patternFill>
          </fill>
          <border>
            <left style="thin">
              <color theme="0"/>
            </left>
            <right style="thin">
              <color theme="0"/>
            </right>
            <top style="thin">
              <color theme="0"/>
            </top>
            <bottom style="thin">
              <color theme="0"/>
            </bottom>
          </border>
        </dxf>
        <dxf>
          <font>
            <sz val="9"/>
            <color theme="1" tint="0.499984740745262"/>
          </font>
        </dxf>
        <dxf>
          <font>
            <b/>
            <i val="0"/>
            <sz val="9"/>
            <color theme="0"/>
            <name val="Calibri"/>
            <family val="2"/>
            <charset val="162"/>
            <scheme val="minor"/>
          </font>
        </dxf>
        <dxf>
          <font>
            <b/>
            <i val="0"/>
            <sz val="9"/>
            <color theme="0"/>
            <name val="Calibri"/>
            <family val="2"/>
            <charset val="162"/>
            <scheme val="minor"/>
          </font>
        </dxf>
        <dxf>
          <font>
            <b/>
            <i val="0"/>
            <sz val="10"/>
            <color theme="0"/>
            <name val="Calibri"/>
            <family val="2"/>
            <charset val="162"/>
            <scheme val="minor"/>
          </font>
        </dxf>
      </x15:dxfs>
    </ext>
    <ext xmlns:x15="http://schemas.microsoft.com/office/spreadsheetml/2010/11/main" uri="{9260A510-F301-46a8-8635-F512D64BE5F5}">
      <x15:timelineStyles defaultTimelineStyle="TimeSlicerStyleLight1">
        <x15:timelineStyle name="Purple Timeline Style">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Dashboard.xlsx]TotalSales!TotalSales</c:name>
    <c:fmtId val="27"/>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AU"/>
              <a:t>Total</a:t>
            </a:r>
            <a:r>
              <a:rPr lang="en-AU" baseline="0"/>
              <a:t> Sales Over Time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AU"/>
        </a:p>
      </c:txPr>
    </c:title>
    <c:autoTitleDeleted val="0"/>
    <c:pivotFmts>
      <c:pivotFmt>
        <c:idx val="0"/>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rgbClr val="FFFF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TotalSales!$C$3:$C$4</c:f>
              <c:strCache>
                <c:ptCount val="1"/>
                <c:pt idx="0">
                  <c:v>Arabica</c:v>
                </c:pt>
              </c:strCache>
            </c:strRef>
          </c:tx>
          <c:spPr>
            <a:ln w="28575" cap="rnd">
              <a:solidFill>
                <a:srgbClr val="00B0F0"/>
              </a:solidFill>
              <a:round/>
            </a:ln>
            <a:effectLst/>
          </c:spPr>
          <c:marker>
            <c:symbol val="none"/>
          </c:marker>
          <c:cat>
            <c:multiLvlStrRef>
              <c:f>TotalSales!$A$5:$B$48</c:f>
              <c:multiLvlStrCache>
                <c:ptCount val="44"/>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lvl>
                <c:lvl>
                  <c:pt idx="0">
                    <c:v>2019</c:v>
                  </c:pt>
                  <c:pt idx="12">
                    <c:v>2020</c:v>
                  </c:pt>
                  <c:pt idx="24">
                    <c:v>2021</c:v>
                  </c:pt>
                  <c:pt idx="36">
                    <c:v>2022</c:v>
                  </c:pt>
                </c:lvl>
              </c:multiLvlStrCache>
            </c:multiLvlStrRef>
          </c:cat>
          <c:val>
            <c:numRef>
              <c:f>TotalSales!$C$5:$C$48</c:f>
              <c:numCache>
                <c:formatCode>#,##0</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0-1215-4F0C-BB24-4BF9110BDA25}"/>
            </c:ext>
          </c:extLst>
        </c:ser>
        <c:ser>
          <c:idx val="1"/>
          <c:order val="1"/>
          <c:tx>
            <c:strRef>
              <c:f>TotalSales!$D$3:$D$4</c:f>
              <c:strCache>
                <c:ptCount val="1"/>
                <c:pt idx="0">
                  <c:v>Excelsa</c:v>
                </c:pt>
              </c:strCache>
            </c:strRef>
          </c:tx>
          <c:spPr>
            <a:ln w="28575" cap="rnd">
              <a:solidFill>
                <a:schemeClr val="accent2">
                  <a:lumMod val="50000"/>
                </a:schemeClr>
              </a:solidFill>
              <a:round/>
            </a:ln>
            <a:effectLst/>
          </c:spPr>
          <c:marker>
            <c:symbol val="none"/>
          </c:marker>
          <c:cat>
            <c:multiLvlStrRef>
              <c:f>TotalSales!$A$5:$B$48</c:f>
              <c:multiLvlStrCache>
                <c:ptCount val="44"/>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lvl>
                <c:lvl>
                  <c:pt idx="0">
                    <c:v>2019</c:v>
                  </c:pt>
                  <c:pt idx="12">
                    <c:v>2020</c:v>
                  </c:pt>
                  <c:pt idx="24">
                    <c:v>2021</c:v>
                  </c:pt>
                  <c:pt idx="36">
                    <c:v>2022</c:v>
                  </c:pt>
                </c:lvl>
              </c:multiLvlStrCache>
            </c:multiLvlStrRef>
          </c:cat>
          <c:val>
            <c:numRef>
              <c:f>TotalSales!$D$5:$D$48</c:f>
              <c:numCache>
                <c:formatCode>#,##0</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1-1215-4F0C-BB24-4BF9110BDA25}"/>
            </c:ext>
          </c:extLst>
        </c:ser>
        <c:ser>
          <c:idx val="2"/>
          <c:order val="2"/>
          <c:tx>
            <c:strRef>
              <c:f>TotalSales!$E$3:$E$4</c:f>
              <c:strCache>
                <c:ptCount val="1"/>
                <c:pt idx="0">
                  <c:v>Liberica</c:v>
                </c:pt>
              </c:strCache>
            </c:strRef>
          </c:tx>
          <c:spPr>
            <a:ln w="28575" cap="rnd">
              <a:solidFill>
                <a:srgbClr val="FFFF00"/>
              </a:solidFill>
              <a:round/>
            </a:ln>
            <a:effectLst/>
          </c:spPr>
          <c:marker>
            <c:symbol val="none"/>
          </c:marker>
          <c:cat>
            <c:multiLvlStrRef>
              <c:f>TotalSales!$A$5:$B$48</c:f>
              <c:multiLvlStrCache>
                <c:ptCount val="44"/>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lvl>
                <c:lvl>
                  <c:pt idx="0">
                    <c:v>2019</c:v>
                  </c:pt>
                  <c:pt idx="12">
                    <c:v>2020</c:v>
                  </c:pt>
                  <c:pt idx="24">
                    <c:v>2021</c:v>
                  </c:pt>
                  <c:pt idx="36">
                    <c:v>2022</c:v>
                  </c:pt>
                </c:lvl>
              </c:multiLvlStrCache>
            </c:multiLvlStrRef>
          </c:cat>
          <c:val>
            <c:numRef>
              <c:f>TotalSales!$E$5:$E$48</c:f>
              <c:numCache>
                <c:formatCode>#,##0</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5-1215-4F0C-BB24-4BF9110BDA25}"/>
            </c:ext>
          </c:extLst>
        </c:ser>
        <c:ser>
          <c:idx val="3"/>
          <c:order val="3"/>
          <c:tx>
            <c:strRef>
              <c:f>TotalSales!$F$3:$F$4</c:f>
              <c:strCache>
                <c:ptCount val="1"/>
                <c:pt idx="0">
                  <c:v>Robusta</c:v>
                </c:pt>
              </c:strCache>
            </c:strRef>
          </c:tx>
          <c:spPr>
            <a:ln w="28575" cap="rnd">
              <a:solidFill>
                <a:srgbClr val="FF0000"/>
              </a:solidFill>
              <a:round/>
            </a:ln>
            <a:effectLst/>
          </c:spPr>
          <c:marker>
            <c:symbol val="none"/>
          </c:marker>
          <c:cat>
            <c:multiLvlStrRef>
              <c:f>TotalSales!$A$5:$B$48</c:f>
              <c:multiLvlStrCache>
                <c:ptCount val="44"/>
                <c:lvl>
                  <c:pt idx="0">
                    <c:v>янв</c:v>
                  </c:pt>
                  <c:pt idx="1">
                    <c:v>фев</c:v>
                  </c:pt>
                  <c:pt idx="2">
                    <c:v>мар</c:v>
                  </c:pt>
                  <c:pt idx="3">
                    <c:v>апр</c:v>
                  </c:pt>
                  <c:pt idx="4">
                    <c:v>май</c:v>
                  </c:pt>
                  <c:pt idx="5">
                    <c:v>июн</c:v>
                  </c:pt>
                  <c:pt idx="6">
                    <c:v>июл</c:v>
                  </c:pt>
                  <c:pt idx="7">
                    <c:v>авг</c:v>
                  </c:pt>
                  <c:pt idx="8">
                    <c:v>сен</c:v>
                  </c:pt>
                  <c:pt idx="9">
                    <c:v>окт</c:v>
                  </c:pt>
                  <c:pt idx="10">
                    <c:v>ноя</c:v>
                  </c:pt>
                  <c:pt idx="11">
                    <c:v>дек</c:v>
                  </c:pt>
                  <c:pt idx="12">
                    <c:v>янв</c:v>
                  </c:pt>
                  <c:pt idx="13">
                    <c:v>фев</c:v>
                  </c:pt>
                  <c:pt idx="14">
                    <c:v>мар</c:v>
                  </c:pt>
                  <c:pt idx="15">
                    <c:v>апр</c:v>
                  </c:pt>
                  <c:pt idx="16">
                    <c:v>май</c:v>
                  </c:pt>
                  <c:pt idx="17">
                    <c:v>июн</c:v>
                  </c:pt>
                  <c:pt idx="18">
                    <c:v>июл</c:v>
                  </c:pt>
                  <c:pt idx="19">
                    <c:v>авг</c:v>
                  </c:pt>
                  <c:pt idx="20">
                    <c:v>сен</c:v>
                  </c:pt>
                  <c:pt idx="21">
                    <c:v>окт</c:v>
                  </c:pt>
                  <c:pt idx="22">
                    <c:v>ноя</c:v>
                  </c:pt>
                  <c:pt idx="23">
                    <c:v>дек</c:v>
                  </c:pt>
                  <c:pt idx="24">
                    <c:v>янв</c:v>
                  </c:pt>
                  <c:pt idx="25">
                    <c:v>фев</c:v>
                  </c:pt>
                  <c:pt idx="26">
                    <c:v>мар</c:v>
                  </c:pt>
                  <c:pt idx="27">
                    <c:v>апр</c:v>
                  </c:pt>
                  <c:pt idx="28">
                    <c:v>май</c:v>
                  </c:pt>
                  <c:pt idx="29">
                    <c:v>июн</c:v>
                  </c:pt>
                  <c:pt idx="30">
                    <c:v>июл</c:v>
                  </c:pt>
                  <c:pt idx="31">
                    <c:v>авг</c:v>
                  </c:pt>
                  <c:pt idx="32">
                    <c:v>сен</c:v>
                  </c:pt>
                  <c:pt idx="33">
                    <c:v>окт</c:v>
                  </c:pt>
                  <c:pt idx="34">
                    <c:v>ноя</c:v>
                  </c:pt>
                  <c:pt idx="35">
                    <c:v>дек</c:v>
                  </c:pt>
                  <c:pt idx="36">
                    <c:v>янв</c:v>
                  </c:pt>
                  <c:pt idx="37">
                    <c:v>фев</c:v>
                  </c:pt>
                  <c:pt idx="38">
                    <c:v>мар</c:v>
                  </c:pt>
                  <c:pt idx="39">
                    <c:v>апр</c:v>
                  </c:pt>
                  <c:pt idx="40">
                    <c:v>май</c:v>
                  </c:pt>
                  <c:pt idx="41">
                    <c:v>июн</c:v>
                  </c:pt>
                  <c:pt idx="42">
                    <c:v>июл</c:v>
                  </c:pt>
                  <c:pt idx="43">
                    <c:v>авг</c:v>
                  </c:pt>
                </c:lvl>
                <c:lvl>
                  <c:pt idx="0">
                    <c:v>2019</c:v>
                  </c:pt>
                  <c:pt idx="12">
                    <c:v>2020</c:v>
                  </c:pt>
                  <c:pt idx="24">
                    <c:v>2021</c:v>
                  </c:pt>
                  <c:pt idx="36">
                    <c:v>2022</c:v>
                  </c:pt>
                </c:lvl>
              </c:multiLvlStrCache>
            </c:multiLvlStrRef>
          </c:cat>
          <c:val>
            <c:numRef>
              <c:f>TotalSales!$F$5:$F$48</c:f>
              <c:numCache>
                <c:formatCode>#,##0</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6-1215-4F0C-BB24-4BF9110BDA25}"/>
            </c:ext>
          </c:extLst>
        </c:ser>
        <c:dLbls>
          <c:showLegendKey val="0"/>
          <c:showVal val="0"/>
          <c:showCatName val="0"/>
          <c:showSerName val="0"/>
          <c:showPercent val="0"/>
          <c:showBubbleSize val="0"/>
        </c:dLbls>
        <c:smooth val="0"/>
        <c:axId val="392485631"/>
        <c:axId val="392486111"/>
      </c:lineChart>
      <c:catAx>
        <c:axId val="39248563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92486111"/>
        <c:crosses val="autoZero"/>
        <c:auto val="1"/>
        <c:lblAlgn val="ctr"/>
        <c:lblOffset val="100"/>
        <c:noMultiLvlLbl val="0"/>
      </c:catAx>
      <c:valAx>
        <c:axId val="392486111"/>
        <c:scaling>
          <c:orientation val="minMax"/>
        </c:scaling>
        <c:delete val="0"/>
        <c:axPos val="l"/>
        <c:majorGridlines>
          <c:spPr>
            <a:ln w="9525" cap="flat" cmpd="sng" algn="ctr">
              <a:solidFill>
                <a:schemeClr val="bg1">
                  <a:lumMod val="95000"/>
                </a:schemeClr>
              </a:solidFill>
              <a:round/>
            </a:ln>
            <a:effectLst/>
          </c:spPr>
        </c:majorGridlines>
        <c:title>
          <c:tx>
            <c:rich>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r>
                  <a:rPr lang="en-AU"/>
                  <a:t>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rgbClr val="3C1464"/>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392485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Dashboard.xlsx]CountryBarChart!TotalSales</c:name>
    <c:fmtId val="33"/>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Sales By Country</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5426"/>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EE6C"/>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3FFC4"/>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3FFC4"/>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EE6C"/>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5426"/>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3FFC4"/>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EE6C"/>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5426"/>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CountryBarChart!$B$3</c:f>
              <c:strCache>
                <c:ptCount val="1"/>
                <c:pt idx="0">
                  <c:v>Total</c:v>
                </c:pt>
              </c:strCache>
            </c:strRef>
          </c:tx>
          <c:spPr>
            <a:solidFill>
              <a:srgbClr val="00B050"/>
            </a:solidFill>
            <a:ln w="25400">
              <a:solidFill>
                <a:schemeClr val="bg1"/>
              </a:solidFill>
            </a:ln>
            <a:effectLst/>
          </c:spPr>
          <c:invertIfNegative val="0"/>
          <c:dPt>
            <c:idx val="0"/>
            <c:invertIfNegative val="0"/>
            <c:bubble3D val="0"/>
            <c:spPr>
              <a:solidFill>
                <a:srgbClr val="93FFC4"/>
              </a:solidFill>
              <a:ln w="25400">
                <a:solidFill>
                  <a:schemeClr val="bg1"/>
                </a:solidFill>
              </a:ln>
              <a:effectLst/>
            </c:spPr>
            <c:extLst>
              <c:ext xmlns:c16="http://schemas.microsoft.com/office/drawing/2014/chart" uri="{C3380CC4-5D6E-409C-BE32-E72D297353CC}">
                <c16:uniqueId val="{00000001-3501-4724-8639-CFD8D3C9E1B5}"/>
              </c:ext>
            </c:extLst>
          </c:dPt>
          <c:dPt>
            <c:idx val="1"/>
            <c:invertIfNegative val="0"/>
            <c:bubble3D val="0"/>
            <c:spPr>
              <a:solidFill>
                <a:srgbClr val="00EE6C"/>
              </a:solidFill>
              <a:ln w="25400">
                <a:solidFill>
                  <a:schemeClr val="bg1"/>
                </a:solidFill>
              </a:ln>
              <a:effectLst/>
            </c:spPr>
            <c:extLst>
              <c:ext xmlns:c16="http://schemas.microsoft.com/office/drawing/2014/chart" uri="{C3380CC4-5D6E-409C-BE32-E72D297353CC}">
                <c16:uniqueId val="{00000003-3501-4724-8639-CFD8D3C9E1B5}"/>
              </c:ext>
            </c:extLst>
          </c:dPt>
          <c:dPt>
            <c:idx val="2"/>
            <c:invertIfNegative val="0"/>
            <c:bubble3D val="0"/>
            <c:spPr>
              <a:solidFill>
                <a:srgbClr val="005426"/>
              </a:solidFill>
              <a:ln w="25400">
                <a:solidFill>
                  <a:schemeClr val="bg1"/>
                </a:solidFill>
              </a:ln>
              <a:effectLst/>
            </c:spPr>
            <c:extLst>
              <c:ext xmlns:c16="http://schemas.microsoft.com/office/drawing/2014/chart" uri="{C3380CC4-5D6E-409C-BE32-E72D297353CC}">
                <c16:uniqueId val="{00000005-3501-4724-8639-CFD8D3C9E1B5}"/>
              </c:ext>
            </c:extLst>
          </c:dPt>
          <c:dLbls>
            <c:dLbl>
              <c:idx val="0"/>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501-4724-8639-CFD8D3C9E1B5}"/>
                </c:ext>
              </c:extLst>
            </c:dLbl>
            <c:dLbl>
              <c:idx val="1"/>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501-4724-8639-CFD8D3C9E1B5}"/>
                </c:ext>
              </c:extLst>
            </c:dLbl>
            <c:dLbl>
              <c:idx val="2"/>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501-4724-8639-CFD8D3C9E1B5}"/>
                </c:ext>
              </c:extLst>
            </c:dLbl>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_-[$$-409]* #\ ##0.00_ ;_-[$$-409]* \-#\ ##0.00\ ;_-[$$-409]* "-"??_ ;_-@_ </c:formatCode>
                <c:ptCount val="3"/>
                <c:pt idx="0">
                  <c:v>2798.5050000000001</c:v>
                </c:pt>
                <c:pt idx="1">
                  <c:v>6696.8649999999989</c:v>
                </c:pt>
                <c:pt idx="2">
                  <c:v>35638.88499999998</c:v>
                </c:pt>
              </c:numCache>
            </c:numRef>
          </c:val>
          <c:extLst>
            <c:ext xmlns:c16="http://schemas.microsoft.com/office/drawing/2014/chart" uri="{C3380CC4-5D6E-409C-BE32-E72D297353CC}">
              <c16:uniqueId val="{00000006-3501-4724-8639-CFD8D3C9E1B5}"/>
            </c:ext>
          </c:extLst>
        </c:ser>
        <c:dLbls>
          <c:showLegendKey val="0"/>
          <c:showVal val="0"/>
          <c:showCatName val="0"/>
          <c:showSerName val="0"/>
          <c:showPercent val="0"/>
          <c:showBubbleSize val="0"/>
        </c:dLbls>
        <c:gapWidth val="182"/>
        <c:axId val="1555527199"/>
        <c:axId val="1555517599"/>
      </c:barChart>
      <c:catAx>
        <c:axId val="155552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55517599"/>
        <c:crosses val="autoZero"/>
        <c:auto val="1"/>
        <c:lblAlgn val="ctr"/>
        <c:lblOffset val="100"/>
        <c:noMultiLvlLbl val="0"/>
      </c:catAx>
      <c:valAx>
        <c:axId val="1555517599"/>
        <c:scaling>
          <c:orientation val="minMax"/>
        </c:scaling>
        <c:delete val="0"/>
        <c:axPos val="b"/>
        <c:majorGridlines>
          <c:spPr>
            <a:ln w="9525" cap="flat" cmpd="sng" algn="ctr">
              <a:solidFill>
                <a:schemeClr val="bg1">
                  <a:lumMod val="9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5552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[coffeeOrdersData Dashboard.xlsx]Top5Customers!TotalSales</c:name>
    <c:fmtId val="34"/>
  </c:pivotSource>
  <c:chart>
    <c:title>
      <c:tx>
        <c:rich>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r>
              <a:rPr lang="en-US"/>
              <a:t>Top 5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rgbClr val="3C1464"/>
              </a:solidFill>
              <a:latin typeface="+mn-lt"/>
              <a:ea typeface="+mn-ea"/>
              <a:cs typeface="+mn-cs"/>
            </a:defRPr>
          </a:pPr>
          <a:endParaRPr lang="en-US"/>
        </a:p>
      </c:txPr>
    </c:title>
    <c:autoTitleDeleted val="0"/>
    <c:pivotFmts>
      <c:pivotFmt>
        <c:idx val="0"/>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5426"/>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EE6C"/>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3FFC4"/>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3FFC4"/>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EE6C"/>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5426"/>
          </a:solidFill>
          <a:ln w="25400">
            <a:solidFill>
              <a:schemeClr val="bg1"/>
            </a:solidFill>
          </a:ln>
          <a:effectLst/>
        </c:spPr>
        <c:dLbl>
          <c:idx val="0"/>
          <c:spPr>
            <a:noFill/>
            <a:ln>
              <a:noFill/>
            </a:ln>
            <a:effectLst/>
          </c:spPr>
          <c:txPr>
            <a:bodyPr rot="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solidFill>
          <a:ln w="2540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Top5Customers!$B$3</c:f>
              <c:strCache>
                <c:ptCount val="1"/>
                <c:pt idx="0">
                  <c:v>Total</c:v>
                </c:pt>
              </c:strCache>
            </c:strRef>
          </c:tx>
          <c:spPr>
            <a:solidFill>
              <a:srgbClr val="00B050"/>
            </a:solidFill>
            <a:ln w="25400">
              <a:solidFill>
                <a:schemeClr val="bg1"/>
              </a:solidFill>
            </a:ln>
            <a:effectLst/>
          </c:spPr>
          <c:invertIfNegative val="0"/>
          <c:dPt>
            <c:idx val="0"/>
            <c:invertIfNegative val="0"/>
            <c:bubble3D val="0"/>
            <c:extLst>
              <c:ext xmlns:c16="http://schemas.microsoft.com/office/drawing/2014/chart" uri="{C3380CC4-5D6E-409C-BE32-E72D297353CC}">
                <c16:uniqueId val="{00000000-975F-49CB-9D75-DD4119E0F3A8}"/>
              </c:ext>
            </c:extLst>
          </c:dPt>
          <c:dPt>
            <c:idx val="1"/>
            <c:invertIfNegative val="0"/>
            <c:bubble3D val="0"/>
            <c:extLst>
              <c:ext xmlns:c16="http://schemas.microsoft.com/office/drawing/2014/chart" uri="{C3380CC4-5D6E-409C-BE32-E72D297353CC}">
                <c16:uniqueId val="{00000001-975F-49CB-9D75-DD4119E0F3A8}"/>
              </c:ext>
            </c:extLst>
          </c:dPt>
          <c:dPt>
            <c:idx val="2"/>
            <c:invertIfNegative val="0"/>
            <c:bubble3D val="0"/>
            <c:extLst>
              <c:ext xmlns:c16="http://schemas.microsoft.com/office/drawing/2014/chart" uri="{C3380CC4-5D6E-409C-BE32-E72D297353CC}">
                <c16:uniqueId val="{00000002-975F-49CB-9D75-DD4119E0F3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3C146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Top5Customers!$A$4:$A$8</c:f>
              <c:strCache>
                <c:ptCount val="5"/>
                <c:pt idx="0">
                  <c:v>Don Flintiff</c:v>
                </c:pt>
                <c:pt idx="1">
                  <c:v>Nealson Cuttler</c:v>
                </c:pt>
                <c:pt idx="2">
                  <c:v>Terri Farra</c:v>
                </c:pt>
                <c:pt idx="3">
                  <c:v>Brenn Dundredge</c:v>
                </c:pt>
                <c:pt idx="4">
                  <c:v>Allis Wilmore</c:v>
                </c:pt>
              </c:strCache>
            </c:strRef>
          </c:cat>
          <c:val>
            <c:numRef>
              <c:f>Top5Customers!$B$4:$B$8</c:f>
              <c:numCache>
                <c:formatCode>_-[$$-409]* #\ ##0.00_ ;_-[$$-409]* \-#\ ##0.00\ ;_-[$$-409]* "-"??_ ;_-@_ </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975F-49CB-9D75-DD4119E0F3A8}"/>
            </c:ext>
          </c:extLst>
        </c:ser>
        <c:dLbls>
          <c:showLegendKey val="0"/>
          <c:showVal val="0"/>
          <c:showCatName val="0"/>
          <c:showSerName val="0"/>
          <c:showPercent val="0"/>
          <c:showBubbleSize val="0"/>
        </c:dLbls>
        <c:gapWidth val="182"/>
        <c:axId val="1555527199"/>
        <c:axId val="1555517599"/>
      </c:barChart>
      <c:catAx>
        <c:axId val="15555271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55517599"/>
        <c:crosses val="autoZero"/>
        <c:auto val="1"/>
        <c:lblAlgn val="ctr"/>
        <c:lblOffset val="100"/>
        <c:noMultiLvlLbl val="0"/>
      </c:catAx>
      <c:valAx>
        <c:axId val="1555517599"/>
        <c:scaling>
          <c:orientation val="minMax"/>
        </c:scaling>
        <c:delete val="0"/>
        <c:axPos val="b"/>
        <c:majorGridlines>
          <c:spPr>
            <a:ln w="9525" cap="flat" cmpd="sng" algn="ctr">
              <a:solidFill>
                <a:schemeClr val="bg1">
                  <a:lumMod val="95000"/>
                </a:schemeClr>
              </a:solidFill>
              <a:round/>
            </a:ln>
            <a:effectLst/>
          </c:spPr>
        </c:majorGridlines>
        <c:numFmt formatCode="_-[$$-409]* #\ ##0.00_ ;_-[$$-409]* \-#\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3C1464"/>
                </a:solidFill>
                <a:latin typeface="+mn-lt"/>
                <a:ea typeface="+mn-ea"/>
                <a:cs typeface="+mn-cs"/>
              </a:defRPr>
            </a:pPr>
            <a:endParaRPr lang="en-US"/>
          </a:p>
        </c:txPr>
        <c:crossAx val="1555527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0CBF5"/>
    </a:solidFill>
    <a:ln w="9525" cap="flat" cmpd="sng" algn="ctr">
      <a:solidFill>
        <a:schemeClr val="tx1">
          <a:lumMod val="15000"/>
          <a:lumOff val="85000"/>
        </a:schemeClr>
      </a:solidFill>
      <a:round/>
    </a:ln>
    <a:effectLst/>
  </c:spPr>
  <c:txPr>
    <a:bodyPr/>
    <a:lstStyle/>
    <a:p>
      <a:pPr>
        <a:defRPr>
          <a:solidFill>
            <a:srgbClr val="3C1464"/>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26</xdr:col>
      <xdr:colOff>0</xdr:colOff>
      <xdr:row>5</xdr:row>
      <xdr:rowOff>0</xdr:rowOff>
    </xdr:to>
    <xdr:sp macro="" textlink="">
      <xdr:nvSpPr>
        <xdr:cNvPr id="3" name="Rectangle 2">
          <a:extLst>
            <a:ext uri="{FF2B5EF4-FFF2-40B4-BE49-F238E27FC236}">
              <a16:creationId xmlns:a16="http://schemas.microsoft.com/office/drawing/2014/main" id="{61A6F663-748F-3747-8679-42F1B73AEECC}"/>
            </a:ext>
          </a:extLst>
        </xdr:cNvPr>
        <xdr:cNvSpPr/>
      </xdr:nvSpPr>
      <xdr:spPr>
        <a:xfrm>
          <a:off x="112059" y="67235"/>
          <a:ext cx="15314706" cy="747059"/>
        </a:xfrm>
        <a:prstGeom prst="rect">
          <a:avLst/>
        </a:prstGeom>
        <a:solidFill>
          <a:srgbClr val="3C1464"/>
        </a:solidFill>
        <a:ln>
          <a:solidFill>
            <a:srgbClr val="3C146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AU" sz="4800">
              <a:solidFill>
                <a:schemeClr val="bg1"/>
              </a:solidFill>
            </a:rPr>
            <a:t>COFFEE</a:t>
          </a:r>
          <a:r>
            <a:rPr lang="en-AU" sz="4800" baseline="0">
              <a:solidFill>
                <a:schemeClr val="bg1"/>
              </a:solidFill>
            </a:rPr>
            <a:t> SALES DASHBOARD</a:t>
          </a:r>
          <a:endParaRPr lang="en-AU" sz="4800">
            <a:solidFill>
              <a:schemeClr val="bg1"/>
            </a:solidFill>
          </a:endParaRPr>
        </a:p>
      </xdr:txBody>
    </xdr:sp>
    <xdr:clientData/>
  </xdr:twoCellAnchor>
  <xdr:twoCellAnchor>
    <xdr:from>
      <xdr:col>1</xdr:col>
      <xdr:colOff>6349</xdr:colOff>
      <xdr:row>16</xdr:row>
      <xdr:rowOff>177801</xdr:rowOff>
    </xdr:from>
    <xdr:to>
      <xdr:col>14</xdr:col>
      <xdr:colOff>612587</xdr:colOff>
      <xdr:row>40</xdr:row>
      <xdr:rowOff>0</xdr:rowOff>
    </xdr:to>
    <xdr:graphicFrame macro="">
      <xdr:nvGraphicFramePr>
        <xdr:cNvPr id="4" name="Chart 3">
          <a:extLst>
            <a:ext uri="{FF2B5EF4-FFF2-40B4-BE49-F238E27FC236}">
              <a16:creationId xmlns:a16="http://schemas.microsoft.com/office/drawing/2014/main" id="{DDC459B8-1F2A-41BB-9675-63DCD75132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104587</xdr:colOff>
      <xdr:row>5</xdr:row>
      <xdr:rowOff>64995</xdr:rowOff>
    </xdr:from>
    <xdr:to>
      <xdr:col>19</xdr:col>
      <xdr:colOff>241300</xdr:colOff>
      <xdr:row>16</xdr:row>
      <xdr:rowOff>0</xdr:rowOff>
    </xdr:to>
    <mc:AlternateContent xmlns:mc="http://schemas.openxmlformats.org/markup-compatibility/2006">
      <mc:Choice xmlns:tsle="http://schemas.microsoft.com/office/drawing/2012/timeslicer" Requires="tsle">
        <xdr:graphicFrame macro="">
          <xdr:nvGraphicFramePr>
            <xdr:cNvPr id="5" name="Order Date">
              <a:extLst>
                <a:ext uri="{FF2B5EF4-FFF2-40B4-BE49-F238E27FC236}">
                  <a16:creationId xmlns:a16="http://schemas.microsoft.com/office/drawing/2014/main" id="{E5C8D5E7-B840-41FE-BEB5-CE78D8AD326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04587" y="865095"/>
              <a:ext cx="10372913" cy="1840005"/>
            </a:xfrm>
            <a:prstGeom prst="rect">
              <a:avLst/>
            </a:prstGeom>
            <a:solidFill>
              <a:prstClr val="white"/>
            </a:solidFill>
            <a:ln w="1">
              <a:solidFill>
                <a:prstClr val="green"/>
              </a:solidFill>
            </a:ln>
          </xdr:spPr>
          <xdr:txBody>
            <a:bodyPr vertOverflow="clip" horzOverflow="clip"/>
            <a:lstStyle/>
            <a:p>
              <a:r>
                <a:rPr lang="en-AU" sz="1100"/>
                <a:t>Timeline: Works in Excel 2013 or higher. Do not move or resize.</a:t>
              </a:r>
            </a:p>
          </xdr:txBody>
        </xdr:sp>
      </mc:Fallback>
    </mc:AlternateContent>
    <xdr:clientData/>
  </xdr:twoCellAnchor>
  <xdr:twoCellAnchor editAs="oneCell">
    <xdr:from>
      <xdr:col>23</xdr:col>
      <xdr:colOff>168835</xdr:colOff>
      <xdr:row>10</xdr:row>
      <xdr:rowOff>106084</xdr:rowOff>
    </xdr:from>
    <xdr:to>
      <xdr:col>26</xdr:col>
      <xdr:colOff>0</xdr:colOff>
      <xdr:row>16</xdr:row>
      <xdr:rowOff>0</xdr:rowOff>
    </xdr:to>
    <mc:AlternateContent xmlns:mc="http://schemas.openxmlformats.org/markup-compatibility/2006">
      <mc:Choice xmlns:a14="http://schemas.microsoft.com/office/drawing/2010/main" Requires="a14">
        <xdr:graphicFrame macro="">
          <xdr:nvGraphicFramePr>
            <xdr:cNvPr id="6" name="Size">
              <a:extLst>
                <a:ext uri="{FF2B5EF4-FFF2-40B4-BE49-F238E27FC236}">
                  <a16:creationId xmlns:a16="http://schemas.microsoft.com/office/drawing/2014/main" id="{9A2F134B-520D-4BFE-B6AA-F1E82A036DA4}"/>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dr:sp macro="" textlink="">
          <xdr:nvSpPr>
            <xdr:cNvPr id="0" name=""/>
            <xdr:cNvSpPr>
              <a:spLocks noTextEdit="1"/>
            </xdr:cNvSpPr>
          </xdr:nvSpPr>
          <xdr:spPr>
            <a:xfrm>
              <a:off x="12417985" y="1706284"/>
              <a:ext cx="1659965" cy="99881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307788</xdr:colOff>
      <xdr:row>6</xdr:row>
      <xdr:rowOff>11953</xdr:rowOff>
    </xdr:from>
    <xdr:to>
      <xdr:col>26</xdr:col>
      <xdr:colOff>0</xdr:colOff>
      <xdr:row>10</xdr:row>
      <xdr:rowOff>20543</xdr:rowOff>
    </xdr:to>
    <mc:AlternateContent xmlns:mc="http://schemas.openxmlformats.org/markup-compatibility/2006">
      <mc:Choice xmlns:a14="http://schemas.microsoft.com/office/drawing/2010/main" Requires="a14">
        <xdr:graphicFrame macro="">
          <xdr:nvGraphicFramePr>
            <xdr:cNvPr id="7" name="Roast Type Name">
              <a:extLst>
                <a:ext uri="{FF2B5EF4-FFF2-40B4-BE49-F238E27FC236}">
                  <a16:creationId xmlns:a16="http://schemas.microsoft.com/office/drawing/2014/main" id="{833308C1-BDC2-4D3F-9ACA-E8C7C95D9D1A}"/>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dr:sp macro="" textlink="">
          <xdr:nvSpPr>
            <xdr:cNvPr id="0" name=""/>
            <xdr:cNvSpPr>
              <a:spLocks noTextEdit="1"/>
            </xdr:cNvSpPr>
          </xdr:nvSpPr>
          <xdr:spPr>
            <a:xfrm>
              <a:off x="10543988" y="875553"/>
              <a:ext cx="3533962" cy="74519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307789</xdr:colOff>
      <xdr:row>10</xdr:row>
      <xdr:rowOff>99734</xdr:rowOff>
    </xdr:from>
    <xdr:to>
      <xdr:col>23</xdr:col>
      <xdr:colOff>114674</xdr:colOff>
      <xdr:row>16</xdr:row>
      <xdr:rowOff>0</xdr:rowOff>
    </xdr:to>
    <mc:AlternateContent xmlns:mc="http://schemas.openxmlformats.org/markup-compatibility/2006">
      <mc:Choice xmlns:a14="http://schemas.microsoft.com/office/drawing/2010/main" Requires="a14">
        <xdr:graphicFrame macro="">
          <xdr:nvGraphicFramePr>
            <xdr:cNvPr id="8" name="Loyalty Card">
              <a:extLst>
                <a:ext uri="{FF2B5EF4-FFF2-40B4-BE49-F238E27FC236}">
                  <a16:creationId xmlns:a16="http://schemas.microsoft.com/office/drawing/2014/main" id="{A1162D5F-2D88-46FC-A307-B5EC24F7C54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dr:sp macro="" textlink="">
          <xdr:nvSpPr>
            <xdr:cNvPr id="0" name=""/>
            <xdr:cNvSpPr>
              <a:spLocks noTextEdit="1"/>
            </xdr:cNvSpPr>
          </xdr:nvSpPr>
          <xdr:spPr>
            <a:xfrm>
              <a:off x="10543989" y="1699934"/>
              <a:ext cx="1819835" cy="1005166"/>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605117</xdr:colOff>
      <xdr:row>16</xdr:row>
      <xdr:rowOff>179295</xdr:rowOff>
    </xdr:from>
    <xdr:to>
      <xdr:col>26</xdr:col>
      <xdr:colOff>0</xdr:colOff>
      <xdr:row>31</xdr:row>
      <xdr:rowOff>121023</xdr:rowOff>
    </xdr:to>
    <xdr:graphicFrame macro="">
      <xdr:nvGraphicFramePr>
        <xdr:cNvPr id="9" name="Chart 8">
          <a:extLst>
            <a:ext uri="{FF2B5EF4-FFF2-40B4-BE49-F238E27FC236}">
              <a16:creationId xmlns:a16="http://schemas.microsoft.com/office/drawing/2014/main" id="{86D2324C-939F-417C-A325-6DE41CD732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7470</xdr:colOff>
      <xdr:row>32</xdr:row>
      <xdr:rowOff>0</xdr:rowOff>
    </xdr:from>
    <xdr:to>
      <xdr:col>26</xdr:col>
      <xdr:colOff>0</xdr:colOff>
      <xdr:row>40</xdr:row>
      <xdr:rowOff>0</xdr:rowOff>
    </xdr:to>
    <xdr:graphicFrame macro="">
      <xdr:nvGraphicFramePr>
        <xdr:cNvPr id="10" name="Chart 9">
          <a:extLst>
            <a:ext uri="{FF2B5EF4-FFF2-40B4-BE49-F238E27FC236}">
              <a16:creationId xmlns:a16="http://schemas.microsoft.com/office/drawing/2014/main" id="{4DCC002C-AB3A-46DF-89FD-064148B864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72.083591203707" createdVersion="8" refreshedVersion="8" minRefreshableVersion="3" recordCount="1000" xr:uid="{B70A1E38-E8FB-4614-856E-6CB798703911}">
  <cacheSource type="worksheet">
    <worksheetSource name="Orders"/>
  </cacheSource>
  <cacheFields count="18">
    <cacheField name="Order ID" numFmtId="0">
      <sharedItems/>
    </cacheField>
    <cacheField name="Order Date" numFmtId="166">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7"/>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72">
      <sharedItems containsSemiMixedTypes="0" containsString="0" containsNumber="1" minValue="0.2" maxValue="2.5" count="4">
        <n v="1"/>
        <n v="0.5"/>
        <n v="2.5"/>
        <n v="0.2"/>
      </sharedItems>
    </cacheField>
    <cacheField name="Unit Price" numFmtId="171">
      <sharedItems containsSemiMixedTypes="0" containsString="0" containsNumber="1" minValue="2.6849999999999996" maxValue="36.454999999999998"/>
    </cacheField>
    <cacheField name="Sales" numFmtId="171">
      <sharedItems containsSemiMixedTypes="0" containsString="0" containsNumber="1" minValue="2.6849999999999996" maxValue="218.73"/>
    </cacheField>
    <cacheField name="Coffee Type Name" numFmtId="0">
      <sharedItems count="4">
        <s v="Robusta"/>
        <s v="Excelsa"/>
        <s v="Arabica"/>
        <s v="Liberica"/>
      </sharedItems>
    </cacheField>
    <cacheField name="Roast Type Name" numFmtId="0">
      <sharedItems count="3">
        <s v="Medium"/>
        <s v="Large"/>
        <s v="Dark"/>
      </sharedItems>
    </cacheField>
    <cacheField name="Loyalty Card" numFmtId="0">
      <sharedItems count="2">
        <s v="Yes"/>
        <s v="No"/>
      </sharedItems>
    </cacheField>
    <cacheField name="Months (Order Date)" numFmtId="0" databaseField="0">
      <fieldGroup base="1">
        <rangePr groupBy="months" startDate="2019-01-02T00:00:00" endDate="2022-08-20T00:00:00"/>
        <groupItems count="14">
          <s v="&lt;02.01.2019"/>
          <s v="янв"/>
          <s v="фев"/>
          <s v="мар"/>
          <s v="апр"/>
          <s v="май"/>
          <s v="июн"/>
          <s v="июл"/>
          <s v="авг"/>
          <s v="сен"/>
          <s v="окт"/>
          <s v="ноя"/>
          <s v="дек"/>
          <s v="&gt;20.08.2022"/>
        </groupItems>
      </fieldGroup>
    </cacheField>
    <cacheField name="Years (Order Date)"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1730252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n v="19.899999999999999"/>
    <x v="0"/>
    <x v="0"/>
    <x v="0"/>
  </r>
  <r>
    <s v="QEV-37451-860"/>
    <x v="0"/>
    <s v="17670-51384-MA"/>
    <s v="E-M-0.5"/>
    <n v="5"/>
    <x v="0"/>
    <s v="aallner0@lulu.com"/>
    <x v="0"/>
    <s v="Exc"/>
    <s v="M"/>
    <x v="1"/>
    <n v="8.25"/>
    <n v="41.25"/>
    <x v="1"/>
    <x v="0"/>
    <x v="0"/>
  </r>
  <r>
    <s v="FAA-43335-268"/>
    <x v="1"/>
    <s v="21125-22134-PX"/>
    <s v="A-L-1"/>
    <n v="1"/>
    <x v="1"/>
    <s v="jredholes2@tmall.com"/>
    <x v="0"/>
    <s v="Ara"/>
    <s v="L"/>
    <x v="0"/>
    <n v="12.95"/>
    <n v="12.95"/>
    <x v="2"/>
    <x v="1"/>
    <x v="0"/>
  </r>
  <r>
    <s v="KAC-83089-793"/>
    <x v="2"/>
    <s v="23806-46781-OU"/>
    <s v="E-M-1"/>
    <n v="2"/>
    <x v="2"/>
    <s v=""/>
    <x v="1"/>
    <s v="Exc"/>
    <s v="M"/>
    <x v="0"/>
    <n v="13.75"/>
    <n v="27.5"/>
    <x v="1"/>
    <x v="0"/>
    <x v="1"/>
  </r>
  <r>
    <s v="KAC-83089-793"/>
    <x v="2"/>
    <s v="23806-46781-OU"/>
    <s v="R-L-2.5"/>
    <n v="2"/>
    <x v="2"/>
    <s v=""/>
    <x v="1"/>
    <s v="Rob"/>
    <s v="L"/>
    <x v="2"/>
    <n v="27.484999999999996"/>
    <n v="54.969999999999992"/>
    <x v="0"/>
    <x v="1"/>
    <x v="1"/>
  </r>
  <r>
    <s v="CVP-18956-553"/>
    <x v="3"/>
    <s v="86561-91660-RB"/>
    <s v="L-D-1"/>
    <n v="3"/>
    <x v="3"/>
    <s v=""/>
    <x v="0"/>
    <s v="Lib"/>
    <s v="D"/>
    <x v="0"/>
    <n v="12.95"/>
    <n v="38.849999999999994"/>
    <x v="3"/>
    <x v="2"/>
    <x v="1"/>
  </r>
  <r>
    <s v="IPP-31994-879"/>
    <x v="4"/>
    <s v="65223-29612-CB"/>
    <s v="E-D-0.5"/>
    <n v="3"/>
    <x v="4"/>
    <s v="slobe6@nifty.com"/>
    <x v="0"/>
    <s v="Exc"/>
    <s v="D"/>
    <x v="1"/>
    <n v="7.29"/>
    <n v="21.87"/>
    <x v="1"/>
    <x v="2"/>
    <x v="0"/>
  </r>
  <r>
    <s v="SNZ-65340-705"/>
    <x v="5"/>
    <s v="21134-81676-FR"/>
    <s v="L-L-0.2"/>
    <n v="1"/>
    <x v="5"/>
    <s v=""/>
    <x v="1"/>
    <s v="Lib"/>
    <s v="L"/>
    <x v="3"/>
    <n v="4.7549999999999999"/>
    <n v="4.7549999999999999"/>
    <x v="3"/>
    <x v="1"/>
    <x v="0"/>
  </r>
  <r>
    <s v="EZT-46571-659"/>
    <x v="6"/>
    <s v="03396-68805-ZC"/>
    <s v="R-M-0.5"/>
    <n v="3"/>
    <x v="6"/>
    <s v="gpetracci8@livejournal.com"/>
    <x v="0"/>
    <s v="Rob"/>
    <s v="M"/>
    <x v="1"/>
    <n v="5.97"/>
    <n v="17.91"/>
    <x v="0"/>
    <x v="0"/>
    <x v="1"/>
  </r>
  <r>
    <s v="NWQ-70061-912"/>
    <x v="0"/>
    <s v="61021-27840-ZN"/>
    <s v="R-M-0.5"/>
    <n v="1"/>
    <x v="7"/>
    <s v="rraven9@ed.gov"/>
    <x v="0"/>
    <s v="Rob"/>
    <s v="M"/>
    <x v="1"/>
    <n v="5.97"/>
    <n v="5.97"/>
    <x v="0"/>
    <x v="0"/>
    <x v="1"/>
  </r>
  <r>
    <s v="BKK-47233-845"/>
    <x v="7"/>
    <s v="76239-90137-UQ"/>
    <s v="A-D-1"/>
    <n v="4"/>
    <x v="8"/>
    <s v="fferbera@businesswire.com"/>
    <x v="0"/>
    <s v="Ara"/>
    <s v="D"/>
    <x v="0"/>
    <n v="9.9499999999999993"/>
    <n v="39.799999999999997"/>
    <x v="2"/>
    <x v="2"/>
    <x v="1"/>
  </r>
  <r>
    <s v="VQR-01002-970"/>
    <x v="8"/>
    <s v="49315-21985-BB"/>
    <s v="E-L-2.5"/>
    <n v="5"/>
    <x v="9"/>
    <s v="dphizackerlyb@utexas.edu"/>
    <x v="0"/>
    <s v="Exc"/>
    <s v="L"/>
    <x v="2"/>
    <n v="34.154999999999994"/>
    <n v="170.77499999999998"/>
    <x v="1"/>
    <x v="1"/>
    <x v="0"/>
  </r>
  <r>
    <s v="SZW-48378-399"/>
    <x v="9"/>
    <s v="34136-36674-OM"/>
    <s v="R-M-1"/>
    <n v="5"/>
    <x v="10"/>
    <s v="rscholarc@nyu.edu"/>
    <x v="0"/>
    <s v="Rob"/>
    <s v="M"/>
    <x v="0"/>
    <n v="9.9499999999999993"/>
    <n v="49.75"/>
    <x v="0"/>
    <x v="0"/>
    <x v="1"/>
  </r>
  <r>
    <s v="ITA-87418-783"/>
    <x v="10"/>
    <s v="39396-12890-PE"/>
    <s v="R-D-2.5"/>
    <n v="2"/>
    <x v="11"/>
    <s v="tvanyutind@wix.com"/>
    <x v="0"/>
    <s v="Rob"/>
    <s v="D"/>
    <x v="2"/>
    <n v="20.584999999999997"/>
    <n v="41.169999999999995"/>
    <x v="0"/>
    <x v="2"/>
    <x v="1"/>
  </r>
  <r>
    <s v="GNZ-46006-527"/>
    <x v="11"/>
    <s v="95875-73336-RG"/>
    <s v="L-D-0.2"/>
    <n v="3"/>
    <x v="12"/>
    <s v="ptrobee@wunderground.com"/>
    <x v="0"/>
    <s v="Lib"/>
    <s v="D"/>
    <x v="3"/>
    <n v="3.8849999999999998"/>
    <n v="11.654999999999999"/>
    <x v="3"/>
    <x v="2"/>
    <x v="0"/>
  </r>
  <r>
    <s v="FYQ-78248-319"/>
    <x v="12"/>
    <s v="25473-43727-BY"/>
    <s v="R-M-2.5"/>
    <n v="5"/>
    <x v="13"/>
    <s v="loscroftf@ebay.co.uk"/>
    <x v="0"/>
    <s v="Rob"/>
    <s v="M"/>
    <x v="2"/>
    <n v="22.884999999999998"/>
    <n v="114.42499999999998"/>
    <x v="0"/>
    <x v="0"/>
    <x v="1"/>
  </r>
  <r>
    <s v="VAU-44387-624"/>
    <x v="13"/>
    <s v="99643-51048-IQ"/>
    <s v="A-M-0.2"/>
    <n v="6"/>
    <x v="14"/>
    <s v="malabasterg@hexun.com"/>
    <x v="0"/>
    <s v="Ara"/>
    <s v="M"/>
    <x v="3"/>
    <n v="3.375"/>
    <n v="20.25"/>
    <x v="2"/>
    <x v="0"/>
    <x v="1"/>
  </r>
  <r>
    <s v="RDW-33155-159"/>
    <x v="14"/>
    <s v="62173-15287-CU"/>
    <s v="A-L-1"/>
    <n v="6"/>
    <x v="15"/>
    <s v="rbroxuph@jimdo.com"/>
    <x v="0"/>
    <s v="Ara"/>
    <s v="L"/>
    <x v="0"/>
    <n v="12.95"/>
    <n v="77.699999999999989"/>
    <x v="2"/>
    <x v="1"/>
    <x v="1"/>
  </r>
  <r>
    <s v="TDZ-59011-211"/>
    <x v="15"/>
    <s v="57611-05522-ST"/>
    <s v="R-D-2.5"/>
    <n v="4"/>
    <x v="16"/>
    <s v="predfordi@ow.ly"/>
    <x v="1"/>
    <s v="Rob"/>
    <s v="D"/>
    <x v="2"/>
    <n v="20.584999999999997"/>
    <n v="82.339999999999989"/>
    <x v="0"/>
    <x v="2"/>
    <x v="0"/>
  </r>
  <r>
    <s v="IDU-25793-399"/>
    <x v="16"/>
    <s v="76664-37050-DT"/>
    <s v="A-M-0.2"/>
    <n v="5"/>
    <x v="17"/>
    <s v="acorradinoj@harvard.edu"/>
    <x v="0"/>
    <s v="Ara"/>
    <s v="M"/>
    <x v="3"/>
    <n v="3.375"/>
    <n v="16.875"/>
    <x v="2"/>
    <x v="0"/>
    <x v="0"/>
  </r>
  <r>
    <s v="IDU-25793-399"/>
    <x v="16"/>
    <s v="76664-37050-DT"/>
    <s v="E-D-0.2"/>
    <n v="4"/>
    <x v="17"/>
    <s v="acorradinoj@harvard.edu"/>
    <x v="0"/>
    <s v="Exc"/>
    <s v="D"/>
    <x v="3"/>
    <n v="3.645"/>
    <n v="14.58"/>
    <x v="1"/>
    <x v="2"/>
    <x v="0"/>
  </r>
  <r>
    <s v="NUO-20013-488"/>
    <x v="16"/>
    <s v="03090-88267-BQ"/>
    <s v="A-D-0.2"/>
    <n v="6"/>
    <x v="18"/>
    <s v="adavidowskyl@netvibes.com"/>
    <x v="0"/>
    <s v="Ara"/>
    <s v="D"/>
    <x v="3"/>
    <n v="2.9849999999999999"/>
    <n v="17.91"/>
    <x v="2"/>
    <x v="2"/>
    <x v="1"/>
  </r>
  <r>
    <s v="UQU-65630-479"/>
    <x v="17"/>
    <s v="37651-47492-NC"/>
    <s v="R-M-2.5"/>
    <n v="4"/>
    <x v="19"/>
    <s v="aantukm@kickstarter.com"/>
    <x v="0"/>
    <s v="Rob"/>
    <s v="M"/>
    <x v="2"/>
    <n v="22.884999999999998"/>
    <n v="91.539999999999992"/>
    <x v="0"/>
    <x v="0"/>
    <x v="0"/>
  </r>
  <r>
    <s v="FEO-11834-332"/>
    <x v="18"/>
    <s v="95399-57205-HI"/>
    <s v="A-D-0.2"/>
    <n v="4"/>
    <x v="20"/>
    <s v="ikleinertn@timesonline.co.uk"/>
    <x v="0"/>
    <s v="Ara"/>
    <s v="D"/>
    <x v="3"/>
    <n v="2.9849999999999999"/>
    <n v="11.94"/>
    <x v="2"/>
    <x v="2"/>
    <x v="0"/>
  </r>
  <r>
    <s v="TKY-71558-096"/>
    <x v="19"/>
    <s v="24010-66714-HW"/>
    <s v="A-M-1"/>
    <n v="1"/>
    <x v="21"/>
    <s v="cblofeldo@amazon.co.uk"/>
    <x v="0"/>
    <s v="Ara"/>
    <s v="M"/>
    <x v="0"/>
    <n v="11.25"/>
    <n v="11.25"/>
    <x v="2"/>
    <x v="0"/>
    <x v="1"/>
  </r>
  <r>
    <s v="OXY-65322-253"/>
    <x v="20"/>
    <s v="07591-92789-UA"/>
    <s v="E-M-0.2"/>
    <n v="3"/>
    <x v="22"/>
    <s v=""/>
    <x v="0"/>
    <s v="Exc"/>
    <s v="M"/>
    <x v="3"/>
    <n v="4.125"/>
    <n v="12.375"/>
    <x v="1"/>
    <x v="0"/>
    <x v="0"/>
  </r>
  <r>
    <s v="EVP-43500-491"/>
    <x v="21"/>
    <s v="49231-44455-IC"/>
    <s v="A-M-0.5"/>
    <n v="4"/>
    <x v="23"/>
    <s v="sshalesq@umich.edu"/>
    <x v="0"/>
    <s v="Ara"/>
    <s v="M"/>
    <x v="1"/>
    <n v="6.75"/>
    <n v="27"/>
    <x v="2"/>
    <x v="0"/>
    <x v="0"/>
  </r>
  <r>
    <s v="WAG-26945-689"/>
    <x v="22"/>
    <s v="50124-88608-EO"/>
    <s v="A-M-0.2"/>
    <n v="5"/>
    <x v="24"/>
    <s v="vdanneilr@mtv.com"/>
    <x v="1"/>
    <s v="Ara"/>
    <s v="M"/>
    <x v="3"/>
    <n v="3.375"/>
    <n v="16.875"/>
    <x v="2"/>
    <x v="0"/>
    <x v="1"/>
  </r>
  <r>
    <s v="CHE-78995-767"/>
    <x v="23"/>
    <s v="00888-74814-UZ"/>
    <s v="A-D-0.5"/>
    <n v="3"/>
    <x v="25"/>
    <s v="tnewburys@usda.gov"/>
    <x v="1"/>
    <s v="Ara"/>
    <s v="D"/>
    <x v="1"/>
    <n v="5.97"/>
    <n v="17.91"/>
    <x v="2"/>
    <x v="2"/>
    <x v="1"/>
  </r>
  <r>
    <s v="RYZ-14633-602"/>
    <x v="21"/>
    <s v="14158-30713-OB"/>
    <s v="A-D-1"/>
    <n v="4"/>
    <x v="26"/>
    <s v="mcalcuttt@baidu.com"/>
    <x v="1"/>
    <s v="Ara"/>
    <s v="D"/>
    <x v="0"/>
    <n v="9.9499999999999993"/>
    <n v="39.799999999999997"/>
    <x v="2"/>
    <x v="2"/>
    <x v="0"/>
  </r>
  <r>
    <s v="WOQ-36015-429"/>
    <x v="24"/>
    <s v="51427-89175-QJ"/>
    <s v="L-M-0.2"/>
    <n v="5"/>
    <x v="27"/>
    <s v=""/>
    <x v="0"/>
    <s v="Lib"/>
    <s v="M"/>
    <x v="3"/>
    <n v="4.3650000000000002"/>
    <n v="21.825000000000003"/>
    <x v="3"/>
    <x v="0"/>
    <x v="1"/>
  </r>
  <r>
    <s v="WOQ-36015-429"/>
    <x v="24"/>
    <s v="51427-89175-QJ"/>
    <s v="A-D-0.5"/>
    <n v="6"/>
    <x v="27"/>
    <s v=""/>
    <x v="0"/>
    <s v="Ara"/>
    <s v="D"/>
    <x v="1"/>
    <n v="5.97"/>
    <n v="35.82"/>
    <x v="2"/>
    <x v="2"/>
    <x v="1"/>
  </r>
  <r>
    <s v="WOQ-36015-429"/>
    <x v="24"/>
    <s v="51427-89175-QJ"/>
    <s v="L-M-0.5"/>
    <n v="6"/>
    <x v="27"/>
    <s v=""/>
    <x v="0"/>
    <s v="Lib"/>
    <s v="M"/>
    <x v="1"/>
    <n v="8.73"/>
    <n v="52.38"/>
    <x v="3"/>
    <x v="0"/>
    <x v="1"/>
  </r>
  <r>
    <s v="SCT-60553-454"/>
    <x v="25"/>
    <s v="39123-12846-YJ"/>
    <s v="L-L-0.2"/>
    <n v="5"/>
    <x v="28"/>
    <s v="ggatheralx@123-reg.co.uk"/>
    <x v="0"/>
    <s v="Lib"/>
    <s v="L"/>
    <x v="3"/>
    <n v="4.7549999999999999"/>
    <n v="23.774999999999999"/>
    <x v="3"/>
    <x v="1"/>
    <x v="1"/>
  </r>
  <r>
    <s v="GFK-52063-244"/>
    <x v="26"/>
    <s v="44981-99666-XB"/>
    <s v="L-L-0.5"/>
    <n v="6"/>
    <x v="29"/>
    <s v="uwelberryy@ebay.co.uk"/>
    <x v="2"/>
    <s v="Lib"/>
    <s v="L"/>
    <x v="1"/>
    <n v="9.51"/>
    <n v="57.06"/>
    <x v="3"/>
    <x v="1"/>
    <x v="0"/>
  </r>
  <r>
    <s v="AMM-79521-378"/>
    <x v="27"/>
    <s v="24825-51803-CQ"/>
    <s v="A-D-0.5"/>
    <n v="6"/>
    <x v="30"/>
    <s v="feilhartz@who.int"/>
    <x v="0"/>
    <s v="Ara"/>
    <s v="D"/>
    <x v="1"/>
    <n v="5.97"/>
    <n v="35.82"/>
    <x v="2"/>
    <x v="2"/>
    <x v="1"/>
  </r>
  <r>
    <s v="QUQ-90580-772"/>
    <x v="28"/>
    <s v="77634-13918-GJ"/>
    <s v="L-M-0.2"/>
    <n v="2"/>
    <x v="31"/>
    <s v="zponting10@altervista.org"/>
    <x v="0"/>
    <s v="Lib"/>
    <s v="M"/>
    <x v="3"/>
    <n v="4.3650000000000002"/>
    <n v="8.73"/>
    <x v="3"/>
    <x v="0"/>
    <x v="1"/>
  </r>
  <r>
    <s v="LGD-24408-274"/>
    <x v="29"/>
    <s v="13694-25001-LX"/>
    <s v="L-L-0.5"/>
    <n v="3"/>
    <x v="32"/>
    <s v="sstrase11@booking.com"/>
    <x v="0"/>
    <s v="Lib"/>
    <s v="L"/>
    <x v="1"/>
    <n v="9.51"/>
    <n v="28.53"/>
    <x v="3"/>
    <x v="1"/>
    <x v="1"/>
  </r>
  <r>
    <s v="HCT-95608-959"/>
    <x v="30"/>
    <s v="08523-01791-TI"/>
    <s v="R-M-2.5"/>
    <n v="5"/>
    <x v="33"/>
    <s v="dde12@unesco.org"/>
    <x v="0"/>
    <s v="Rob"/>
    <s v="M"/>
    <x v="2"/>
    <n v="22.884999999999998"/>
    <n v="114.42499999999998"/>
    <x v="0"/>
    <x v="0"/>
    <x v="1"/>
  </r>
  <r>
    <s v="OFX-99147-470"/>
    <x v="31"/>
    <s v="49860-68865-AB"/>
    <s v="R-M-1"/>
    <n v="6"/>
    <x v="34"/>
    <s v=""/>
    <x v="0"/>
    <s v="Rob"/>
    <s v="M"/>
    <x v="0"/>
    <n v="9.9499999999999993"/>
    <n v="59.699999999999996"/>
    <x v="0"/>
    <x v="0"/>
    <x v="0"/>
  </r>
  <r>
    <s v="LUO-37559-016"/>
    <x v="32"/>
    <s v="21240-83132-SP"/>
    <s v="L-M-1"/>
    <n v="3"/>
    <x v="35"/>
    <s v=""/>
    <x v="0"/>
    <s v="Lib"/>
    <s v="M"/>
    <x v="0"/>
    <n v="14.55"/>
    <n v="43.650000000000006"/>
    <x v="3"/>
    <x v="0"/>
    <x v="1"/>
  </r>
  <r>
    <s v="XWC-20610-167"/>
    <x v="33"/>
    <s v="08350-81623-TF"/>
    <s v="E-D-0.2"/>
    <n v="2"/>
    <x v="36"/>
    <s v="lyeoland15@pbs.org"/>
    <x v="0"/>
    <s v="Exc"/>
    <s v="D"/>
    <x v="3"/>
    <n v="3.645"/>
    <n v="7.29"/>
    <x v="1"/>
    <x v="2"/>
    <x v="0"/>
  </r>
  <r>
    <s v="GPU-79113-136"/>
    <x v="34"/>
    <s v="73284-01385-SJ"/>
    <s v="R-D-0.2"/>
    <n v="3"/>
    <x v="37"/>
    <s v="atolworthy16@toplist.cz"/>
    <x v="0"/>
    <s v="Rob"/>
    <s v="D"/>
    <x v="3"/>
    <n v="2.6849999999999996"/>
    <n v="8.0549999999999997"/>
    <x v="0"/>
    <x v="2"/>
    <x v="0"/>
  </r>
  <r>
    <s v="ULR-52653-960"/>
    <x v="35"/>
    <s v="04152-34436-IE"/>
    <s v="L-L-2.5"/>
    <n v="2"/>
    <x v="38"/>
    <s v=""/>
    <x v="0"/>
    <s v="Lib"/>
    <s v="L"/>
    <x v="2"/>
    <n v="36.454999999999998"/>
    <n v="72.91"/>
    <x v="3"/>
    <x v="1"/>
    <x v="1"/>
  </r>
  <r>
    <s v="HPI-42308-142"/>
    <x v="36"/>
    <s v="06631-86965-XP"/>
    <s v="E-M-0.5"/>
    <n v="2"/>
    <x v="39"/>
    <s v="obaudassi18@seesaa.net"/>
    <x v="0"/>
    <s v="Exc"/>
    <s v="M"/>
    <x v="1"/>
    <n v="8.25"/>
    <n v="16.5"/>
    <x v="1"/>
    <x v="0"/>
    <x v="0"/>
  </r>
  <r>
    <s v="XHI-30227-581"/>
    <x v="37"/>
    <s v="54619-08558-ZU"/>
    <s v="L-D-2.5"/>
    <n v="6"/>
    <x v="40"/>
    <s v="pkingsbury19@comcast.net"/>
    <x v="0"/>
    <s v="Lib"/>
    <s v="D"/>
    <x v="2"/>
    <n v="29.784999999999997"/>
    <n v="178.70999999999998"/>
    <x v="3"/>
    <x v="2"/>
    <x v="1"/>
  </r>
  <r>
    <s v="DJH-05202-380"/>
    <x v="38"/>
    <s v="85589-17020-CX"/>
    <s v="E-M-2.5"/>
    <n v="2"/>
    <x v="41"/>
    <s v=""/>
    <x v="0"/>
    <s v="Exc"/>
    <s v="M"/>
    <x v="2"/>
    <n v="31.624999999999996"/>
    <n v="63.249999999999993"/>
    <x v="1"/>
    <x v="0"/>
    <x v="0"/>
  </r>
  <r>
    <s v="VMW-26889-781"/>
    <x v="39"/>
    <s v="36078-91009-WU"/>
    <s v="A-L-0.2"/>
    <n v="2"/>
    <x v="42"/>
    <s v="acurley1b@hao123.com"/>
    <x v="0"/>
    <s v="Ara"/>
    <s v="L"/>
    <x v="3"/>
    <n v="3.8849999999999998"/>
    <n v="7.77"/>
    <x v="2"/>
    <x v="1"/>
    <x v="0"/>
  </r>
  <r>
    <s v="DBU-81099-586"/>
    <x v="40"/>
    <s v="15770-27099-GX"/>
    <s v="A-D-2.5"/>
    <n v="4"/>
    <x v="43"/>
    <s v="rmcgilvary1c@tamu.edu"/>
    <x v="0"/>
    <s v="Ara"/>
    <s v="D"/>
    <x v="2"/>
    <n v="22.884999999999998"/>
    <n v="91.539999999999992"/>
    <x v="2"/>
    <x v="2"/>
    <x v="1"/>
  </r>
  <r>
    <s v="PQA-54820-810"/>
    <x v="41"/>
    <s v="91460-04823-BX"/>
    <s v="A-L-1"/>
    <n v="3"/>
    <x v="44"/>
    <s v="ipikett1d@xinhuanet.com"/>
    <x v="0"/>
    <s v="Ara"/>
    <s v="L"/>
    <x v="0"/>
    <n v="12.95"/>
    <n v="38.849999999999994"/>
    <x v="2"/>
    <x v="1"/>
    <x v="1"/>
  </r>
  <r>
    <s v="XKB-41924-202"/>
    <x v="42"/>
    <s v="45089-52817-WN"/>
    <s v="L-D-0.5"/>
    <n v="2"/>
    <x v="45"/>
    <s v="ibouldon1e@gizmodo.com"/>
    <x v="0"/>
    <s v="Lib"/>
    <s v="D"/>
    <x v="1"/>
    <n v="7.77"/>
    <n v="15.54"/>
    <x v="3"/>
    <x v="2"/>
    <x v="1"/>
  </r>
  <r>
    <s v="DWZ-69106-473"/>
    <x v="43"/>
    <s v="76447-50326-IC"/>
    <s v="L-L-2.5"/>
    <n v="4"/>
    <x v="46"/>
    <s v="kflanders1f@over-blog.com"/>
    <x v="1"/>
    <s v="Lib"/>
    <s v="L"/>
    <x v="2"/>
    <n v="36.454999999999998"/>
    <n v="145.82"/>
    <x v="3"/>
    <x v="1"/>
    <x v="0"/>
  </r>
  <r>
    <s v="YHV-68700-050"/>
    <x v="44"/>
    <s v="26333-67911-OL"/>
    <s v="R-M-0.5"/>
    <n v="5"/>
    <x v="47"/>
    <s v="hmattioli1g@webmd.com"/>
    <x v="2"/>
    <s v="Rob"/>
    <s v="M"/>
    <x v="1"/>
    <n v="5.97"/>
    <n v="29.849999999999998"/>
    <x v="0"/>
    <x v="0"/>
    <x v="1"/>
  </r>
  <r>
    <s v="YHV-68700-050"/>
    <x v="44"/>
    <s v="26333-67911-OL"/>
    <s v="L-L-2.5"/>
    <n v="2"/>
    <x v="47"/>
    <s v="hmattioli1g@webmd.com"/>
    <x v="2"/>
    <s v="Lib"/>
    <s v="L"/>
    <x v="2"/>
    <n v="36.454999999999998"/>
    <n v="72.91"/>
    <x v="3"/>
    <x v="1"/>
    <x v="1"/>
  </r>
  <r>
    <s v="KRB-88066-642"/>
    <x v="45"/>
    <s v="22107-86640-SB"/>
    <s v="L-M-1"/>
    <n v="5"/>
    <x v="48"/>
    <s v="agillard1i@issuu.com"/>
    <x v="0"/>
    <s v="Lib"/>
    <s v="M"/>
    <x v="0"/>
    <n v="14.55"/>
    <n v="72.75"/>
    <x v="3"/>
    <x v="0"/>
    <x v="1"/>
  </r>
  <r>
    <s v="LQU-08404-173"/>
    <x v="46"/>
    <s v="09960-34242-LZ"/>
    <s v="L-L-1"/>
    <n v="3"/>
    <x v="49"/>
    <s v=""/>
    <x v="0"/>
    <s v="Lib"/>
    <s v="L"/>
    <x v="0"/>
    <n v="15.85"/>
    <n v="47.55"/>
    <x v="3"/>
    <x v="1"/>
    <x v="1"/>
  </r>
  <r>
    <s v="CWK-60159-881"/>
    <x v="47"/>
    <s v="04671-85591-RT"/>
    <s v="E-D-0.2"/>
    <n v="3"/>
    <x v="50"/>
    <s v="tgrizard1k@odnoklassniki.ru"/>
    <x v="0"/>
    <s v="Exc"/>
    <s v="D"/>
    <x v="3"/>
    <n v="3.645"/>
    <n v="10.935"/>
    <x v="1"/>
    <x v="2"/>
    <x v="0"/>
  </r>
  <r>
    <s v="EEG-74197-843"/>
    <x v="48"/>
    <s v="25729-68859-UA"/>
    <s v="E-L-1"/>
    <n v="4"/>
    <x v="51"/>
    <s v="rrelton1l@stanford.edu"/>
    <x v="0"/>
    <s v="Exc"/>
    <s v="L"/>
    <x v="0"/>
    <n v="14.85"/>
    <n v="59.4"/>
    <x v="1"/>
    <x v="1"/>
    <x v="1"/>
  </r>
  <r>
    <s v="UCZ-59708-525"/>
    <x v="49"/>
    <s v="05501-86351-NX"/>
    <s v="L-D-2.5"/>
    <n v="3"/>
    <x v="52"/>
    <s v=""/>
    <x v="0"/>
    <s v="Lib"/>
    <s v="D"/>
    <x v="2"/>
    <n v="29.784999999999997"/>
    <n v="89.35499999999999"/>
    <x v="3"/>
    <x v="2"/>
    <x v="0"/>
  </r>
  <r>
    <s v="HUB-47311-849"/>
    <x v="50"/>
    <s v="04521-04300-OK"/>
    <s v="L-M-0.5"/>
    <n v="3"/>
    <x v="53"/>
    <s v="sgilroy1n@eepurl.com"/>
    <x v="0"/>
    <s v="Lib"/>
    <s v="M"/>
    <x v="1"/>
    <n v="8.73"/>
    <n v="26.19"/>
    <x v="3"/>
    <x v="0"/>
    <x v="0"/>
  </r>
  <r>
    <s v="WYM-17686-694"/>
    <x v="51"/>
    <s v="58689-55264-VK"/>
    <s v="A-D-2.5"/>
    <n v="5"/>
    <x v="54"/>
    <s v="ccottingham1o@wikipedia.org"/>
    <x v="0"/>
    <s v="Ara"/>
    <s v="D"/>
    <x v="2"/>
    <n v="22.884999999999998"/>
    <n v="114.42499999999998"/>
    <x v="2"/>
    <x v="2"/>
    <x v="1"/>
  </r>
  <r>
    <s v="ZYQ-15797-695"/>
    <x v="52"/>
    <s v="79436-73011-MM"/>
    <s v="R-D-0.5"/>
    <n v="5"/>
    <x v="55"/>
    <s v=""/>
    <x v="2"/>
    <s v="Rob"/>
    <s v="D"/>
    <x v="1"/>
    <n v="5.3699999999999992"/>
    <n v="26.849999999999994"/>
    <x v="0"/>
    <x v="2"/>
    <x v="0"/>
  </r>
  <r>
    <s v="EEJ-16185-108"/>
    <x v="53"/>
    <s v="65552-60476-KY"/>
    <s v="L-L-0.2"/>
    <n v="5"/>
    <x v="56"/>
    <s v=""/>
    <x v="0"/>
    <s v="Lib"/>
    <s v="L"/>
    <x v="3"/>
    <n v="4.7549999999999999"/>
    <n v="23.774999999999999"/>
    <x v="3"/>
    <x v="1"/>
    <x v="0"/>
  </r>
  <r>
    <s v="RWR-77888-800"/>
    <x v="54"/>
    <s v="69904-02729-YS"/>
    <s v="A-M-0.5"/>
    <n v="1"/>
    <x v="57"/>
    <s v="adykes1r@eventbrite.com"/>
    <x v="0"/>
    <s v="Ara"/>
    <s v="M"/>
    <x v="1"/>
    <n v="6.75"/>
    <n v="6.75"/>
    <x v="2"/>
    <x v="0"/>
    <x v="1"/>
  </r>
  <r>
    <s v="LHN-75209-742"/>
    <x v="55"/>
    <s v="01433-04270-AX"/>
    <s v="R-M-0.5"/>
    <n v="6"/>
    <x v="58"/>
    <s v=""/>
    <x v="0"/>
    <s v="Rob"/>
    <s v="M"/>
    <x v="1"/>
    <n v="5.97"/>
    <n v="35.82"/>
    <x v="0"/>
    <x v="0"/>
    <x v="0"/>
  </r>
  <r>
    <s v="TIR-71396-998"/>
    <x v="56"/>
    <s v="14204-14186-LA"/>
    <s v="R-D-2.5"/>
    <n v="4"/>
    <x v="59"/>
    <s v="acockrem1t@engadget.com"/>
    <x v="0"/>
    <s v="Rob"/>
    <s v="D"/>
    <x v="2"/>
    <n v="20.584999999999997"/>
    <n v="82.339999999999989"/>
    <x v="0"/>
    <x v="2"/>
    <x v="0"/>
  </r>
  <r>
    <s v="RXF-37618-213"/>
    <x v="57"/>
    <s v="32948-34398-HC"/>
    <s v="R-L-0.5"/>
    <n v="1"/>
    <x v="60"/>
    <s v="bumpleby1u@soundcloud.com"/>
    <x v="0"/>
    <s v="Rob"/>
    <s v="L"/>
    <x v="1"/>
    <n v="7.169999999999999"/>
    <n v="7.169999999999999"/>
    <x v="0"/>
    <x v="1"/>
    <x v="0"/>
  </r>
  <r>
    <s v="ANM-16388-634"/>
    <x v="58"/>
    <s v="77343-52608-FF"/>
    <s v="L-L-0.2"/>
    <n v="2"/>
    <x v="61"/>
    <s v="nsaleway1v@dedecms.com"/>
    <x v="0"/>
    <s v="Lib"/>
    <s v="L"/>
    <x v="3"/>
    <n v="4.7549999999999999"/>
    <n v="9.51"/>
    <x v="3"/>
    <x v="1"/>
    <x v="1"/>
  </r>
  <r>
    <s v="WYL-29300-070"/>
    <x v="59"/>
    <s v="42770-36274-QA"/>
    <s v="R-M-0.2"/>
    <n v="1"/>
    <x v="62"/>
    <s v="hgoulter1w@abc.net.au"/>
    <x v="0"/>
    <s v="Rob"/>
    <s v="M"/>
    <x v="3"/>
    <n v="2.9849999999999999"/>
    <n v="2.9849999999999999"/>
    <x v="0"/>
    <x v="0"/>
    <x v="1"/>
  </r>
  <r>
    <s v="JHW-74554-805"/>
    <x v="60"/>
    <s v="14103-58987-ZU"/>
    <s v="R-M-1"/>
    <n v="6"/>
    <x v="63"/>
    <s v="grizzello1x@symantec.com"/>
    <x v="2"/>
    <s v="Rob"/>
    <s v="M"/>
    <x v="0"/>
    <n v="9.9499999999999993"/>
    <n v="59.699999999999996"/>
    <x v="0"/>
    <x v="0"/>
    <x v="0"/>
  </r>
  <r>
    <s v="KYS-27063-603"/>
    <x v="61"/>
    <s v="69958-32065-SW"/>
    <s v="E-L-2.5"/>
    <n v="4"/>
    <x v="64"/>
    <s v="slist1y@mapquest.com"/>
    <x v="0"/>
    <s v="Exc"/>
    <s v="L"/>
    <x v="2"/>
    <n v="34.154999999999994"/>
    <n v="136.61999999999998"/>
    <x v="1"/>
    <x v="1"/>
    <x v="1"/>
  </r>
  <r>
    <s v="GAZ-58626-277"/>
    <x v="62"/>
    <s v="69533-84907-FA"/>
    <s v="L-L-0.2"/>
    <n v="2"/>
    <x v="65"/>
    <s v="sedmondson1z@theguardian.com"/>
    <x v="1"/>
    <s v="Lib"/>
    <s v="L"/>
    <x v="3"/>
    <n v="4.7549999999999999"/>
    <n v="9.51"/>
    <x v="3"/>
    <x v="1"/>
    <x v="1"/>
  </r>
  <r>
    <s v="RPJ-37787-335"/>
    <x v="63"/>
    <s v="76005-95461-CI"/>
    <s v="A-M-2.5"/>
    <n v="3"/>
    <x v="66"/>
    <s v=""/>
    <x v="0"/>
    <s v="Ara"/>
    <s v="M"/>
    <x v="2"/>
    <n v="25.874999999999996"/>
    <n v="77.624999999999986"/>
    <x v="2"/>
    <x v="0"/>
    <x v="1"/>
  </r>
  <r>
    <s v="LEF-83057-763"/>
    <x v="64"/>
    <s v="15395-90855-VB"/>
    <s v="L-M-0.2"/>
    <n v="5"/>
    <x v="67"/>
    <s v=""/>
    <x v="0"/>
    <s v="Lib"/>
    <s v="M"/>
    <x v="3"/>
    <n v="4.3650000000000002"/>
    <n v="21.825000000000003"/>
    <x v="3"/>
    <x v="0"/>
    <x v="0"/>
  </r>
  <r>
    <s v="RPW-36123-215"/>
    <x v="65"/>
    <s v="80640-45811-LB"/>
    <s v="E-L-0.5"/>
    <n v="2"/>
    <x v="68"/>
    <s v="jrangall22@newsvine.com"/>
    <x v="0"/>
    <s v="Exc"/>
    <s v="L"/>
    <x v="1"/>
    <n v="8.91"/>
    <n v="17.82"/>
    <x v="1"/>
    <x v="1"/>
    <x v="0"/>
  </r>
  <r>
    <s v="WLL-59044-117"/>
    <x v="66"/>
    <s v="28476-04082-GR"/>
    <s v="R-D-1"/>
    <n v="6"/>
    <x v="69"/>
    <s v="kboorn23@ezinearticles.com"/>
    <x v="1"/>
    <s v="Rob"/>
    <s v="D"/>
    <x v="0"/>
    <n v="8.9499999999999993"/>
    <n v="53.699999999999996"/>
    <x v="0"/>
    <x v="2"/>
    <x v="0"/>
  </r>
  <r>
    <s v="AWT-22827-563"/>
    <x v="67"/>
    <s v="12018-75670-EU"/>
    <s v="R-L-0.2"/>
    <n v="1"/>
    <x v="70"/>
    <s v=""/>
    <x v="1"/>
    <s v="Rob"/>
    <s v="L"/>
    <x v="3"/>
    <n v="3.5849999999999995"/>
    <n v="3.5849999999999995"/>
    <x v="0"/>
    <x v="1"/>
    <x v="0"/>
  </r>
  <r>
    <s v="QLM-07145-668"/>
    <x v="68"/>
    <s v="86437-17399-FK"/>
    <s v="E-D-0.2"/>
    <n v="2"/>
    <x v="71"/>
    <s v="celgey25@webs.com"/>
    <x v="0"/>
    <s v="Exc"/>
    <s v="D"/>
    <x v="3"/>
    <n v="3.645"/>
    <n v="7.29"/>
    <x v="1"/>
    <x v="2"/>
    <x v="1"/>
  </r>
  <r>
    <s v="HVQ-64398-930"/>
    <x v="69"/>
    <s v="62979-53167-ML"/>
    <s v="A-M-0.5"/>
    <n v="6"/>
    <x v="72"/>
    <s v="lmizzi26@rakuten.co.jp"/>
    <x v="0"/>
    <s v="Ara"/>
    <s v="M"/>
    <x v="1"/>
    <n v="6.75"/>
    <n v="40.5"/>
    <x v="2"/>
    <x v="0"/>
    <x v="0"/>
  </r>
  <r>
    <s v="WRT-40778-247"/>
    <x v="70"/>
    <s v="54810-81899-HL"/>
    <s v="R-L-1"/>
    <n v="4"/>
    <x v="73"/>
    <s v="cgiacomazzo27@jigsy.com"/>
    <x v="0"/>
    <s v="Rob"/>
    <s v="L"/>
    <x v="0"/>
    <n v="11.95"/>
    <n v="47.8"/>
    <x v="0"/>
    <x v="1"/>
    <x v="1"/>
  </r>
  <r>
    <s v="SUB-13006-125"/>
    <x v="71"/>
    <s v="26103-41504-IB"/>
    <s v="A-L-0.5"/>
    <n v="5"/>
    <x v="74"/>
    <s v="aarnow28@arizona.edu"/>
    <x v="0"/>
    <s v="Ara"/>
    <s v="L"/>
    <x v="1"/>
    <n v="7.77"/>
    <n v="38.849999999999994"/>
    <x v="2"/>
    <x v="1"/>
    <x v="0"/>
  </r>
  <r>
    <s v="CQM-49696-263"/>
    <x v="72"/>
    <s v="76534-45229-SG"/>
    <s v="L-L-2.5"/>
    <n v="3"/>
    <x v="75"/>
    <s v="syann29@senate.gov"/>
    <x v="0"/>
    <s v="Lib"/>
    <s v="L"/>
    <x v="2"/>
    <n v="36.454999999999998"/>
    <n v="109.36499999999999"/>
    <x v="3"/>
    <x v="1"/>
    <x v="0"/>
  </r>
  <r>
    <s v="KXN-85094-246"/>
    <x v="73"/>
    <s v="81744-27332-RR"/>
    <s v="L-M-2.5"/>
    <n v="3"/>
    <x v="76"/>
    <s v="bnaulls2a@tiny.cc"/>
    <x v="1"/>
    <s v="Lib"/>
    <s v="M"/>
    <x v="2"/>
    <n v="33.464999999999996"/>
    <n v="100.39499999999998"/>
    <x v="3"/>
    <x v="0"/>
    <x v="0"/>
  </r>
  <r>
    <s v="XOQ-12405-419"/>
    <x v="74"/>
    <s v="91513-75657-PH"/>
    <s v="R-D-2.5"/>
    <n v="4"/>
    <x v="77"/>
    <s v=""/>
    <x v="0"/>
    <s v="Rob"/>
    <s v="D"/>
    <x v="2"/>
    <n v="20.584999999999997"/>
    <n v="82.339999999999989"/>
    <x v="0"/>
    <x v="2"/>
    <x v="0"/>
  </r>
  <r>
    <s v="HYF-10254-369"/>
    <x v="75"/>
    <s v="30373-66619-CB"/>
    <s v="L-L-0.5"/>
    <n v="1"/>
    <x v="78"/>
    <s v="zsherewood2c@apache.org"/>
    <x v="0"/>
    <s v="Lib"/>
    <s v="L"/>
    <x v="1"/>
    <n v="9.51"/>
    <n v="9.51"/>
    <x v="3"/>
    <x v="1"/>
    <x v="1"/>
  </r>
  <r>
    <s v="XXJ-47000-307"/>
    <x v="76"/>
    <s v="31582-23562-FM"/>
    <s v="A-L-2.5"/>
    <n v="3"/>
    <x v="79"/>
    <s v="jdufaire2d@fc2.com"/>
    <x v="0"/>
    <s v="Ara"/>
    <s v="L"/>
    <x v="2"/>
    <n v="29.784999999999997"/>
    <n v="89.35499999999999"/>
    <x v="2"/>
    <x v="1"/>
    <x v="1"/>
  </r>
  <r>
    <s v="XXJ-47000-307"/>
    <x v="76"/>
    <s v="31582-23562-FM"/>
    <s v="A-D-0.2"/>
    <n v="4"/>
    <x v="79"/>
    <s v="jdufaire2d@fc2.com"/>
    <x v="0"/>
    <s v="Ara"/>
    <s v="D"/>
    <x v="3"/>
    <n v="2.9849999999999999"/>
    <n v="11.94"/>
    <x v="2"/>
    <x v="2"/>
    <x v="1"/>
  </r>
  <r>
    <s v="ZDK-82166-357"/>
    <x v="77"/>
    <s v="81431-12577-VD"/>
    <s v="A-M-1"/>
    <n v="3"/>
    <x v="80"/>
    <s v="bkeaveney2f@netlog.com"/>
    <x v="0"/>
    <s v="Ara"/>
    <s v="M"/>
    <x v="0"/>
    <n v="11.25"/>
    <n v="33.75"/>
    <x v="2"/>
    <x v="0"/>
    <x v="1"/>
  </r>
  <r>
    <s v="IHN-19982-362"/>
    <x v="78"/>
    <s v="68894-91205-MP"/>
    <s v="R-L-1"/>
    <n v="3"/>
    <x v="81"/>
    <s v="egrise2g@cargocollective.com"/>
    <x v="0"/>
    <s v="Rob"/>
    <s v="L"/>
    <x v="0"/>
    <n v="11.95"/>
    <n v="35.849999999999994"/>
    <x v="0"/>
    <x v="1"/>
    <x v="1"/>
  </r>
  <r>
    <s v="VMT-10030-889"/>
    <x v="79"/>
    <s v="87602-55754-VN"/>
    <s v="A-L-1"/>
    <n v="6"/>
    <x v="82"/>
    <s v="tgottelier2h@vistaprint.com"/>
    <x v="0"/>
    <s v="Ara"/>
    <s v="L"/>
    <x v="0"/>
    <n v="12.95"/>
    <n v="77.699999999999989"/>
    <x v="2"/>
    <x v="1"/>
    <x v="1"/>
  </r>
  <r>
    <s v="NHL-11063-100"/>
    <x v="80"/>
    <s v="39181-35745-WH"/>
    <s v="A-L-1"/>
    <n v="4"/>
    <x v="83"/>
    <s v=""/>
    <x v="1"/>
    <s v="Ara"/>
    <s v="L"/>
    <x v="0"/>
    <n v="12.95"/>
    <n v="51.8"/>
    <x v="2"/>
    <x v="1"/>
    <x v="0"/>
  </r>
  <r>
    <s v="ROV-87448-086"/>
    <x v="81"/>
    <s v="30381-64762-NG"/>
    <s v="A-M-2.5"/>
    <n v="4"/>
    <x v="84"/>
    <s v="agreenhead2j@dailymail.co.uk"/>
    <x v="0"/>
    <s v="Ara"/>
    <s v="M"/>
    <x v="2"/>
    <n v="25.874999999999996"/>
    <n v="103.49999999999999"/>
    <x v="2"/>
    <x v="0"/>
    <x v="1"/>
  </r>
  <r>
    <s v="DGY-35773-612"/>
    <x v="82"/>
    <s v="17503-27693-ZH"/>
    <s v="E-L-1"/>
    <n v="3"/>
    <x v="85"/>
    <s v=""/>
    <x v="0"/>
    <s v="Exc"/>
    <s v="L"/>
    <x v="0"/>
    <n v="14.85"/>
    <n v="44.55"/>
    <x v="1"/>
    <x v="1"/>
    <x v="0"/>
  </r>
  <r>
    <s v="YWH-50638-556"/>
    <x v="83"/>
    <s v="89442-35633-HJ"/>
    <s v="E-L-0.5"/>
    <n v="4"/>
    <x v="86"/>
    <s v="elangcaster2l@spotify.com"/>
    <x v="2"/>
    <s v="Exc"/>
    <s v="L"/>
    <x v="1"/>
    <n v="8.91"/>
    <n v="35.64"/>
    <x v="1"/>
    <x v="1"/>
    <x v="0"/>
  </r>
  <r>
    <s v="ISL-11200-600"/>
    <x v="84"/>
    <s v="13654-85265-IL"/>
    <s v="A-D-0.2"/>
    <n v="6"/>
    <x v="87"/>
    <s v=""/>
    <x v="1"/>
    <s v="Ara"/>
    <s v="D"/>
    <x v="3"/>
    <n v="2.9849999999999999"/>
    <n v="17.91"/>
    <x v="2"/>
    <x v="2"/>
    <x v="0"/>
  </r>
  <r>
    <s v="LBZ-75997-047"/>
    <x v="85"/>
    <s v="40946-22090-FP"/>
    <s v="A-M-2.5"/>
    <n v="6"/>
    <x v="88"/>
    <s v="nmagauran2n@51.la"/>
    <x v="0"/>
    <s v="Ara"/>
    <s v="M"/>
    <x v="2"/>
    <n v="25.874999999999996"/>
    <n v="155.24999999999997"/>
    <x v="2"/>
    <x v="0"/>
    <x v="1"/>
  </r>
  <r>
    <s v="EUH-08089-954"/>
    <x v="86"/>
    <s v="29050-93691-TS"/>
    <s v="A-D-0.2"/>
    <n v="2"/>
    <x v="89"/>
    <s v="vkirdsch2o@google.fr"/>
    <x v="0"/>
    <s v="Ara"/>
    <s v="D"/>
    <x v="3"/>
    <n v="2.9849999999999999"/>
    <n v="5.97"/>
    <x v="2"/>
    <x v="2"/>
    <x v="1"/>
  </r>
  <r>
    <s v="BLD-12227-251"/>
    <x v="87"/>
    <s v="64395-74865-WF"/>
    <s v="A-M-0.5"/>
    <n v="2"/>
    <x v="90"/>
    <s v="iwhapple2p@com.com"/>
    <x v="0"/>
    <s v="Ara"/>
    <s v="M"/>
    <x v="1"/>
    <n v="6.75"/>
    <n v="13.5"/>
    <x v="2"/>
    <x v="0"/>
    <x v="1"/>
  </r>
  <r>
    <s v="OPY-30711-853"/>
    <x v="25"/>
    <s v="81861-66046-SU"/>
    <s v="A-D-0.2"/>
    <n v="1"/>
    <x v="91"/>
    <s v=""/>
    <x v="1"/>
    <s v="Ara"/>
    <s v="D"/>
    <x v="3"/>
    <n v="2.9849999999999999"/>
    <n v="2.9849999999999999"/>
    <x v="2"/>
    <x v="2"/>
    <x v="1"/>
  </r>
  <r>
    <s v="DBC-44122-300"/>
    <x v="88"/>
    <s v="13366-78506-KP"/>
    <s v="L-M-0.2"/>
    <n v="3"/>
    <x v="92"/>
    <s v=""/>
    <x v="0"/>
    <s v="Lib"/>
    <s v="M"/>
    <x v="3"/>
    <n v="4.3650000000000002"/>
    <n v="13.095000000000001"/>
    <x v="3"/>
    <x v="0"/>
    <x v="0"/>
  </r>
  <r>
    <s v="FJQ-60035-234"/>
    <x v="89"/>
    <s v="08847-29858-HN"/>
    <s v="A-L-0.2"/>
    <n v="2"/>
    <x v="93"/>
    <s v=""/>
    <x v="0"/>
    <s v="Ara"/>
    <s v="L"/>
    <x v="3"/>
    <n v="3.8849999999999998"/>
    <n v="7.77"/>
    <x v="2"/>
    <x v="1"/>
    <x v="0"/>
  </r>
  <r>
    <s v="HSF-66926-425"/>
    <x v="90"/>
    <s v="00539-42510-RY"/>
    <s v="L-D-2.5"/>
    <n v="5"/>
    <x v="94"/>
    <s v="nyoules2t@reference.com"/>
    <x v="1"/>
    <s v="Lib"/>
    <s v="D"/>
    <x v="2"/>
    <n v="29.784999999999997"/>
    <n v="148.92499999999998"/>
    <x v="3"/>
    <x v="2"/>
    <x v="0"/>
  </r>
  <r>
    <s v="LQG-41416-375"/>
    <x v="91"/>
    <s v="45190-08727-NV"/>
    <s v="L-D-1"/>
    <n v="3"/>
    <x v="95"/>
    <s v="daizikovitz2u@answers.com"/>
    <x v="1"/>
    <s v="Lib"/>
    <s v="D"/>
    <x v="0"/>
    <n v="12.95"/>
    <n v="38.849999999999994"/>
    <x v="3"/>
    <x v="2"/>
    <x v="0"/>
  </r>
  <r>
    <s v="VZO-97265-841"/>
    <x v="92"/>
    <s v="87049-37901-FU"/>
    <s v="R-M-0.2"/>
    <n v="4"/>
    <x v="96"/>
    <s v="brevel2v@fastcompany.com"/>
    <x v="0"/>
    <s v="Rob"/>
    <s v="M"/>
    <x v="3"/>
    <n v="2.9849999999999999"/>
    <n v="11.94"/>
    <x v="0"/>
    <x v="0"/>
    <x v="1"/>
  </r>
  <r>
    <s v="MOR-12987-399"/>
    <x v="93"/>
    <s v="34015-31593-JC"/>
    <s v="L-M-1"/>
    <n v="6"/>
    <x v="97"/>
    <s v="epriddis2w@nationalgeographic.com"/>
    <x v="0"/>
    <s v="Lib"/>
    <s v="M"/>
    <x v="0"/>
    <n v="14.55"/>
    <n v="87.300000000000011"/>
    <x v="3"/>
    <x v="0"/>
    <x v="1"/>
  </r>
  <r>
    <s v="UOA-23786-489"/>
    <x v="94"/>
    <s v="90305-50099-SV"/>
    <s v="A-M-0.5"/>
    <n v="6"/>
    <x v="98"/>
    <s v="qveel2x@jugem.jp"/>
    <x v="0"/>
    <s v="Ara"/>
    <s v="M"/>
    <x v="1"/>
    <n v="6.75"/>
    <n v="40.5"/>
    <x v="2"/>
    <x v="0"/>
    <x v="0"/>
  </r>
  <r>
    <s v="AJL-52941-018"/>
    <x v="95"/>
    <s v="55871-61935-MF"/>
    <s v="E-D-1"/>
    <n v="2"/>
    <x v="99"/>
    <s v="lconyers2y@twitter.com"/>
    <x v="0"/>
    <s v="Exc"/>
    <s v="D"/>
    <x v="0"/>
    <n v="12.15"/>
    <n v="24.3"/>
    <x v="1"/>
    <x v="2"/>
    <x v="1"/>
  </r>
  <r>
    <s v="XSZ-84273-421"/>
    <x v="96"/>
    <s v="15405-60469-TM"/>
    <s v="R-M-0.5"/>
    <n v="3"/>
    <x v="100"/>
    <s v="pwye2z@dagondesign.com"/>
    <x v="0"/>
    <s v="Rob"/>
    <s v="M"/>
    <x v="1"/>
    <n v="5.97"/>
    <n v="17.91"/>
    <x v="0"/>
    <x v="0"/>
    <x v="0"/>
  </r>
  <r>
    <s v="NUN-48214-216"/>
    <x v="97"/>
    <s v="06953-94794-FB"/>
    <s v="A-M-0.5"/>
    <n v="4"/>
    <x v="101"/>
    <s v=""/>
    <x v="0"/>
    <s v="Ara"/>
    <s v="M"/>
    <x v="1"/>
    <n v="6.75"/>
    <n v="27"/>
    <x v="2"/>
    <x v="0"/>
    <x v="1"/>
  </r>
  <r>
    <s v="AKV-93064-769"/>
    <x v="98"/>
    <s v="22305-40299-CY"/>
    <s v="L-D-0.5"/>
    <n v="1"/>
    <x v="102"/>
    <s v="tsheryn31@mtv.com"/>
    <x v="0"/>
    <s v="Lib"/>
    <s v="D"/>
    <x v="1"/>
    <n v="7.77"/>
    <n v="7.77"/>
    <x v="3"/>
    <x v="2"/>
    <x v="0"/>
  </r>
  <r>
    <s v="BRB-40903-533"/>
    <x v="99"/>
    <s v="09020-56774-GU"/>
    <s v="E-L-0.2"/>
    <n v="3"/>
    <x v="103"/>
    <s v="mredgrave32@cargocollective.com"/>
    <x v="0"/>
    <s v="Exc"/>
    <s v="L"/>
    <x v="3"/>
    <n v="4.4550000000000001"/>
    <n v="13.365"/>
    <x v="1"/>
    <x v="1"/>
    <x v="0"/>
  </r>
  <r>
    <s v="GPR-19973-483"/>
    <x v="100"/>
    <s v="92926-08470-YS"/>
    <s v="R-D-0.5"/>
    <n v="5"/>
    <x v="104"/>
    <s v="bfominov33@yale.edu"/>
    <x v="0"/>
    <s v="Rob"/>
    <s v="D"/>
    <x v="1"/>
    <n v="5.3699999999999992"/>
    <n v="26.849999999999994"/>
    <x v="0"/>
    <x v="2"/>
    <x v="1"/>
  </r>
  <r>
    <s v="XIY-43041-882"/>
    <x v="101"/>
    <s v="07250-63194-JO"/>
    <s v="A-M-1"/>
    <n v="1"/>
    <x v="105"/>
    <s v="scritchlow34@un.org"/>
    <x v="0"/>
    <s v="Ara"/>
    <s v="M"/>
    <x v="0"/>
    <n v="11.25"/>
    <n v="11.25"/>
    <x v="2"/>
    <x v="0"/>
    <x v="1"/>
  </r>
  <r>
    <s v="YGY-98425-969"/>
    <x v="102"/>
    <s v="63787-96257-TQ"/>
    <s v="L-M-1"/>
    <n v="1"/>
    <x v="106"/>
    <s v="msteptow35@earthlink.net"/>
    <x v="1"/>
    <s v="Lib"/>
    <s v="M"/>
    <x v="0"/>
    <n v="14.55"/>
    <n v="14.55"/>
    <x v="3"/>
    <x v="0"/>
    <x v="1"/>
  </r>
  <r>
    <s v="MSB-08397-648"/>
    <x v="103"/>
    <s v="49530-25460-RW"/>
    <s v="R-L-0.2"/>
    <n v="4"/>
    <x v="107"/>
    <s v=""/>
    <x v="0"/>
    <s v="Rob"/>
    <s v="L"/>
    <x v="3"/>
    <n v="3.5849999999999995"/>
    <n v="14.339999999999998"/>
    <x v="0"/>
    <x v="1"/>
    <x v="1"/>
  </r>
  <r>
    <s v="WDR-06028-345"/>
    <x v="104"/>
    <s v="66508-21373-OQ"/>
    <s v="L-L-1"/>
    <n v="1"/>
    <x v="108"/>
    <s v="imulliner37@pinterest.com"/>
    <x v="2"/>
    <s v="Lib"/>
    <s v="L"/>
    <x v="0"/>
    <n v="15.85"/>
    <n v="15.85"/>
    <x v="3"/>
    <x v="1"/>
    <x v="1"/>
  </r>
  <r>
    <s v="MXM-42948-061"/>
    <x v="105"/>
    <s v="20203-03950-FY"/>
    <s v="L-L-0.2"/>
    <n v="4"/>
    <x v="109"/>
    <s v="gstandley38@dion.ne.jp"/>
    <x v="1"/>
    <s v="Lib"/>
    <s v="L"/>
    <x v="3"/>
    <n v="4.7549999999999999"/>
    <n v="19.02"/>
    <x v="3"/>
    <x v="1"/>
    <x v="0"/>
  </r>
  <r>
    <s v="MGQ-98961-173"/>
    <x v="11"/>
    <s v="83895-90735-XH"/>
    <s v="L-L-0.5"/>
    <n v="4"/>
    <x v="110"/>
    <s v="bdrage39@youku.com"/>
    <x v="0"/>
    <s v="Lib"/>
    <s v="L"/>
    <x v="1"/>
    <n v="9.51"/>
    <n v="38.04"/>
    <x v="3"/>
    <x v="1"/>
    <x v="1"/>
  </r>
  <r>
    <s v="RFH-64349-897"/>
    <x v="106"/>
    <s v="61954-61462-RJ"/>
    <s v="E-D-0.5"/>
    <n v="3"/>
    <x v="111"/>
    <s v="myallop3a@fema.gov"/>
    <x v="0"/>
    <s v="Exc"/>
    <s v="D"/>
    <x v="1"/>
    <n v="7.29"/>
    <n v="21.87"/>
    <x v="1"/>
    <x v="2"/>
    <x v="0"/>
  </r>
  <r>
    <s v="TKL-20738-660"/>
    <x v="107"/>
    <s v="47939-53158-LS"/>
    <s v="E-M-0.2"/>
    <n v="1"/>
    <x v="112"/>
    <s v="cswitsur3b@chronoengine.com"/>
    <x v="0"/>
    <s v="Exc"/>
    <s v="M"/>
    <x v="3"/>
    <n v="4.125"/>
    <n v="4.125"/>
    <x v="1"/>
    <x v="0"/>
    <x v="1"/>
  </r>
  <r>
    <s v="TKL-20738-660"/>
    <x v="107"/>
    <s v="47939-53158-LS"/>
    <s v="A-L-0.2"/>
    <n v="1"/>
    <x v="112"/>
    <s v="cswitsur3b@chronoengine.com"/>
    <x v="0"/>
    <s v="Ara"/>
    <s v="L"/>
    <x v="3"/>
    <n v="3.8849999999999998"/>
    <n v="3.8849999999999998"/>
    <x v="2"/>
    <x v="1"/>
    <x v="1"/>
  </r>
  <r>
    <s v="TKL-20738-660"/>
    <x v="107"/>
    <s v="47939-53158-LS"/>
    <s v="E-M-1"/>
    <n v="5"/>
    <x v="112"/>
    <s v="cswitsur3b@chronoengine.com"/>
    <x v="0"/>
    <s v="Exc"/>
    <s v="M"/>
    <x v="0"/>
    <n v="13.75"/>
    <n v="68.75"/>
    <x v="1"/>
    <x v="0"/>
    <x v="1"/>
  </r>
  <r>
    <s v="GOW-03198-575"/>
    <x v="108"/>
    <s v="61513-27752-FA"/>
    <s v="A-D-0.5"/>
    <n v="4"/>
    <x v="113"/>
    <s v="mludwell3e@blogger.com"/>
    <x v="0"/>
    <s v="Ara"/>
    <s v="D"/>
    <x v="1"/>
    <n v="5.97"/>
    <n v="23.88"/>
    <x v="2"/>
    <x v="2"/>
    <x v="0"/>
  </r>
  <r>
    <s v="QJB-90477-635"/>
    <x v="109"/>
    <s v="89714-19856-WX"/>
    <s v="L-L-2.5"/>
    <n v="4"/>
    <x v="114"/>
    <s v="dbeauchamp3f@usda.gov"/>
    <x v="0"/>
    <s v="Lib"/>
    <s v="L"/>
    <x v="2"/>
    <n v="36.454999999999998"/>
    <n v="145.82"/>
    <x v="3"/>
    <x v="1"/>
    <x v="1"/>
  </r>
  <r>
    <s v="MWP-46239-785"/>
    <x v="110"/>
    <s v="87979-56781-YV"/>
    <s v="L-M-0.2"/>
    <n v="5"/>
    <x v="115"/>
    <s v="srodliff3g@ted.com"/>
    <x v="0"/>
    <s v="Lib"/>
    <s v="M"/>
    <x v="3"/>
    <n v="4.3650000000000002"/>
    <n v="21.825000000000003"/>
    <x v="3"/>
    <x v="0"/>
    <x v="0"/>
  </r>
  <r>
    <s v="QDV-03406-248"/>
    <x v="111"/>
    <s v="74126-88836-KA"/>
    <s v="L-M-0.5"/>
    <n v="3"/>
    <x v="116"/>
    <s v="swoodham3h@businesswire.com"/>
    <x v="1"/>
    <s v="Lib"/>
    <s v="M"/>
    <x v="1"/>
    <n v="8.73"/>
    <n v="26.19"/>
    <x v="3"/>
    <x v="0"/>
    <x v="0"/>
  </r>
  <r>
    <s v="GPH-40635-105"/>
    <x v="112"/>
    <s v="37397-05992-VO"/>
    <s v="A-M-1"/>
    <n v="1"/>
    <x v="117"/>
    <s v="hsynnot3i@about.com"/>
    <x v="0"/>
    <s v="Ara"/>
    <s v="M"/>
    <x v="0"/>
    <n v="11.25"/>
    <n v="11.25"/>
    <x v="2"/>
    <x v="0"/>
    <x v="1"/>
  </r>
  <r>
    <s v="JOM-80930-071"/>
    <x v="113"/>
    <s v="54904-18397-UD"/>
    <s v="L-D-1"/>
    <n v="6"/>
    <x v="118"/>
    <s v="rlepere3j@shop-pro.jp"/>
    <x v="1"/>
    <s v="Lib"/>
    <s v="D"/>
    <x v="0"/>
    <n v="12.95"/>
    <n v="77.699999999999989"/>
    <x v="3"/>
    <x v="2"/>
    <x v="1"/>
  </r>
  <r>
    <s v="OIL-26493-755"/>
    <x v="114"/>
    <s v="19017-95853-EK"/>
    <s v="A-M-0.5"/>
    <n v="1"/>
    <x v="119"/>
    <s v="twoofinden3k@businesswire.com"/>
    <x v="0"/>
    <s v="Ara"/>
    <s v="M"/>
    <x v="1"/>
    <n v="6.75"/>
    <n v="6.75"/>
    <x v="2"/>
    <x v="0"/>
    <x v="1"/>
  </r>
  <r>
    <s v="CYV-13426-645"/>
    <x v="115"/>
    <s v="88593-59934-VU"/>
    <s v="E-D-1"/>
    <n v="1"/>
    <x v="120"/>
    <s v="edacca3l@google.pl"/>
    <x v="0"/>
    <s v="Exc"/>
    <s v="D"/>
    <x v="0"/>
    <n v="12.15"/>
    <n v="12.15"/>
    <x v="1"/>
    <x v="2"/>
    <x v="0"/>
  </r>
  <r>
    <s v="WRP-39846-614"/>
    <x v="49"/>
    <s v="47493-68564-YM"/>
    <s v="A-L-2.5"/>
    <n v="5"/>
    <x v="121"/>
    <s v=""/>
    <x v="1"/>
    <s v="Ara"/>
    <s v="L"/>
    <x v="2"/>
    <n v="29.784999999999997"/>
    <n v="148.92499999999998"/>
    <x v="2"/>
    <x v="1"/>
    <x v="0"/>
  </r>
  <r>
    <s v="VDZ-76673-968"/>
    <x v="116"/>
    <s v="82246-82543-DW"/>
    <s v="E-D-0.5"/>
    <n v="2"/>
    <x v="122"/>
    <s v="bhindsberg3n@blogs.com"/>
    <x v="0"/>
    <s v="Exc"/>
    <s v="D"/>
    <x v="1"/>
    <n v="7.29"/>
    <n v="14.58"/>
    <x v="1"/>
    <x v="2"/>
    <x v="0"/>
  </r>
  <r>
    <s v="VTV-03546-175"/>
    <x v="117"/>
    <s v="03384-62101-IY"/>
    <s v="A-L-2.5"/>
    <n v="5"/>
    <x v="123"/>
    <s v="orobins3o@salon.com"/>
    <x v="0"/>
    <s v="Ara"/>
    <s v="L"/>
    <x v="2"/>
    <n v="29.784999999999997"/>
    <n v="148.92499999999998"/>
    <x v="2"/>
    <x v="1"/>
    <x v="0"/>
  </r>
  <r>
    <s v="GHR-72274-715"/>
    <x v="118"/>
    <s v="86881-41559-OR"/>
    <s v="L-D-1"/>
    <n v="1"/>
    <x v="124"/>
    <s v="osyseland3p@independent.co.uk"/>
    <x v="0"/>
    <s v="Lib"/>
    <s v="D"/>
    <x v="0"/>
    <n v="12.95"/>
    <n v="12.95"/>
    <x v="3"/>
    <x v="2"/>
    <x v="1"/>
  </r>
  <r>
    <s v="ZGK-97262-313"/>
    <x v="119"/>
    <s v="02536-18494-AQ"/>
    <s v="E-M-2.5"/>
    <n v="3"/>
    <x v="125"/>
    <s v=""/>
    <x v="0"/>
    <s v="Exc"/>
    <s v="M"/>
    <x v="2"/>
    <n v="31.624999999999996"/>
    <n v="94.874999999999986"/>
    <x v="1"/>
    <x v="0"/>
    <x v="0"/>
  </r>
  <r>
    <s v="ZFS-30776-804"/>
    <x v="120"/>
    <s v="58638-01029-CB"/>
    <s v="A-L-0.5"/>
    <n v="5"/>
    <x v="126"/>
    <s v="bmcamish2e@tripadvisor.com"/>
    <x v="0"/>
    <s v="Ara"/>
    <s v="L"/>
    <x v="1"/>
    <n v="7.77"/>
    <n v="38.849999999999994"/>
    <x v="2"/>
    <x v="1"/>
    <x v="0"/>
  </r>
  <r>
    <s v="QUU-91729-492"/>
    <x v="121"/>
    <s v="90312-11148-LA"/>
    <s v="A-D-0.2"/>
    <n v="4"/>
    <x v="127"/>
    <s v="lkeenleyside3s@topsy.com"/>
    <x v="0"/>
    <s v="Ara"/>
    <s v="D"/>
    <x v="3"/>
    <n v="2.9849999999999999"/>
    <n v="11.94"/>
    <x v="2"/>
    <x v="2"/>
    <x v="1"/>
  </r>
  <r>
    <s v="PVI-72795-960"/>
    <x v="122"/>
    <s v="68239-74809-TF"/>
    <s v="E-L-2.5"/>
    <n v="3"/>
    <x v="128"/>
    <s v=""/>
    <x v="1"/>
    <s v="Exc"/>
    <s v="L"/>
    <x v="2"/>
    <n v="34.154999999999994"/>
    <n v="102.46499999999997"/>
    <x v="1"/>
    <x v="1"/>
    <x v="1"/>
  </r>
  <r>
    <s v="PPP-78935-365"/>
    <x v="123"/>
    <s v="91074-60023-IP"/>
    <s v="E-D-1"/>
    <n v="4"/>
    <x v="129"/>
    <s v=""/>
    <x v="0"/>
    <s v="Exc"/>
    <s v="D"/>
    <x v="0"/>
    <n v="12.15"/>
    <n v="48.6"/>
    <x v="1"/>
    <x v="2"/>
    <x v="1"/>
  </r>
  <r>
    <s v="JUO-34131-517"/>
    <x v="124"/>
    <s v="07972-83748-JI"/>
    <s v="L-D-1"/>
    <n v="6"/>
    <x v="130"/>
    <s v=""/>
    <x v="0"/>
    <s v="Lib"/>
    <s v="D"/>
    <x v="0"/>
    <n v="12.95"/>
    <n v="77.699999999999989"/>
    <x v="3"/>
    <x v="2"/>
    <x v="0"/>
  </r>
  <r>
    <s v="ZJE-89333-489"/>
    <x v="125"/>
    <s v="08694-57330-XR"/>
    <s v="L-D-2.5"/>
    <n v="1"/>
    <x v="131"/>
    <s v="vkundt3w@bigcartel.com"/>
    <x v="1"/>
    <s v="Lib"/>
    <s v="D"/>
    <x v="2"/>
    <n v="29.784999999999997"/>
    <n v="29.784999999999997"/>
    <x v="3"/>
    <x v="2"/>
    <x v="0"/>
  </r>
  <r>
    <s v="LOO-35324-159"/>
    <x v="126"/>
    <s v="68412-11126-YJ"/>
    <s v="A-L-0.2"/>
    <n v="4"/>
    <x v="132"/>
    <s v="bbett3x@google.de"/>
    <x v="0"/>
    <s v="Ara"/>
    <s v="L"/>
    <x v="3"/>
    <n v="3.8849999999999998"/>
    <n v="15.54"/>
    <x v="2"/>
    <x v="1"/>
    <x v="0"/>
  </r>
  <r>
    <s v="JBQ-93412-846"/>
    <x v="127"/>
    <s v="69037-66822-DW"/>
    <s v="E-L-2.5"/>
    <n v="4"/>
    <x v="133"/>
    <s v=""/>
    <x v="1"/>
    <s v="Exc"/>
    <s v="L"/>
    <x v="2"/>
    <n v="34.154999999999994"/>
    <n v="136.61999999999998"/>
    <x v="1"/>
    <x v="1"/>
    <x v="0"/>
  </r>
  <r>
    <s v="EHX-66333-637"/>
    <x v="128"/>
    <s v="01297-94364-XH"/>
    <s v="L-M-0.5"/>
    <n v="2"/>
    <x v="134"/>
    <s v="dstaite3z@scientificamerican.com"/>
    <x v="0"/>
    <s v="Lib"/>
    <s v="M"/>
    <x v="1"/>
    <n v="8.73"/>
    <n v="17.46"/>
    <x v="3"/>
    <x v="0"/>
    <x v="1"/>
  </r>
  <r>
    <s v="WXG-25759-236"/>
    <x v="103"/>
    <s v="39919-06540-ZI"/>
    <s v="E-L-2.5"/>
    <n v="2"/>
    <x v="135"/>
    <s v="wkeyse40@apple.com"/>
    <x v="0"/>
    <s v="Exc"/>
    <s v="L"/>
    <x v="2"/>
    <n v="34.154999999999994"/>
    <n v="68.309999999999988"/>
    <x v="1"/>
    <x v="1"/>
    <x v="0"/>
  </r>
  <r>
    <s v="QNA-31113-984"/>
    <x v="129"/>
    <s v="60512-78550-WS"/>
    <s v="L-M-0.2"/>
    <n v="4"/>
    <x v="136"/>
    <s v="oclausenthue41@marriott.com"/>
    <x v="0"/>
    <s v="Lib"/>
    <s v="M"/>
    <x v="3"/>
    <n v="4.3650000000000002"/>
    <n v="17.46"/>
    <x v="3"/>
    <x v="0"/>
    <x v="1"/>
  </r>
  <r>
    <s v="ZWI-52029-159"/>
    <x v="130"/>
    <s v="40172-12000-AU"/>
    <s v="L-M-1"/>
    <n v="3"/>
    <x v="137"/>
    <s v="lfrancisco42@fema.gov"/>
    <x v="0"/>
    <s v="Lib"/>
    <s v="M"/>
    <x v="0"/>
    <n v="14.55"/>
    <n v="43.650000000000006"/>
    <x v="3"/>
    <x v="0"/>
    <x v="1"/>
  </r>
  <r>
    <s v="ZWI-52029-159"/>
    <x v="130"/>
    <s v="40172-12000-AU"/>
    <s v="E-M-1"/>
    <n v="2"/>
    <x v="137"/>
    <s v="lfrancisco42@fema.gov"/>
    <x v="0"/>
    <s v="Exc"/>
    <s v="M"/>
    <x v="0"/>
    <n v="13.75"/>
    <n v="27.5"/>
    <x v="1"/>
    <x v="0"/>
    <x v="1"/>
  </r>
  <r>
    <s v="DFS-49954-707"/>
    <x v="131"/>
    <s v="39019-13649-CL"/>
    <s v="E-D-0.2"/>
    <n v="5"/>
    <x v="138"/>
    <s v="gskingle44@clickbank.net"/>
    <x v="0"/>
    <s v="Exc"/>
    <s v="D"/>
    <x v="3"/>
    <n v="3.645"/>
    <n v="18.225000000000001"/>
    <x v="1"/>
    <x v="2"/>
    <x v="0"/>
  </r>
  <r>
    <s v="VYP-89830-878"/>
    <x v="132"/>
    <s v="12715-05198-QU"/>
    <s v="A-M-2.5"/>
    <n v="2"/>
    <x v="139"/>
    <s v=""/>
    <x v="0"/>
    <s v="Ara"/>
    <s v="M"/>
    <x v="2"/>
    <n v="25.874999999999996"/>
    <n v="51.749999999999993"/>
    <x v="2"/>
    <x v="0"/>
    <x v="0"/>
  </r>
  <r>
    <s v="AMT-40418-362"/>
    <x v="133"/>
    <s v="04513-76520-QO"/>
    <s v="L-D-1"/>
    <n v="1"/>
    <x v="140"/>
    <s v="jbalsillie46@princeton.edu"/>
    <x v="0"/>
    <s v="Lib"/>
    <s v="D"/>
    <x v="0"/>
    <n v="12.95"/>
    <n v="12.95"/>
    <x v="3"/>
    <x v="2"/>
    <x v="0"/>
  </r>
  <r>
    <s v="NFQ-23241-793"/>
    <x v="134"/>
    <s v="88446-59251-SQ"/>
    <s v="A-M-1"/>
    <n v="3"/>
    <x v="141"/>
    <s v=""/>
    <x v="0"/>
    <s v="Ara"/>
    <s v="M"/>
    <x v="0"/>
    <n v="11.25"/>
    <n v="33.75"/>
    <x v="2"/>
    <x v="0"/>
    <x v="0"/>
  </r>
  <r>
    <s v="JQK-64922-985"/>
    <x v="113"/>
    <s v="23779-10274-KN"/>
    <s v="R-M-2.5"/>
    <n v="3"/>
    <x v="142"/>
    <s v="bleffek48@ning.com"/>
    <x v="0"/>
    <s v="Rob"/>
    <s v="M"/>
    <x v="2"/>
    <n v="22.884999999999998"/>
    <n v="68.655000000000001"/>
    <x v="0"/>
    <x v="0"/>
    <x v="0"/>
  </r>
  <r>
    <s v="YET-17732-678"/>
    <x v="135"/>
    <s v="57235-92842-DK"/>
    <s v="R-D-0.2"/>
    <n v="1"/>
    <x v="143"/>
    <s v=""/>
    <x v="0"/>
    <s v="Rob"/>
    <s v="D"/>
    <x v="3"/>
    <n v="2.6849999999999996"/>
    <n v="2.6849999999999996"/>
    <x v="0"/>
    <x v="2"/>
    <x v="1"/>
  </r>
  <r>
    <s v="NKW-24945-846"/>
    <x v="35"/>
    <s v="75977-30364-AY"/>
    <s v="A-D-2.5"/>
    <n v="5"/>
    <x v="144"/>
    <s v="jpray4a@youtube.com"/>
    <x v="0"/>
    <s v="Ara"/>
    <s v="D"/>
    <x v="2"/>
    <n v="22.884999999999998"/>
    <n v="114.42499999999998"/>
    <x v="2"/>
    <x v="2"/>
    <x v="1"/>
  </r>
  <r>
    <s v="VKA-82720-513"/>
    <x v="136"/>
    <s v="12299-30914-NG"/>
    <s v="A-M-2.5"/>
    <n v="6"/>
    <x v="145"/>
    <s v="gholborn4b@ow.ly"/>
    <x v="0"/>
    <s v="Ara"/>
    <s v="M"/>
    <x v="2"/>
    <n v="25.874999999999996"/>
    <n v="155.24999999999997"/>
    <x v="2"/>
    <x v="0"/>
    <x v="0"/>
  </r>
  <r>
    <s v="THA-60599-417"/>
    <x v="137"/>
    <s v="59971-35626-YJ"/>
    <s v="A-M-2.5"/>
    <n v="3"/>
    <x v="146"/>
    <s v="fkeinrat4c@dailymail.co.uk"/>
    <x v="0"/>
    <s v="Ara"/>
    <s v="M"/>
    <x v="2"/>
    <n v="25.874999999999996"/>
    <n v="77.624999999999986"/>
    <x v="2"/>
    <x v="0"/>
    <x v="0"/>
  </r>
  <r>
    <s v="MEK-39769-035"/>
    <x v="138"/>
    <s v="15380-76513-PS"/>
    <s v="R-D-2.5"/>
    <n v="3"/>
    <x v="147"/>
    <s v="pyea4d@aol.com"/>
    <x v="1"/>
    <s v="Rob"/>
    <s v="D"/>
    <x v="2"/>
    <n v="20.584999999999997"/>
    <n v="61.754999999999995"/>
    <x v="0"/>
    <x v="2"/>
    <x v="1"/>
  </r>
  <r>
    <s v="JAF-18294-750"/>
    <x v="139"/>
    <s v="73564-98204-EY"/>
    <s v="R-D-2.5"/>
    <n v="6"/>
    <x v="148"/>
    <s v=""/>
    <x v="0"/>
    <s v="Rob"/>
    <s v="D"/>
    <x v="2"/>
    <n v="20.584999999999997"/>
    <n v="123.50999999999999"/>
    <x v="0"/>
    <x v="2"/>
    <x v="0"/>
  </r>
  <r>
    <s v="TME-59627-221"/>
    <x v="140"/>
    <s v="72282-40594-RX"/>
    <s v="L-L-2.5"/>
    <n v="6"/>
    <x v="149"/>
    <s v=""/>
    <x v="0"/>
    <s v="Lib"/>
    <s v="L"/>
    <x v="2"/>
    <n v="36.454999999999998"/>
    <n v="218.73"/>
    <x v="3"/>
    <x v="1"/>
    <x v="1"/>
  </r>
  <r>
    <s v="UDG-65353-824"/>
    <x v="141"/>
    <s v="17514-94165-RJ"/>
    <s v="E-M-0.5"/>
    <n v="4"/>
    <x v="150"/>
    <s v="kswede4g@addthis.com"/>
    <x v="0"/>
    <s v="Exc"/>
    <s v="M"/>
    <x v="1"/>
    <n v="8.25"/>
    <n v="33"/>
    <x v="1"/>
    <x v="0"/>
    <x v="1"/>
  </r>
  <r>
    <s v="ENQ-42923-176"/>
    <x v="142"/>
    <s v="56248-75861-JX"/>
    <s v="A-L-0.5"/>
    <n v="3"/>
    <x v="151"/>
    <s v="lrubrow4h@microsoft.com"/>
    <x v="0"/>
    <s v="Ara"/>
    <s v="L"/>
    <x v="1"/>
    <n v="7.77"/>
    <n v="23.31"/>
    <x v="2"/>
    <x v="1"/>
    <x v="1"/>
  </r>
  <r>
    <s v="CBT-55781-720"/>
    <x v="143"/>
    <s v="97855-54761-IS"/>
    <s v="E-D-0.5"/>
    <n v="3"/>
    <x v="152"/>
    <s v="dtift4i@netvibes.com"/>
    <x v="0"/>
    <s v="Exc"/>
    <s v="D"/>
    <x v="1"/>
    <n v="7.29"/>
    <n v="21.87"/>
    <x v="1"/>
    <x v="2"/>
    <x v="0"/>
  </r>
  <r>
    <s v="NEU-86533-016"/>
    <x v="144"/>
    <s v="96544-91644-IT"/>
    <s v="R-D-0.2"/>
    <n v="6"/>
    <x v="153"/>
    <s v="gschonfeld4j@oracle.com"/>
    <x v="0"/>
    <s v="Rob"/>
    <s v="D"/>
    <x v="3"/>
    <n v="2.6849999999999996"/>
    <n v="16.11"/>
    <x v="0"/>
    <x v="2"/>
    <x v="1"/>
  </r>
  <r>
    <s v="BYU-58154-603"/>
    <x v="145"/>
    <s v="51971-70393-QM"/>
    <s v="E-D-0.5"/>
    <n v="4"/>
    <x v="154"/>
    <s v="cfeye4k@google.co.jp"/>
    <x v="1"/>
    <s v="Exc"/>
    <s v="D"/>
    <x v="1"/>
    <n v="7.29"/>
    <n v="29.16"/>
    <x v="1"/>
    <x v="2"/>
    <x v="1"/>
  </r>
  <r>
    <s v="EHJ-05910-257"/>
    <x v="146"/>
    <s v="06812-11924-IK"/>
    <s v="R-D-1"/>
    <n v="6"/>
    <x v="155"/>
    <s v=""/>
    <x v="0"/>
    <s v="Rob"/>
    <s v="D"/>
    <x v="0"/>
    <n v="8.9499999999999993"/>
    <n v="53.699999999999996"/>
    <x v="0"/>
    <x v="2"/>
    <x v="0"/>
  </r>
  <r>
    <s v="EIL-44855-309"/>
    <x v="147"/>
    <s v="59741-90220-OW"/>
    <s v="R-D-0.5"/>
    <n v="5"/>
    <x v="156"/>
    <s v=""/>
    <x v="0"/>
    <s v="Rob"/>
    <s v="D"/>
    <x v="1"/>
    <n v="5.3699999999999992"/>
    <n v="26.849999999999994"/>
    <x v="0"/>
    <x v="2"/>
    <x v="0"/>
  </r>
  <r>
    <s v="HCA-87224-420"/>
    <x v="148"/>
    <s v="62682-27930-PD"/>
    <s v="E-M-0.5"/>
    <n v="5"/>
    <x v="157"/>
    <s v="tfero4n@comsenz.com"/>
    <x v="0"/>
    <s v="Exc"/>
    <s v="M"/>
    <x v="1"/>
    <n v="8.25"/>
    <n v="41.25"/>
    <x v="1"/>
    <x v="0"/>
    <x v="0"/>
  </r>
  <r>
    <s v="ABO-29054-365"/>
    <x v="149"/>
    <s v="00256-19905-YG"/>
    <s v="A-M-0.5"/>
    <n v="6"/>
    <x v="158"/>
    <s v=""/>
    <x v="1"/>
    <s v="Ara"/>
    <s v="M"/>
    <x v="1"/>
    <n v="6.75"/>
    <n v="40.5"/>
    <x v="2"/>
    <x v="0"/>
    <x v="1"/>
  </r>
  <r>
    <s v="TKN-58485-031"/>
    <x v="150"/>
    <s v="38890-22576-UI"/>
    <s v="R-D-1"/>
    <n v="2"/>
    <x v="159"/>
    <s v="fdauney4p@sphinn.com"/>
    <x v="1"/>
    <s v="Rob"/>
    <s v="D"/>
    <x v="0"/>
    <n v="8.9499999999999993"/>
    <n v="17.899999999999999"/>
    <x v="0"/>
    <x v="2"/>
    <x v="1"/>
  </r>
  <r>
    <s v="RCK-04069-371"/>
    <x v="151"/>
    <s v="94573-61802-PH"/>
    <s v="E-L-2.5"/>
    <n v="2"/>
    <x v="160"/>
    <s v="searley4q@youku.com"/>
    <x v="2"/>
    <s v="Exc"/>
    <s v="L"/>
    <x v="2"/>
    <n v="34.154999999999994"/>
    <n v="68.309999999999988"/>
    <x v="1"/>
    <x v="1"/>
    <x v="1"/>
  </r>
  <r>
    <s v="IRJ-67095-738"/>
    <x v="13"/>
    <s v="86447-02699-UT"/>
    <s v="E-M-2.5"/>
    <n v="2"/>
    <x v="161"/>
    <s v="mchamberlayne4r@bigcartel.com"/>
    <x v="0"/>
    <s v="Exc"/>
    <s v="M"/>
    <x v="2"/>
    <n v="31.624999999999996"/>
    <n v="63.249999999999993"/>
    <x v="1"/>
    <x v="0"/>
    <x v="0"/>
  </r>
  <r>
    <s v="VEA-31961-977"/>
    <x v="79"/>
    <s v="51432-27169-KN"/>
    <s v="E-D-0.5"/>
    <n v="3"/>
    <x v="162"/>
    <s v="bflaherty4s@moonfruit.com"/>
    <x v="1"/>
    <s v="Exc"/>
    <s v="D"/>
    <x v="1"/>
    <n v="7.29"/>
    <n v="21.87"/>
    <x v="1"/>
    <x v="2"/>
    <x v="1"/>
  </r>
  <r>
    <s v="BAF-42286-205"/>
    <x v="152"/>
    <s v="43074-00987-PB"/>
    <s v="R-M-2.5"/>
    <n v="4"/>
    <x v="163"/>
    <s v="ocolbeck4t@sina.com.cn"/>
    <x v="0"/>
    <s v="Rob"/>
    <s v="M"/>
    <x v="2"/>
    <n v="22.884999999999998"/>
    <n v="91.539999999999992"/>
    <x v="0"/>
    <x v="0"/>
    <x v="1"/>
  </r>
  <r>
    <s v="WOR-52762-511"/>
    <x v="153"/>
    <s v="04739-85772-QT"/>
    <s v="E-L-2.5"/>
    <n v="6"/>
    <x v="164"/>
    <s v=""/>
    <x v="0"/>
    <s v="Exc"/>
    <s v="L"/>
    <x v="2"/>
    <n v="34.154999999999994"/>
    <n v="204.92999999999995"/>
    <x v="1"/>
    <x v="1"/>
    <x v="0"/>
  </r>
  <r>
    <s v="ZWK-03995-815"/>
    <x v="154"/>
    <s v="28279-78469-YW"/>
    <s v="E-M-2.5"/>
    <n v="2"/>
    <x v="165"/>
    <s v="ehobbing4v@nsw.gov.au"/>
    <x v="0"/>
    <s v="Exc"/>
    <s v="M"/>
    <x v="2"/>
    <n v="31.624999999999996"/>
    <n v="63.249999999999993"/>
    <x v="1"/>
    <x v="0"/>
    <x v="0"/>
  </r>
  <r>
    <s v="CKF-43291-846"/>
    <x v="155"/>
    <s v="91829-99544-DS"/>
    <s v="E-L-2.5"/>
    <n v="1"/>
    <x v="166"/>
    <s v="othynne4w@auda.org.au"/>
    <x v="0"/>
    <s v="Exc"/>
    <s v="L"/>
    <x v="2"/>
    <n v="34.154999999999994"/>
    <n v="34.154999999999994"/>
    <x v="1"/>
    <x v="1"/>
    <x v="0"/>
  </r>
  <r>
    <s v="RMW-74160-339"/>
    <x v="156"/>
    <s v="38978-59582-JP"/>
    <s v="R-L-2.5"/>
    <n v="4"/>
    <x v="167"/>
    <s v="eheining4x@flickr.com"/>
    <x v="0"/>
    <s v="Rob"/>
    <s v="L"/>
    <x v="2"/>
    <n v="27.484999999999996"/>
    <n v="109.93999999999998"/>
    <x v="0"/>
    <x v="1"/>
    <x v="0"/>
  </r>
  <r>
    <s v="FMT-94584-786"/>
    <x v="22"/>
    <s v="86504-96610-BH"/>
    <s v="A-L-1"/>
    <n v="2"/>
    <x v="168"/>
    <s v="kmelloi4y@imdb.com"/>
    <x v="0"/>
    <s v="Ara"/>
    <s v="L"/>
    <x v="0"/>
    <n v="12.95"/>
    <n v="25.9"/>
    <x v="2"/>
    <x v="1"/>
    <x v="1"/>
  </r>
  <r>
    <s v="NWT-78222-575"/>
    <x v="157"/>
    <s v="75986-98864-EZ"/>
    <s v="A-D-0.2"/>
    <n v="1"/>
    <x v="169"/>
    <s v=""/>
    <x v="1"/>
    <s v="Ara"/>
    <s v="D"/>
    <x v="3"/>
    <n v="2.9849999999999999"/>
    <n v="2.9849999999999999"/>
    <x v="2"/>
    <x v="2"/>
    <x v="1"/>
  </r>
  <r>
    <s v="EOI-02511-919"/>
    <x v="158"/>
    <s v="66776-88682-RG"/>
    <s v="E-L-0.2"/>
    <n v="5"/>
    <x v="170"/>
    <s v="amussen50@51.la"/>
    <x v="0"/>
    <s v="Exc"/>
    <s v="L"/>
    <x v="3"/>
    <n v="4.4550000000000001"/>
    <n v="22.274999999999999"/>
    <x v="1"/>
    <x v="1"/>
    <x v="1"/>
  </r>
  <r>
    <s v="EOI-02511-919"/>
    <x v="158"/>
    <s v="66776-88682-RG"/>
    <s v="A-D-0.5"/>
    <n v="5"/>
    <x v="170"/>
    <s v="amussen50@51.la"/>
    <x v="0"/>
    <s v="Ara"/>
    <s v="D"/>
    <x v="1"/>
    <n v="5.97"/>
    <n v="29.849999999999998"/>
    <x v="2"/>
    <x v="2"/>
    <x v="1"/>
  </r>
  <r>
    <s v="UCT-03935-589"/>
    <x v="78"/>
    <s v="85851-78384-DM"/>
    <s v="R-D-0.5"/>
    <n v="6"/>
    <x v="171"/>
    <s v="amundford52@nbcnews.com"/>
    <x v="0"/>
    <s v="Rob"/>
    <s v="D"/>
    <x v="1"/>
    <n v="5.3699999999999992"/>
    <n v="32.22"/>
    <x v="0"/>
    <x v="2"/>
    <x v="1"/>
  </r>
  <r>
    <s v="SBI-60013-494"/>
    <x v="159"/>
    <s v="55232-81621-BX"/>
    <s v="E-M-0.2"/>
    <n v="2"/>
    <x v="172"/>
    <s v="twalas53@google.ca"/>
    <x v="0"/>
    <s v="Exc"/>
    <s v="M"/>
    <x v="3"/>
    <n v="4.125"/>
    <n v="8.25"/>
    <x v="1"/>
    <x v="0"/>
    <x v="1"/>
  </r>
  <r>
    <s v="QRA-73277-814"/>
    <x v="160"/>
    <s v="80310-92912-JA"/>
    <s v="A-L-0.5"/>
    <n v="4"/>
    <x v="173"/>
    <s v="iblazewicz54@thetimes.co.uk"/>
    <x v="0"/>
    <s v="Ara"/>
    <s v="L"/>
    <x v="1"/>
    <n v="7.77"/>
    <n v="31.08"/>
    <x v="2"/>
    <x v="1"/>
    <x v="1"/>
  </r>
  <r>
    <s v="EQE-31648-909"/>
    <x v="161"/>
    <s v="19821-05175-WZ"/>
    <s v="E-D-0.5"/>
    <n v="5"/>
    <x v="174"/>
    <s v="arizzetti55@naver.com"/>
    <x v="0"/>
    <s v="Exc"/>
    <s v="D"/>
    <x v="1"/>
    <n v="7.29"/>
    <n v="36.450000000000003"/>
    <x v="1"/>
    <x v="2"/>
    <x v="0"/>
  </r>
  <r>
    <s v="QOO-24615-950"/>
    <x v="162"/>
    <s v="01338-83217-GV"/>
    <s v="R-M-2.5"/>
    <n v="3"/>
    <x v="175"/>
    <s v="mmeriet56@noaa.gov"/>
    <x v="0"/>
    <s v="Rob"/>
    <s v="M"/>
    <x v="2"/>
    <n v="22.884999999999998"/>
    <n v="68.655000000000001"/>
    <x v="0"/>
    <x v="0"/>
    <x v="1"/>
  </r>
  <r>
    <s v="WDV-73864-037"/>
    <x v="70"/>
    <s v="66044-25298-TA"/>
    <s v="L-M-0.5"/>
    <n v="5"/>
    <x v="176"/>
    <s v="lpratt57@netvibes.com"/>
    <x v="0"/>
    <s v="Lib"/>
    <s v="M"/>
    <x v="1"/>
    <n v="8.73"/>
    <n v="43.650000000000006"/>
    <x v="3"/>
    <x v="0"/>
    <x v="0"/>
  </r>
  <r>
    <s v="PKR-88575-066"/>
    <x v="163"/>
    <s v="28728-47861-TZ"/>
    <s v="E-L-0.2"/>
    <n v="1"/>
    <x v="177"/>
    <s v="akitchingham58@com.com"/>
    <x v="0"/>
    <s v="Exc"/>
    <s v="L"/>
    <x v="3"/>
    <n v="4.4550000000000001"/>
    <n v="4.4550000000000001"/>
    <x v="1"/>
    <x v="1"/>
    <x v="0"/>
  </r>
  <r>
    <s v="BWR-85735-955"/>
    <x v="153"/>
    <s v="32638-38620-AX"/>
    <s v="L-M-1"/>
    <n v="3"/>
    <x v="178"/>
    <s v="bbartholin59@xinhuanet.com"/>
    <x v="0"/>
    <s v="Lib"/>
    <s v="M"/>
    <x v="0"/>
    <n v="14.55"/>
    <n v="43.650000000000006"/>
    <x v="3"/>
    <x v="0"/>
    <x v="0"/>
  </r>
  <r>
    <s v="YFX-64795-136"/>
    <x v="164"/>
    <s v="83163-65741-IH"/>
    <s v="L-M-2.5"/>
    <n v="1"/>
    <x v="179"/>
    <s v="mprinn5a@usa.gov"/>
    <x v="0"/>
    <s v="Lib"/>
    <s v="M"/>
    <x v="2"/>
    <n v="33.464999999999996"/>
    <n v="33.464999999999996"/>
    <x v="3"/>
    <x v="0"/>
    <x v="0"/>
  </r>
  <r>
    <s v="DDO-71442-967"/>
    <x v="165"/>
    <s v="89422-58281-FD"/>
    <s v="L-D-0.2"/>
    <n v="5"/>
    <x v="180"/>
    <s v="abaudino5b@netvibes.com"/>
    <x v="0"/>
    <s v="Lib"/>
    <s v="D"/>
    <x v="3"/>
    <n v="3.8849999999999998"/>
    <n v="19.424999999999997"/>
    <x v="3"/>
    <x v="2"/>
    <x v="0"/>
  </r>
  <r>
    <s v="ILQ-11027-588"/>
    <x v="166"/>
    <s v="76293-30918-DQ"/>
    <s v="E-D-1"/>
    <n v="6"/>
    <x v="181"/>
    <s v="ppetrushanko5c@blinklist.com"/>
    <x v="1"/>
    <s v="Exc"/>
    <s v="D"/>
    <x v="0"/>
    <n v="12.15"/>
    <n v="72.900000000000006"/>
    <x v="1"/>
    <x v="2"/>
    <x v="0"/>
  </r>
  <r>
    <s v="KRZ-13868-122"/>
    <x v="167"/>
    <s v="86779-84838-EJ"/>
    <s v="E-L-1"/>
    <n v="3"/>
    <x v="182"/>
    <s v=""/>
    <x v="0"/>
    <s v="Exc"/>
    <s v="L"/>
    <x v="0"/>
    <n v="14.85"/>
    <n v="44.55"/>
    <x v="1"/>
    <x v="1"/>
    <x v="1"/>
  </r>
  <r>
    <s v="VRM-93594-914"/>
    <x v="168"/>
    <s v="66806-41795-MX"/>
    <s v="E-D-0.5"/>
    <n v="5"/>
    <x v="183"/>
    <s v="elaird5e@bing.com"/>
    <x v="0"/>
    <s v="Exc"/>
    <s v="D"/>
    <x v="1"/>
    <n v="7.29"/>
    <n v="36.450000000000003"/>
    <x v="1"/>
    <x v="2"/>
    <x v="1"/>
  </r>
  <r>
    <s v="HXL-22497-359"/>
    <x v="169"/>
    <s v="64875-71224-UI"/>
    <s v="A-L-1"/>
    <n v="3"/>
    <x v="184"/>
    <s v="mhowsden5f@infoseek.co.jp"/>
    <x v="0"/>
    <s v="Ara"/>
    <s v="L"/>
    <x v="0"/>
    <n v="12.95"/>
    <n v="38.849999999999994"/>
    <x v="2"/>
    <x v="1"/>
    <x v="1"/>
  </r>
  <r>
    <s v="NOP-21394-646"/>
    <x v="170"/>
    <s v="16982-35708-BZ"/>
    <s v="E-L-0.5"/>
    <n v="6"/>
    <x v="185"/>
    <s v="ncuttler5g@parallels.com"/>
    <x v="0"/>
    <s v="Exc"/>
    <s v="L"/>
    <x v="1"/>
    <n v="8.91"/>
    <n v="53.46"/>
    <x v="1"/>
    <x v="1"/>
    <x v="1"/>
  </r>
  <r>
    <s v="NOP-21394-646"/>
    <x v="170"/>
    <s v="16982-35708-BZ"/>
    <s v="L-D-2.5"/>
    <n v="2"/>
    <x v="185"/>
    <s v="ncuttler5g@parallels.com"/>
    <x v="0"/>
    <s v="Lib"/>
    <s v="D"/>
    <x v="2"/>
    <n v="29.784999999999997"/>
    <n v="59.569999999999993"/>
    <x v="3"/>
    <x v="2"/>
    <x v="1"/>
  </r>
  <r>
    <s v="NOP-21394-646"/>
    <x v="170"/>
    <s v="16982-35708-BZ"/>
    <s v="L-D-2.5"/>
    <n v="3"/>
    <x v="185"/>
    <s v="ncuttler5g@parallels.com"/>
    <x v="0"/>
    <s v="Lib"/>
    <s v="D"/>
    <x v="2"/>
    <n v="29.784999999999997"/>
    <n v="89.35499999999999"/>
    <x v="3"/>
    <x v="2"/>
    <x v="1"/>
  </r>
  <r>
    <s v="NOP-21394-646"/>
    <x v="170"/>
    <s v="16982-35708-BZ"/>
    <s v="L-L-0.5"/>
    <n v="4"/>
    <x v="185"/>
    <s v="ncuttler5g@parallels.com"/>
    <x v="0"/>
    <s v="Lib"/>
    <s v="L"/>
    <x v="1"/>
    <n v="9.51"/>
    <n v="38.04"/>
    <x v="3"/>
    <x v="1"/>
    <x v="1"/>
  </r>
  <r>
    <s v="NOP-21394-646"/>
    <x v="170"/>
    <s v="16982-35708-BZ"/>
    <s v="E-M-1"/>
    <n v="3"/>
    <x v="185"/>
    <s v="ncuttler5g@parallels.com"/>
    <x v="0"/>
    <s v="Exc"/>
    <s v="M"/>
    <x v="0"/>
    <n v="13.75"/>
    <n v="41.25"/>
    <x v="1"/>
    <x v="0"/>
    <x v="1"/>
  </r>
  <r>
    <s v="FTV-77095-168"/>
    <x v="171"/>
    <s v="66708-26678-QK"/>
    <s v="L-L-0.5"/>
    <n v="6"/>
    <x v="186"/>
    <s v=""/>
    <x v="0"/>
    <s v="Lib"/>
    <s v="L"/>
    <x v="1"/>
    <n v="9.51"/>
    <n v="57.06"/>
    <x v="3"/>
    <x v="1"/>
    <x v="1"/>
  </r>
  <r>
    <s v="BOR-02906-411"/>
    <x v="172"/>
    <s v="08743-09057-OO"/>
    <s v="L-D-2.5"/>
    <n v="6"/>
    <x v="187"/>
    <s v="tfelip5m@typepad.com"/>
    <x v="0"/>
    <s v="Lib"/>
    <s v="D"/>
    <x v="2"/>
    <n v="29.784999999999997"/>
    <n v="178.70999999999998"/>
    <x v="3"/>
    <x v="2"/>
    <x v="0"/>
  </r>
  <r>
    <s v="WMP-68847-770"/>
    <x v="173"/>
    <s v="37490-01572-JW"/>
    <s v="L-L-0.2"/>
    <n v="1"/>
    <x v="188"/>
    <s v="vle5n@disqus.com"/>
    <x v="0"/>
    <s v="Lib"/>
    <s v="L"/>
    <x v="3"/>
    <n v="4.7549999999999999"/>
    <n v="4.7549999999999999"/>
    <x v="3"/>
    <x v="1"/>
    <x v="1"/>
  </r>
  <r>
    <s v="TMO-22785-872"/>
    <x v="174"/>
    <s v="01811-60350-CU"/>
    <s v="E-M-1"/>
    <n v="6"/>
    <x v="189"/>
    <s v=""/>
    <x v="0"/>
    <s v="Exc"/>
    <s v="M"/>
    <x v="0"/>
    <n v="13.75"/>
    <n v="82.5"/>
    <x v="1"/>
    <x v="0"/>
    <x v="1"/>
  </r>
  <r>
    <s v="TJG-73587-353"/>
    <x v="175"/>
    <s v="24766-58139-GT"/>
    <s v="R-D-0.2"/>
    <n v="3"/>
    <x v="190"/>
    <s v=""/>
    <x v="0"/>
    <s v="Rob"/>
    <s v="D"/>
    <x v="3"/>
    <n v="2.6849999999999996"/>
    <n v="8.0549999999999997"/>
    <x v="0"/>
    <x v="2"/>
    <x v="0"/>
  </r>
  <r>
    <s v="OOU-61343-455"/>
    <x v="176"/>
    <s v="90123-70970-NY"/>
    <s v="A-M-1"/>
    <n v="2"/>
    <x v="191"/>
    <s v="npoolman5q@howstuffworks.com"/>
    <x v="0"/>
    <s v="Ara"/>
    <s v="M"/>
    <x v="0"/>
    <n v="11.25"/>
    <n v="22.5"/>
    <x v="2"/>
    <x v="0"/>
    <x v="1"/>
  </r>
  <r>
    <s v="RMA-08327-369"/>
    <x v="142"/>
    <s v="93809-05424-MG"/>
    <s v="A-M-0.5"/>
    <n v="6"/>
    <x v="192"/>
    <s v="oduny5r@constantcontact.com"/>
    <x v="0"/>
    <s v="Ara"/>
    <s v="M"/>
    <x v="1"/>
    <n v="6.75"/>
    <n v="40.5"/>
    <x v="2"/>
    <x v="0"/>
    <x v="0"/>
  </r>
  <r>
    <s v="SFB-97929-779"/>
    <x v="177"/>
    <s v="85425-33494-HQ"/>
    <s v="E-D-0.5"/>
    <n v="4"/>
    <x v="193"/>
    <s v="chalfhide5s@google.ru"/>
    <x v="1"/>
    <s v="Exc"/>
    <s v="D"/>
    <x v="1"/>
    <n v="7.29"/>
    <n v="29.16"/>
    <x v="1"/>
    <x v="2"/>
    <x v="0"/>
  </r>
  <r>
    <s v="AUP-10128-606"/>
    <x v="178"/>
    <s v="54387-64897-XC"/>
    <s v="A-M-0.5"/>
    <n v="1"/>
    <x v="194"/>
    <s v="fmalecky5t@list-manage.com"/>
    <x v="2"/>
    <s v="Ara"/>
    <s v="M"/>
    <x v="1"/>
    <n v="6.75"/>
    <n v="6.75"/>
    <x v="2"/>
    <x v="0"/>
    <x v="1"/>
  </r>
  <r>
    <s v="YTW-40242-005"/>
    <x v="179"/>
    <s v="01035-70465-UO"/>
    <s v="L-D-1"/>
    <n v="4"/>
    <x v="195"/>
    <s v="aattwater5u@wikia.com"/>
    <x v="0"/>
    <s v="Lib"/>
    <s v="D"/>
    <x v="0"/>
    <n v="12.95"/>
    <n v="51.8"/>
    <x v="3"/>
    <x v="2"/>
    <x v="0"/>
  </r>
  <r>
    <s v="PRP-53390-819"/>
    <x v="180"/>
    <s v="84260-39432-ML"/>
    <s v="E-L-0.5"/>
    <n v="6"/>
    <x v="196"/>
    <s v="mwhellans5v@mapquest.com"/>
    <x v="0"/>
    <s v="Exc"/>
    <s v="L"/>
    <x v="1"/>
    <n v="8.91"/>
    <n v="53.46"/>
    <x v="1"/>
    <x v="1"/>
    <x v="1"/>
  </r>
  <r>
    <s v="GSJ-01065-125"/>
    <x v="181"/>
    <s v="69779-40609-RS"/>
    <s v="E-D-0.2"/>
    <n v="4"/>
    <x v="197"/>
    <s v="dcamilletti5w@businesswire.com"/>
    <x v="0"/>
    <s v="Exc"/>
    <s v="D"/>
    <x v="3"/>
    <n v="3.645"/>
    <n v="14.58"/>
    <x v="1"/>
    <x v="2"/>
    <x v="0"/>
  </r>
  <r>
    <s v="YQU-65147-580"/>
    <x v="182"/>
    <s v="80247-70000-HT"/>
    <s v="R-D-2.5"/>
    <n v="1"/>
    <x v="198"/>
    <s v="egalgey5x@wufoo.com"/>
    <x v="0"/>
    <s v="Rob"/>
    <s v="D"/>
    <x v="2"/>
    <n v="20.584999999999997"/>
    <n v="20.584999999999997"/>
    <x v="0"/>
    <x v="2"/>
    <x v="1"/>
  </r>
  <r>
    <s v="QPM-95832-683"/>
    <x v="183"/>
    <s v="35058-04550-VC"/>
    <s v="L-L-1"/>
    <n v="2"/>
    <x v="199"/>
    <s v="mhame5y@newsvine.com"/>
    <x v="1"/>
    <s v="Lib"/>
    <s v="L"/>
    <x v="0"/>
    <n v="15.85"/>
    <n v="31.7"/>
    <x v="3"/>
    <x v="1"/>
    <x v="1"/>
  </r>
  <r>
    <s v="BNQ-88920-567"/>
    <x v="184"/>
    <s v="27226-53717-SY"/>
    <s v="L-D-0.2"/>
    <n v="6"/>
    <x v="200"/>
    <s v="igurnee5z@usnews.com"/>
    <x v="0"/>
    <s v="Lib"/>
    <s v="D"/>
    <x v="3"/>
    <n v="3.8849999999999998"/>
    <n v="23.31"/>
    <x v="3"/>
    <x v="2"/>
    <x v="1"/>
  </r>
  <r>
    <s v="PUX-47906-110"/>
    <x v="185"/>
    <s v="02002-98725-CH"/>
    <s v="L-M-1"/>
    <n v="4"/>
    <x v="201"/>
    <s v="asnowding60@comsenz.com"/>
    <x v="0"/>
    <s v="Lib"/>
    <s v="M"/>
    <x v="0"/>
    <n v="14.55"/>
    <n v="58.2"/>
    <x v="3"/>
    <x v="0"/>
    <x v="0"/>
  </r>
  <r>
    <s v="COL-72079-610"/>
    <x v="186"/>
    <s v="38487-01549-MV"/>
    <s v="E-L-0.5"/>
    <n v="4"/>
    <x v="202"/>
    <s v="gpoinsett61@berkeley.edu"/>
    <x v="0"/>
    <s v="Exc"/>
    <s v="L"/>
    <x v="1"/>
    <n v="8.91"/>
    <n v="35.64"/>
    <x v="1"/>
    <x v="1"/>
    <x v="1"/>
  </r>
  <r>
    <s v="LBC-45686-819"/>
    <x v="187"/>
    <s v="98573-41811-EQ"/>
    <s v="A-M-1"/>
    <n v="5"/>
    <x v="203"/>
    <s v="rfurman62@t.co"/>
    <x v="1"/>
    <s v="Ara"/>
    <s v="M"/>
    <x v="0"/>
    <n v="11.25"/>
    <n v="56.25"/>
    <x v="2"/>
    <x v="0"/>
    <x v="0"/>
  </r>
  <r>
    <s v="BLQ-03709-265"/>
    <x v="148"/>
    <s v="72463-75685-MV"/>
    <s v="R-L-0.2"/>
    <n v="3"/>
    <x v="204"/>
    <s v="ccrosier63@xrea.com"/>
    <x v="0"/>
    <s v="Rob"/>
    <s v="L"/>
    <x v="3"/>
    <n v="3.5849999999999995"/>
    <n v="10.754999999999999"/>
    <x v="0"/>
    <x v="1"/>
    <x v="1"/>
  </r>
  <r>
    <s v="BLQ-03709-265"/>
    <x v="148"/>
    <s v="72463-75685-MV"/>
    <s v="R-M-0.2"/>
    <n v="5"/>
    <x v="204"/>
    <s v="ccrosier63@xrea.com"/>
    <x v="0"/>
    <s v="Rob"/>
    <s v="M"/>
    <x v="3"/>
    <n v="2.9849999999999999"/>
    <n v="14.924999999999999"/>
    <x v="0"/>
    <x v="0"/>
    <x v="1"/>
  </r>
  <r>
    <s v="VFZ-91673-181"/>
    <x v="188"/>
    <s v="10225-91535-AI"/>
    <s v="A-L-1"/>
    <n v="6"/>
    <x v="205"/>
    <s v="lrushmer65@europa.eu"/>
    <x v="0"/>
    <s v="Ara"/>
    <s v="L"/>
    <x v="0"/>
    <n v="12.95"/>
    <n v="77.699999999999989"/>
    <x v="2"/>
    <x v="1"/>
    <x v="0"/>
  </r>
  <r>
    <s v="WKD-81956-870"/>
    <x v="189"/>
    <s v="48090-06534-HI"/>
    <s v="L-D-0.5"/>
    <n v="3"/>
    <x v="206"/>
    <s v="wedinborough66@github.io"/>
    <x v="0"/>
    <s v="Lib"/>
    <s v="D"/>
    <x v="1"/>
    <n v="7.77"/>
    <n v="23.31"/>
    <x v="3"/>
    <x v="2"/>
    <x v="1"/>
  </r>
  <r>
    <s v="TNI-91067-006"/>
    <x v="190"/>
    <s v="80444-58185-FX"/>
    <s v="E-L-1"/>
    <n v="4"/>
    <x v="207"/>
    <s v=""/>
    <x v="0"/>
    <s v="Exc"/>
    <s v="L"/>
    <x v="0"/>
    <n v="14.85"/>
    <n v="59.4"/>
    <x v="1"/>
    <x v="1"/>
    <x v="0"/>
  </r>
  <r>
    <s v="IZA-61469-812"/>
    <x v="191"/>
    <s v="13561-92774-WP"/>
    <s v="L-D-2.5"/>
    <n v="4"/>
    <x v="208"/>
    <s v="kbromehead68@un.org"/>
    <x v="0"/>
    <s v="Lib"/>
    <s v="D"/>
    <x v="2"/>
    <n v="29.784999999999997"/>
    <n v="119.13999999999999"/>
    <x v="3"/>
    <x v="2"/>
    <x v="0"/>
  </r>
  <r>
    <s v="PSS-22466-862"/>
    <x v="192"/>
    <s v="11550-78378-GE"/>
    <s v="R-L-0.2"/>
    <n v="4"/>
    <x v="209"/>
    <s v="ewesterman69@si.edu"/>
    <x v="1"/>
    <s v="Rob"/>
    <s v="L"/>
    <x v="3"/>
    <n v="3.5849999999999995"/>
    <n v="14.339999999999998"/>
    <x v="0"/>
    <x v="1"/>
    <x v="1"/>
  </r>
  <r>
    <s v="REH-56504-397"/>
    <x v="193"/>
    <s v="90961-35603-RP"/>
    <s v="A-M-2.5"/>
    <n v="5"/>
    <x v="210"/>
    <s v="ahutchens6a@amazonaws.com"/>
    <x v="0"/>
    <s v="Ara"/>
    <s v="M"/>
    <x v="2"/>
    <n v="25.874999999999996"/>
    <n v="129.37499999999997"/>
    <x v="2"/>
    <x v="0"/>
    <x v="1"/>
  </r>
  <r>
    <s v="ALA-62598-016"/>
    <x v="194"/>
    <s v="57145-03803-ZL"/>
    <s v="R-D-0.2"/>
    <n v="6"/>
    <x v="211"/>
    <s v="nwyvill6b@naver.com"/>
    <x v="2"/>
    <s v="Rob"/>
    <s v="D"/>
    <x v="3"/>
    <n v="2.6849999999999996"/>
    <n v="16.11"/>
    <x v="0"/>
    <x v="2"/>
    <x v="0"/>
  </r>
  <r>
    <s v="EYE-70374-835"/>
    <x v="195"/>
    <s v="89115-11966-VF"/>
    <s v="R-L-0.2"/>
    <n v="5"/>
    <x v="212"/>
    <s v="bmathon6c@barnesandnoble.com"/>
    <x v="0"/>
    <s v="Rob"/>
    <s v="L"/>
    <x v="3"/>
    <n v="3.5849999999999995"/>
    <n v="17.924999999999997"/>
    <x v="0"/>
    <x v="1"/>
    <x v="1"/>
  </r>
  <r>
    <s v="CCZ-19589-212"/>
    <x v="196"/>
    <s v="05754-41702-FG"/>
    <s v="L-M-0.2"/>
    <n v="2"/>
    <x v="213"/>
    <s v="kstreight6d@about.com"/>
    <x v="0"/>
    <s v="Lib"/>
    <s v="M"/>
    <x v="3"/>
    <n v="4.3650000000000002"/>
    <n v="8.73"/>
    <x v="3"/>
    <x v="0"/>
    <x v="1"/>
  </r>
  <r>
    <s v="BPT-83989-157"/>
    <x v="197"/>
    <s v="84269-49816-ML"/>
    <s v="A-M-2.5"/>
    <n v="2"/>
    <x v="214"/>
    <s v="pcutchie6e@globo.com"/>
    <x v="0"/>
    <s v="Ara"/>
    <s v="M"/>
    <x v="2"/>
    <n v="25.874999999999996"/>
    <n v="51.749999999999993"/>
    <x v="2"/>
    <x v="0"/>
    <x v="1"/>
  </r>
  <r>
    <s v="YFH-87456-208"/>
    <x v="198"/>
    <s v="23600-98432-ME"/>
    <s v="L-M-0.2"/>
    <n v="2"/>
    <x v="215"/>
    <s v=""/>
    <x v="0"/>
    <s v="Lib"/>
    <s v="M"/>
    <x v="3"/>
    <n v="4.3650000000000002"/>
    <n v="8.73"/>
    <x v="3"/>
    <x v="0"/>
    <x v="0"/>
  </r>
  <r>
    <s v="JLN-14700-924"/>
    <x v="199"/>
    <s v="79058-02767-CP"/>
    <s v="L-L-0.2"/>
    <n v="5"/>
    <x v="216"/>
    <s v="cgheraldi6g@opera.com"/>
    <x v="2"/>
    <s v="Lib"/>
    <s v="L"/>
    <x v="3"/>
    <n v="4.7549999999999999"/>
    <n v="23.774999999999999"/>
    <x v="3"/>
    <x v="1"/>
    <x v="1"/>
  </r>
  <r>
    <s v="JVW-22582-137"/>
    <x v="200"/>
    <s v="89208-74646-UK"/>
    <s v="E-M-0.2"/>
    <n v="5"/>
    <x v="217"/>
    <s v="bkenwell6h@over-blog.com"/>
    <x v="0"/>
    <s v="Exc"/>
    <s v="M"/>
    <x v="3"/>
    <n v="4.125"/>
    <n v="20.625"/>
    <x v="1"/>
    <x v="0"/>
    <x v="1"/>
  </r>
  <r>
    <s v="LAA-41879-001"/>
    <x v="201"/>
    <s v="11408-81032-UR"/>
    <s v="L-L-2.5"/>
    <n v="1"/>
    <x v="218"/>
    <s v="tsutty6i@google.es"/>
    <x v="0"/>
    <s v="Lib"/>
    <s v="L"/>
    <x v="2"/>
    <n v="36.454999999999998"/>
    <n v="36.454999999999998"/>
    <x v="3"/>
    <x v="1"/>
    <x v="1"/>
  </r>
  <r>
    <s v="BRV-64870-915"/>
    <x v="202"/>
    <s v="32070-55528-UG"/>
    <s v="L-L-2.5"/>
    <n v="5"/>
    <x v="219"/>
    <s v=""/>
    <x v="1"/>
    <s v="Lib"/>
    <s v="L"/>
    <x v="2"/>
    <n v="36.454999999999998"/>
    <n v="182.27499999999998"/>
    <x v="3"/>
    <x v="1"/>
    <x v="1"/>
  </r>
  <r>
    <s v="RGJ-12544-083"/>
    <x v="203"/>
    <s v="48873-84433-PN"/>
    <s v="L-D-2.5"/>
    <n v="3"/>
    <x v="220"/>
    <s v="charce6k@cafepress.com"/>
    <x v="1"/>
    <s v="Lib"/>
    <s v="D"/>
    <x v="2"/>
    <n v="29.784999999999997"/>
    <n v="89.35499999999999"/>
    <x v="3"/>
    <x v="2"/>
    <x v="1"/>
  </r>
  <r>
    <s v="JJX-83339-346"/>
    <x v="204"/>
    <s v="32928-18158-OW"/>
    <s v="R-L-0.2"/>
    <n v="1"/>
    <x v="221"/>
    <s v=""/>
    <x v="0"/>
    <s v="Rob"/>
    <s v="L"/>
    <x v="3"/>
    <n v="3.5849999999999995"/>
    <n v="3.5849999999999995"/>
    <x v="0"/>
    <x v="1"/>
    <x v="0"/>
  </r>
  <r>
    <s v="BIU-21970-705"/>
    <x v="205"/>
    <s v="89711-56688-GG"/>
    <s v="R-M-2.5"/>
    <n v="2"/>
    <x v="222"/>
    <s v="fdrysdale6m@symantec.com"/>
    <x v="0"/>
    <s v="Rob"/>
    <s v="M"/>
    <x v="2"/>
    <n v="22.884999999999998"/>
    <n v="45.769999999999996"/>
    <x v="0"/>
    <x v="0"/>
    <x v="0"/>
  </r>
  <r>
    <s v="ELJ-87741-745"/>
    <x v="206"/>
    <s v="48389-71976-JB"/>
    <s v="E-L-1"/>
    <n v="4"/>
    <x v="223"/>
    <s v="dmagowan6n@fc2.com"/>
    <x v="0"/>
    <s v="Exc"/>
    <s v="L"/>
    <x v="0"/>
    <n v="14.85"/>
    <n v="59.4"/>
    <x v="1"/>
    <x v="1"/>
    <x v="1"/>
  </r>
  <r>
    <s v="SGI-48226-857"/>
    <x v="207"/>
    <s v="84033-80762-EQ"/>
    <s v="A-M-2.5"/>
    <n v="6"/>
    <x v="224"/>
    <s v=""/>
    <x v="0"/>
    <s v="Ara"/>
    <s v="M"/>
    <x v="2"/>
    <n v="25.874999999999996"/>
    <n v="155.24999999999997"/>
    <x v="2"/>
    <x v="0"/>
    <x v="0"/>
  </r>
  <r>
    <s v="AHV-66988-037"/>
    <x v="208"/>
    <s v="12743-00952-KO"/>
    <s v="R-M-2.5"/>
    <n v="2"/>
    <x v="225"/>
    <s v=""/>
    <x v="0"/>
    <s v="Rob"/>
    <s v="M"/>
    <x v="2"/>
    <n v="22.884999999999998"/>
    <n v="45.769999999999996"/>
    <x v="0"/>
    <x v="0"/>
    <x v="1"/>
  </r>
  <r>
    <s v="ISK-42066-094"/>
    <x v="209"/>
    <s v="41505-42181-EF"/>
    <s v="E-D-1"/>
    <n v="3"/>
    <x v="226"/>
    <s v="srushbrooke6q@youku.com"/>
    <x v="0"/>
    <s v="Exc"/>
    <s v="D"/>
    <x v="0"/>
    <n v="12.15"/>
    <n v="36.450000000000003"/>
    <x v="1"/>
    <x v="2"/>
    <x v="0"/>
  </r>
  <r>
    <s v="FTC-35822-530"/>
    <x v="210"/>
    <s v="14307-87663-KB"/>
    <s v="E-D-0.5"/>
    <n v="4"/>
    <x v="227"/>
    <s v="tdrynan6r@deviantart.com"/>
    <x v="0"/>
    <s v="Exc"/>
    <s v="D"/>
    <x v="1"/>
    <n v="7.29"/>
    <n v="29.16"/>
    <x v="1"/>
    <x v="2"/>
    <x v="0"/>
  </r>
  <r>
    <s v="VSS-56247-688"/>
    <x v="211"/>
    <s v="08360-19442-GB"/>
    <s v="L-M-2.5"/>
    <n v="4"/>
    <x v="228"/>
    <s v="eyurkov6s@hud.gov"/>
    <x v="0"/>
    <s v="Lib"/>
    <s v="M"/>
    <x v="2"/>
    <n v="33.464999999999996"/>
    <n v="133.85999999999999"/>
    <x v="3"/>
    <x v="0"/>
    <x v="1"/>
  </r>
  <r>
    <s v="HVW-25584-144"/>
    <x v="212"/>
    <s v="93405-51204-UW"/>
    <s v="L-L-0.2"/>
    <n v="5"/>
    <x v="229"/>
    <s v="lmallan6t@state.gov"/>
    <x v="0"/>
    <s v="Lib"/>
    <s v="L"/>
    <x v="3"/>
    <n v="4.7549999999999999"/>
    <n v="23.774999999999999"/>
    <x v="3"/>
    <x v="1"/>
    <x v="0"/>
  </r>
  <r>
    <s v="MUY-15309-209"/>
    <x v="213"/>
    <s v="97152-03355-IW"/>
    <s v="L-D-1"/>
    <n v="3"/>
    <x v="230"/>
    <s v="gbentjens6u@netlog.com"/>
    <x v="2"/>
    <s v="Lib"/>
    <s v="D"/>
    <x v="0"/>
    <n v="12.95"/>
    <n v="38.849999999999994"/>
    <x v="3"/>
    <x v="2"/>
    <x v="1"/>
  </r>
  <r>
    <s v="VAJ-44572-469"/>
    <x v="63"/>
    <s v="79216-73157-TE"/>
    <s v="R-L-0.2"/>
    <n v="6"/>
    <x v="231"/>
    <s v=""/>
    <x v="1"/>
    <s v="Rob"/>
    <s v="L"/>
    <x v="3"/>
    <n v="3.5849999999999995"/>
    <n v="21.509999999999998"/>
    <x v="0"/>
    <x v="1"/>
    <x v="0"/>
  </r>
  <r>
    <s v="YJU-84377-606"/>
    <x v="214"/>
    <s v="20259-47723-AC"/>
    <s v="A-D-1"/>
    <n v="1"/>
    <x v="232"/>
    <s v="lentwistle6w@omniture.com"/>
    <x v="0"/>
    <s v="Ara"/>
    <s v="D"/>
    <x v="0"/>
    <n v="9.9499999999999993"/>
    <n v="9.9499999999999993"/>
    <x v="2"/>
    <x v="2"/>
    <x v="0"/>
  </r>
  <r>
    <s v="VNC-93921-469"/>
    <x v="215"/>
    <s v="04666-71569-RI"/>
    <s v="L-L-1"/>
    <n v="1"/>
    <x v="233"/>
    <s v="zkiffe74@cyberchimps.com"/>
    <x v="0"/>
    <s v="Lib"/>
    <s v="L"/>
    <x v="0"/>
    <n v="15.85"/>
    <n v="15.85"/>
    <x v="3"/>
    <x v="1"/>
    <x v="0"/>
  </r>
  <r>
    <s v="OGB-91614-810"/>
    <x v="216"/>
    <s v="08909-77713-CG"/>
    <s v="R-M-0.2"/>
    <n v="1"/>
    <x v="234"/>
    <s v="macott6y@pagesperso-orange.fr"/>
    <x v="0"/>
    <s v="Rob"/>
    <s v="M"/>
    <x v="3"/>
    <n v="2.9849999999999999"/>
    <n v="2.9849999999999999"/>
    <x v="0"/>
    <x v="0"/>
    <x v="0"/>
  </r>
  <r>
    <s v="BQI-61647-496"/>
    <x v="217"/>
    <s v="84340-73931-VV"/>
    <s v="E-M-1"/>
    <n v="5"/>
    <x v="235"/>
    <s v="cheaviside6z@rediff.com"/>
    <x v="0"/>
    <s v="Exc"/>
    <s v="M"/>
    <x v="0"/>
    <n v="13.75"/>
    <n v="68.75"/>
    <x v="1"/>
    <x v="0"/>
    <x v="0"/>
  </r>
  <r>
    <s v="IOM-51636-823"/>
    <x v="218"/>
    <s v="04609-95151-XH"/>
    <s v="A-D-1"/>
    <n v="3"/>
    <x v="236"/>
    <s v=""/>
    <x v="0"/>
    <s v="Ara"/>
    <s v="D"/>
    <x v="0"/>
    <n v="9.9499999999999993"/>
    <n v="29.849999999999998"/>
    <x v="2"/>
    <x v="2"/>
    <x v="1"/>
  </r>
  <r>
    <s v="GGD-38107-641"/>
    <x v="219"/>
    <s v="99562-88650-YF"/>
    <s v="L-M-1"/>
    <n v="4"/>
    <x v="237"/>
    <s v="lkernan71@wsj.com"/>
    <x v="0"/>
    <s v="Lib"/>
    <s v="M"/>
    <x v="0"/>
    <n v="14.55"/>
    <n v="58.2"/>
    <x v="3"/>
    <x v="0"/>
    <x v="1"/>
  </r>
  <r>
    <s v="LTO-95975-728"/>
    <x v="220"/>
    <s v="46560-73885-PJ"/>
    <s v="R-L-0.5"/>
    <n v="4"/>
    <x v="238"/>
    <s v="rmclae72@dailymotion.com"/>
    <x v="2"/>
    <s v="Rob"/>
    <s v="L"/>
    <x v="1"/>
    <n v="7.169999999999999"/>
    <n v="28.679999999999996"/>
    <x v="0"/>
    <x v="1"/>
    <x v="1"/>
  </r>
  <r>
    <s v="IGM-84664-265"/>
    <x v="114"/>
    <s v="80179-44620-WN"/>
    <s v="R-L-0.5"/>
    <n v="3"/>
    <x v="239"/>
    <s v="cblowfelde73@ustream.tv"/>
    <x v="0"/>
    <s v="Rob"/>
    <s v="L"/>
    <x v="1"/>
    <n v="7.169999999999999"/>
    <n v="21.509999999999998"/>
    <x v="0"/>
    <x v="1"/>
    <x v="1"/>
  </r>
  <r>
    <s v="SKO-45740-621"/>
    <x v="221"/>
    <s v="04666-71569-RI"/>
    <s v="L-M-0.5"/>
    <n v="2"/>
    <x v="233"/>
    <s v="zkiffe74@cyberchimps.com"/>
    <x v="0"/>
    <s v="Lib"/>
    <s v="M"/>
    <x v="1"/>
    <n v="8.73"/>
    <n v="17.46"/>
    <x v="3"/>
    <x v="0"/>
    <x v="0"/>
  </r>
  <r>
    <s v="FOJ-02234-063"/>
    <x v="222"/>
    <s v="59081-87231-VP"/>
    <s v="E-D-2.5"/>
    <n v="1"/>
    <x v="240"/>
    <s v="docalleran75@ucla.edu"/>
    <x v="0"/>
    <s v="Exc"/>
    <s v="D"/>
    <x v="2"/>
    <n v="27.945"/>
    <n v="27.945"/>
    <x v="1"/>
    <x v="2"/>
    <x v="0"/>
  </r>
  <r>
    <s v="MSJ-11909-468"/>
    <x v="188"/>
    <s v="07878-45872-CC"/>
    <s v="E-D-2.5"/>
    <n v="5"/>
    <x v="241"/>
    <s v="ccromwell76@desdev.cn"/>
    <x v="0"/>
    <s v="Exc"/>
    <s v="D"/>
    <x v="2"/>
    <n v="27.945"/>
    <n v="139.72499999999999"/>
    <x v="1"/>
    <x v="2"/>
    <x v="1"/>
  </r>
  <r>
    <s v="DKB-78053-329"/>
    <x v="223"/>
    <s v="12444-05174-OO"/>
    <s v="R-M-0.2"/>
    <n v="2"/>
    <x v="242"/>
    <s v="ihay77@lulu.com"/>
    <x v="2"/>
    <s v="Rob"/>
    <s v="M"/>
    <x v="3"/>
    <n v="2.9849999999999999"/>
    <n v="5.97"/>
    <x v="0"/>
    <x v="0"/>
    <x v="1"/>
  </r>
  <r>
    <s v="DFZ-45083-941"/>
    <x v="224"/>
    <s v="34665-62561-AU"/>
    <s v="R-L-2.5"/>
    <n v="1"/>
    <x v="243"/>
    <s v="ttaffarello78@sciencedaily.com"/>
    <x v="0"/>
    <s v="Rob"/>
    <s v="L"/>
    <x v="2"/>
    <n v="27.484999999999996"/>
    <n v="27.484999999999996"/>
    <x v="0"/>
    <x v="1"/>
    <x v="0"/>
  </r>
  <r>
    <s v="OTA-40969-710"/>
    <x v="83"/>
    <s v="77877-11993-QH"/>
    <s v="R-L-1"/>
    <n v="5"/>
    <x v="244"/>
    <s v="mcanty79@jigsy.com"/>
    <x v="0"/>
    <s v="Rob"/>
    <s v="L"/>
    <x v="0"/>
    <n v="11.95"/>
    <n v="59.75"/>
    <x v="0"/>
    <x v="1"/>
    <x v="0"/>
  </r>
  <r>
    <s v="GRH-45571-667"/>
    <x v="104"/>
    <s v="32291-18308-YZ"/>
    <s v="E-M-1"/>
    <n v="3"/>
    <x v="245"/>
    <s v="jkopke7a@auda.org.au"/>
    <x v="0"/>
    <s v="Exc"/>
    <s v="M"/>
    <x v="0"/>
    <n v="13.75"/>
    <n v="41.25"/>
    <x v="1"/>
    <x v="0"/>
    <x v="1"/>
  </r>
  <r>
    <s v="NXV-05302-067"/>
    <x v="225"/>
    <s v="25754-33191-ZI"/>
    <s v="L-M-2.5"/>
    <n v="4"/>
    <x v="246"/>
    <s v=""/>
    <x v="0"/>
    <s v="Lib"/>
    <s v="M"/>
    <x v="2"/>
    <n v="33.464999999999996"/>
    <n v="133.85999999999999"/>
    <x v="3"/>
    <x v="0"/>
    <x v="1"/>
  </r>
  <r>
    <s v="VZH-86274-142"/>
    <x v="226"/>
    <s v="53120-45532-KL"/>
    <s v="R-L-1"/>
    <n v="5"/>
    <x v="247"/>
    <s v=""/>
    <x v="1"/>
    <s v="Rob"/>
    <s v="L"/>
    <x v="0"/>
    <n v="11.95"/>
    <n v="59.75"/>
    <x v="0"/>
    <x v="1"/>
    <x v="0"/>
  </r>
  <r>
    <s v="KIX-93248-135"/>
    <x v="227"/>
    <s v="36605-83052-WB"/>
    <s v="A-D-0.5"/>
    <n v="1"/>
    <x v="248"/>
    <s v="vhellmore7d@bbc.co.uk"/>
    <x v="0"/>
    <s v="Ara"/>
    <s v="D"/>
    <x v="1"/>
    <n v="5.97"/>
    <n v="5.97"/>
    <x v="2"/>
    <x v="2"/>
    <x v="0"/>
  </r>
  <r>
    <s v="AXR-10962-010"/>
    <x v="180"/>
    <s v="53683-35977-KI"/>
    <s v="E-D-1"/>
    <n v="2"/>
    <x v="249"/>
    <s v="mseawright7e@nbcnews.com"/>
    <x v="2"/>
    <s v="Exc"/>
    <s v="D"/>
    <x v="0"/>
    <n v="12.15"/>
    <n v="24.3"/>
    <x v="1"/>
    <x v="2"/>
    <x v="1"/>
  </r>
  <r>
    <s v="IHS-71573-008"/>
    <x v="228"/>
    <s v="07972-83134-NM"/>
    <s v="E-D-0.2"/>
    <n v="6"/>
    <x v="250"/>
    <s v="snortheast7f@mashable.com"/>
    <x v="0"/>
    <s v="Exc"/>
    <s v="D"/>
    <x v="3"/>
    <n v="3.645"/>
    <n v="21.87"/>
    <x v="1"/>
    <x v="2"/>
    <x v="0"/>
  </r>
  <r>
    <s v="QTR-19001-114"/>
    <x v="229"/>
    <s v="01035-70465-UO"/>
    <s v="A-D-1"/>
    <n v="2"/>
    <x v="195"/>
    <s v="aattwater5u@wikia.com"/>
    <x v="0"/>
    <s v="Ara"/>
    <s v="D"/>
    <x v="0"/>
    <n v="9.9499999999999993"/>
    <n v="19.899999999999999"/>
    <x v="2"/>
    <x v="2"/>
    <x v="0"/>
  </r>
  <r>
    <s v="WBK-62297-910"/>
    <x v="230"/>
    <s v="25514-23938-IQ"/>
    <s v="A-D-0.2"/>
    <n v="2"/>
    <x v="251"/>
    <s v="mfearon7h@reverbnation.com"/>
    <x v="0"/>
    <s v="Ara"/>
    <s v="D"/>
    <x v="3"/>
    <n v="2.9849999999999999"/>
    <n v="5.97"/>
    <x v="2"/>
    <x v="2"/>
    <x v="1"/>
  </r>
  <r>
    <s v="OGY-19377-175"/>
    <x v="231"/>
    <s v="49084-44492-OJ"/>
    <s v="E-D-0.5"/>
    <n v="1"/>
    <x v="252"/>
    <s v=""/>
    <x v="1"/>
    <s v="Exc"/>
    <s v="D"/>
    <x v="1"/>
    <n v="7.29"/>
    <n v="7.29"/>
    <x v="1"/>
    <x v="2"/>
    <x v="0"/>
  </r>
  <r>
    <s v="ESR-66651-814"/>
    <x v="80"/>
    <s v="76624-72205-CK"/>
    <s v="A-D-0.2"/>
    <n v="4"/>
    <x v="253"/>
    <s v="jsisneros7j@a8.net"/>
    <x v="0"/>
    <s v="Ara"/>
    <s v="D"/>
    <x v="3"/>
    <n v="2.9849999999999999"/>
    <n v="11.94"/>
    <x v="2"/>
    <x v="2"/>
    <x v="0"/>
  </r>
  <r>
    <s v="CPX-46916-770"/>
    <x v="232"/>
    <s v="12729-50170-JE"/>
    <s v="R-L-1"/>
    <n v="6"/>
    <x v="254"/>
    <s v="zcarlson7k@bigcartel.com"/>
    <x v="1"/>
    <s v="Rob"/>
    <s v="L"/>
    <x v="0"/>
    <n v="11.95"/>
    <n v="71.699999999999989"/>
    <x v="0"/>
    <x v="1"/>
    <x v="0"/>
  </r>
  <r>
    <s v="MDC-03318-645"/>
    <x v="233"/>
    <s v="43974-44760-QI"/>
    <s v="A-L-0.2"/>
    <n v="2"/>
    <x v="255"/>
    <s v="wmaddox7l@timesonline.co.uk"/>
    <x v="0"/>
    <s v="Ara"/>
    <s v="L"/>
    <x v="3"/>
    <n v="3.8849999999999998"/>
    <n v="7.77"/>
    <x v="2"/>
    <x v="1"/>
    <x v="1"/>
  </r>
  <r>
    <s v="SFF-86059-407"/>
    <x v="234"/>
    <s v="30585-48726-BK"/>
    <s v="A-M-2.5"/>
    <n v="1"/>
    <x v="256"/>
    <s v="dhedlestone7m@craigslist.org"/>
    <x v="0"/>
    <s v="Ara"/>
    <s v="M"/>
    <x v="2"/>
    <n v="25.874999999999996"/>
    <n v="25.874999999999996"/>
    <x v="2"/>
    <x v="0"/>
    <x v="1"/>
  </r>
  <r>
    <s v="SCL-94540-788"/>
    <x v="235"/>
    <s v="16123-07017-TY"/>
    <s v="E-L-2.5"/>
    <n v="6"/>
    <x v="257"/>
    <s v="tcrowthe7n@europa.eu"/>
    <x v="0"/>
    <s v="Exc"/>
    <s v="L"/>
    <x v="2"/>
    <n v="34.154999999999994"/>
    <n v="204.92999999999995"/>
    <x v="1"/>
    <x v="1"/>
    <x v="1"/>
  </r>
  <r>
    <s v="HVU-21634-076"/>
    <x v="236"/>
    <s v="27723-45097-MH"/>
    <s v="R-L-2.5"/>
    <n v="4"/>
    <x v="258"/>
    <s v="dbury7o@tinyurl.com"/>
    <x v="1"/>
    <s v="Rob"/>
    <s v="L"/>
    <x v="2"/>
    <n v="27.484999999999996"/>
    <n v="109.93999999999998"/>
    <x v="0"/>
    <x v="1"/>
    <x v="0"/>
  </r>
  <r>
    <s v="XUS-73326-418"/>
    <x v="237"/>
    <s v="37078-56703-AF"/>
    <s v="E-L-1"/>
    <n v="6"/>
    <x v="259"/>
    <s v="gbroadbear7p@omniture.com"/>
    <x v="0"/>
    <s v="Exc"/>
    <s v="L"/>
    <x v="0"/>
    <n v="14.85"/>
    <n v="89.1"/>
    <x v="1"/>
    <x v="1"/>
    <x v="1"/>
  </r>
  <r>
    <s v="XWD-18933-006"/>
    <x v="238"/>
    <s v="79420-11075-MY"/>
    <s v="A-L-0.2"/>
    <n v="2"/>
    <x v="260"/>
    <s v="epalfrey7q@devhub.com"/>
    <x v="0"/>
    <s v="Ara"/>
    <s v="L"/>
    <x v="3"/>
    <n v="3.8849999999999998"/>
    <n v="7.77"/>
    <x v="2"/>
    <x v="1"/>
    <x v="0"/>
  </r>
  <r>
    <s v="HPD-65272-772"/>
    <x v="52"/>
    <s v="57504-13456-UO"/>
    <s v="L-M-2.5"/>
    <n v="1"/>
    <x v="261"/>
    <s v="pmetrick7r@rakuten.co.jp"/>
    <x v="0"/>
    <s v="Lib"/>
    <s v="M"/>
    <x v="2"/>
    <n v="33.464999999999996"/>
    <n v="33.464999999999996"/>
    <x v="3"/>
    <x v="0"/>
    <x v="0"/>
  </r>
  <r>
    <s v="JEG-93140-224"/>
    <x v="146"/>
    <s v="53751-57560-CN"/>
    <s v="E-M-0.5"/>
    <n v="5"/>
    <x v="262"/>
    <s v=""/>
    <x v="0"/>
    <s v="Exc"/>
    <s v="M"/>
    <x v="1"/>
    <n v="8.25"/>
    <n v="41.25"/>
    <x v="1"/>
    <x v="0"/>
    <x v="0"/>
  </r>
  <r>
    <s v="NNH-62058-950"/>
    <x v="239"/>
    <s v="96112-42558-EA"/>
    <s v="E-L-1"/>
    <n v="4"/>
    <x v="263"/>
    <s v="kkarby7t@sbwire.com"/>
    <x v="0"/>
    <s v="Exc"/>
    <s v="L"/>
    <x v="0"/>
    <n v="14.85"/>
    <n v="59.4"/>
    <x v="1"/>
    <x v="1"/>
    <x v="0"/>
  </r>
  <r>
    <s v="LTD-71429-845"/>
    <x v="240"/>
    <s v="03157-23165-UB"/>
    <s v="A-L-0.5"/>
    <n v="1"/>
    <x v="264"/>
    <s v="fcrumpe7u@ftc.gov"/>
    <x v="2"/>
    <s v="Ara"/>
    <s v="L"/>
    <x v="1"/>
    <n v="7.77"/>
    <n v="7.77"/>
    <x v="2"/>
    <x v="1"/>
    <x v="1"/>
  </r>
  <r>
    <s v="MPV-26985-215"/>
    <x v="241"/>
    <s v="51466-52850-AG"/>
    <s v="R-D-0.5"/>
    <n v="1"/>
    <x v="265"/>
    <s v="achatto7v@sakura.ne.jp"/>
    <x v="2"/>
    <s v="Rob"/>
    <s v="D"/>
    <x v="1"/>
    <n v="5.3699999999999992"/>
    <n v="5.3699999999999992"/>
    <x v="0"/>
    <x v="2"/>
    <x v="0"/>
  </r>
  <r>
    <s v="IYO-10245-081"/>
    <x v="242"/>
    <s v="57145-31023-FK"/>
    <s v="E-M-2.5"/>
    <n v="3"/>
    <x v="266"/>
    <s v=""/>
    <x v="0"/>
    <s v="Exc"/>
    <s v="M"/>
    <x v="2"/>
    <n v="31.624999999999996"/>
    <n v="94.874999999999986"/>
    <x v="1"/>
    <x v="0"/>
    <x v="1"/>
  </r>
  <r>
    <s v="BYZ-39669-954"/>
    <x v="243"/>
    <s v="66408-53777-VE"/>
    <s v="L-L-2.5"/>
    <n v="1"/>
    <x v="267"/>
    <s v=""/>
    <x v="0"/>
    <s v="Lib"/>
    <s v="L"/>
    <x v="2"/>
    <n v="36.454999999999998"/>
    <n v="36.454999999999998"/>
    <x v="3"/>
    <x v="1"/>
    <x v="1"/>
  </r>
  <r>
    <s v="EFB-72860-209"/>
    <x v="244"/>
    <s v="53035-99701-WG"/>
    <s v="A-M-0.2"/>
    <n v="4"/>
    <x v="268"/>
    <s v="bmergue7y@umn.edu"/>
    <x v="0"/>
    <s v="Ara"/>
    <s v="M"/>
    <x v="3"/>
    <n v="3.375"/>
    <n v="13.5"/>
    <x v="2"/>
    <x v="0"/>
    <x v="0"/>
  </r>
  <r>
    <s v="GMM-72397-378"/>
    <x v="245"/>
    <s v="45899-92796-EI"/>
    <s v="R-L-0.2"/>
    <n v="4"/>
    <x v="269"/>
    <s v="kpatise7z@jigsy.com"/>
    <x v="0"/>
    <s v="Rob"/>
    <s v="L"/>
    <x v="3"/>
    <n v="3.5849999999999995"/>
    <n v="14.339999999999998"/>
    <x v="0"/>
    <x v="1"/>
    <x v="1"/>
  </r>
  <r>
    <s v="LYP-52345-883"/>
    <x v="246"/>
    <s v="17649-28133-PY"/>
    <s v="E-M-0.5"/>
    <n v="1"/>
    <x v="270"/>
    <s v=""/>
    <x v="1"/>
    <s v="Exc"/>
    <s v="M"/>
    <x v="1"/>
    <n v="8.25"/>
    <n v="8.25"/>
    <x v="1"/>
    <x v="0"/>
    <x v="0"/>
  </r>
  <r>
    <s v="DFK-35846-692"/>
    <x v="247"/>
    <s v="49612-33852-CN"/>
    <s v="R-D-0.2"/>
    <n v="5"/>
    <x v="271"/>
    <s v=""/>
    <x v="0"/>
    <s v="Rob"/>
    <s v="D"/>
    <x v="3"/>
    <n v="2.6849999999999996"/>
    <n v="13.424999999999997"/>
    <x v="0"/>
    <x v="2"/>
    <x v="0"/>
  </r>
  <r>
    <s v="XAH-93337-609"/>
    <x v="248"/>
    <s v="66976-43829-YG"/>
    <s v="A-D-1"/>
    <n v="5"/>
    <x v="272"/>
    <s v="dduke82@vkontakte.ru"/>
    <x v="0"/>
    <s v="Ara"/>
    <s v="D"/>
    <x v="0"/>
    <n v="9.9499999999999993"/>
    <n v="49.75"/>
    <x v="2"/>
    <x v="2"/>
    <x v="1"/>
  </r>
  <r>
    <s v="QKA-72582-644"/>
    <x v="249"/>
    <s v="64852-04619-XZ"/>
    <s v="E-M-0.5"/>
    <n v="2"/>
    <x v="273"/>
    <s v=""/>
    <x v="1"/>
    <s v="Exc"/>
    <s v="M"/>
    <x v="1"/>
    <n v="8.25"/>
    <n v="16.5"/>
    <x v="1"/>
    <x v="0"/>
    <x v="1"/>
  </r>
  <r>
    <s v="ZDK-84567-102"/>
    <x v="250"/>
    <s v="58690-31815-VY"/>
    <s v="A-D-0.5"/>
    <n v="3"/>
    <x v="274"/>
    <s v="ihussey84@mapy.cz"/>
    <x v="0"/>
    <s v="Ara"/>
    <s v="D"/>
    <x v="1"/>
    <n v="5.97"/>
    <n v="17.91"/>
    <x v="2"/>
    <x v="2"/>
    <x v="1"/>
  </r>
  <r>
    <s v="WAV-38301-984"/>
    <x v="251"/>
    <s v="62863-81239-DT"/>
    <s v="A-D-0.5"/>
    <n v="5"/>
    <x v="275"/>
    <s v="cpinkerton85@upenn.edu"/>
    <x v="0"/>
    <s v="Ara"/>
    <s v="D"/>
    <x v="1"/>
    <n v="5.97"/>
    <n v="29.849999999999998"/>
    <x v="2"/>
    <x v="2"/>
    <x v="1"/>
  </r>
  <r>
    <s v="KZR-33023-209"/>
    <x v="177"/>
    <s v="21177-40725-CF"/>
    <s v="E-L-1"/>
    <n v="3"/>
    <x v="276"/>
    <s v=""/>
    <x v="0"/>
    <s v="Exc"/>
    <s v="L"/>
    <x v="0"/>
    <n v="14.85"/>
    <n v="44.55"/>
    <x v="1"/>
    <x v="1"/>
    <x v="1"/>
  </r>
  <r>
    <s v="ULM-49433-003"/>
    <x v="252"/>
    <s v="99421-80253-UI"/>
    <s v="E-M-1"/>
    <n v="2"/>
    <x v="277"/>
    <s v=""/>
    <x v="0"/>
    <s v="Exc"/>
    <s v="M"/>
    <x v="0"/>
    <n v="13.75"/>
    <n v="27.5"/>
    <x v="1"/>
    <x v="0"/>
    <x v="1"/>
  </r>
  <r>
    <s v="SIB-83254-136"/>
    <x v="253"/>
    <s v="45315-50206-DK"/>
    <s v="R-M-0.5"/>
    <n v="6"/>
    <x v="278"/>
    <s v="dvizor88@furl.net"/>
    <x v="0"/>
    <s v="Rob"/>
    <s v="M"/>
    <x v="1"/>
    <n v="5.97"/>
    <n v="35.82"/>
    <x v="0"/>
    <x v="0"/>
    <x v="0"/>
  </r>
  <r>
    <s v="NOK-50349-551"/>
    <x v="254"/>
    <s v="09595-95726-OV"/>
    <s v="R-D-0.5"/>
    <n v="3"/>
    <x v="279"/>
    <s v="esedgebeer89@oaic.gov.au"/>
    <x v="0"/>
    <s v="Rob"/>
    <s v="D"/>
    <x v="1"/>
    <n v="5.3699999999999992"/>
    <n v="16.11"/>
    <x v="0"/>
    <x v="2"/>
    <x v="0"/>
  </r>
  <r>
    <s v="YIS-96268-844"/>
    <x v="227"/>
    <s v="60221-67036-TD"/>
    <s v="E-L-0.2"/>
    <n v="6"/>
    <x v="280"/>
    <s v="klestrange8a@lulu.com"/>
    <x v="0"/>
    <s v="Exc"/>
    <s v="L"/>
    <x v="3"/>
    <n v="4.4550000000000001"/>
    <n v="26.73"/>
    <x v="1"/>
    <x v="1"/>
    <x v="0"/>
  </r>
  <r>
    <s v="CXI-04933-855"/>
    <x v="110"/>
    <s v="62923-29397-KX"/>
    <s v="E-L-2.5"/>
    <n v="6"/>
    <x v="281"/>
    <s v="ltanti8b@techcrunch.com"/>
    <x v="0"/>
    <s v="Exc"/>
    <s v="L"/>
    <x v="2"/>
    <n v="34.154999999999994"/>
    <n v="204.92999999999995"/>
    <x v="1"/>
    <x v="1"/>
    <x v="0"/>
  </r>
  <r>
    <s v="IZU-90429-382"/>
    <x v="182"/>
    <s v="33011-52383-BA"/>
    <s v="A-L-1"/>
    <n v="3"/>
    <x v="282"/>
    <s v="ade8c@1und1.de"/>
    <x v="0"/>
    <s v="Ara"/>
    <s v="L"/>
    <x v="0"/>
    <n v="12.95"/>
    <n v="38.849999999999994"/>
    <x v="2"/>
    <x v="1"/>
    <x v="0"/>
  </r>
  <r>
    <s v="WIT-40912-783"/>
    <x v="255"/>
    <s v="86768-91598-FA"/>
    <s v="L-D-0.2"/>
    <n v="4"/>
    <x v="283"/>
    <s v="tjedrachowicz8d@acquirethisname.com"/>
    <x v="0"/>
    <s v="Lib"/>
    <s v="D"/>
    <x v="3"/>
    <n v="3.8849999999999998"/>
    <n v="15.54"/>
    <x v="3"/>
    <x v="2"/>
    <x v="0"/>
  </r>
  <r>
    <s v="PSD-57291-590"/>
    <x v="256"/>
    <s v="37191-12203-MX"/>
    <s v="A-M-0.5"/>
    <n v="1"/>
    <x v="284"/>
    <s v="pstonner8e@moonfruit.com"/>
    <x v="0"/>
    <s v="Ara"/>
    <s v="M"/>
    <x v="1"/>
    <n v="6.75"/>
    <n v="6.75"/>
    <x v="2"/>
    <x v="0"/>
    <x v="1"/>
  </r>
  <r>
    <s v="GOI-41472-677"/>
    <x v="3"/>
    <s v="16545-76328-JY"/>
    <s v="E-D-2.5"/>
    <n v="4"/>
    <x v="285"/>
    <s v="dtingly8f@goo.ne.jp"/>
    <x v="0"/>
    <s v="Exc"/>
    <s v="D"/>
    <x v="2"/>
    <n v="27.945"/>
    <n v="111.78"/>
    <x v="1"/>
    <x v="2"/>
    <x v="0"/>
  </r>
  <r>
    <s v="KTX-17944-494"/>
    <x v="257"/>
    <s v="74330-29286-RO"/>
    <s v="A-L-0.2"/>
    <n v="1"/>
    <x v="286"/>
    <s v="crushe8n@about.me"/>
    <x v="0"/>
    <s v="Ara"/>
    <s v="L"/>
    <x v="3"/>
    <n v="3.8849999999999998"/>
    <n v="3.8849999999999998"/>
    <x v="2"/>
    <x v="1"/>
    <x v="0"/>
  </r>
  <r>
    <s v="RDM-99811-230"/>
    <x v="258"/>
    <s v="22349-47389-GY"/>
    <s v="L-M-0.2"/>
    <n v="5"/>
    <x v="287"/>
    <s v="bchecci8h@usa.gov"/>
    <x v="2"/>
    <s v="Lib"/>
    <s v="M"/>
    <x v="3"/>
    <n v="4.3650000000000002"/>
    <n v="21.825000000000003"/>
    <x v="3"/>
    <x v="0"/>
    <x v="1"/>
  </r>
  <r>
    <s v="JTU-55897-581"/>
    <x v="259"/>
    <s v="70290-38099-GB"/>
    <s v="R-M-0.2"/>
    <n v="5"/>
    <x v="288"/>
    <s v="jbagot8i@mac.com"/>
    <x v="0"/>
    <s v="Rob"/>
    <s v="M"/>
    <x v="3"/>
    <n v="2.9849999999999999"/>
    <n v="14.924999999999999"/>
    <x v="0"/>
    <x v="0"/>
    <x v="1"/>
  </r>
  <r>
    <s v="CRK-07584-240"/>
    <x v="260"/>
    <s v="18741-72071-PP"/>
    <s v="A-M-1"/>
    <n v="3"/>
    <x v="289"/>
    <s v="ebeeble8j@soundcloud.com"/>
    <x v="0"/>
    <s v="Ara"/>
    <s v="M"/>
    <x v="0"/>
    <n v="11.25"/>
    <n v="33.75"/>
    <x v="2"/>
    <x v="0"/>
    <x v="0"/>
  </r>
  <r>
    <s v="MKE-75518-399"/>
    <x v="261"/>
    <s v="62588-82624-II"/>
    <s v="A-M-1"/>
    <n v="3"/>
    <x v="290"/>
    <s v="cfluin8k@flickr.com"/>
    <x v="2"/>
    <s v="Ara"/>
    <s v="M"/>
    <x v="0"/>
    <n v="11.25"/>
    <n v="33.75"/>
    <x v="2"/>
    <x v="0"/>
    <x v="1"/>
  </r>
  <r>
    <s v="AEL-51169-725"/>
    <x v="262"/>
    <s v="37430-29579-HD"/>
    <s v="L-M-0.2"/>
    <n v="6"/>
    <x v="291"/>
    <s v="ebletsor8l@vinaora.com"/>
    <x v="0"/>
    <s v="Lib"/>
    <s v="M"/>
    <x v="3"/>
    <n v="4.3650000000000002"/>
    <n v="26.19"/>
    <x v="3"/>
    <x v="0"/>
    <x v="0"/>
  </r>
  <r>
    <s v="ZGM-83108-823"/>
    <x v="263"/>
    <s v="84132-22322-QT"/>
    <s v="E-L-1"/>
    <n v="1"/>
    <x v="292"/>
    <s v="pbrydell8m@bloglovin.com"/>
    <x v="1"/>
    <s v="Exc"/>
    <s v="L"/>
    <x v="0"/>
    <n v="14.85"/>
    <n v="14.85"/>
    <x v="1"/>
    <x v="1"/>
    <x v="1"/>
  </r>
  <r>
    <s v="JBP-78754-392"/>
    <x v="212"/>
    <s v="74330-29286-RO"/>
    <s v="E-M-2.5"/>
    <n v="6"/>
    <x v="286"/>
    <s v="crushe8n@about.me"/>
    <x v="0"/>
    <s v="Exc"/>
    <s v="M"/>
    <x v="2"/>
    <n v="31.624999999999996"/>
    <n v="189.74999999999997"/>
    <x v="1"/>
    <x v="0"/>
    <x v="0"/>
  </r>
  <r>
    <s v="RNH-54912-747"/>
    <x v="187"/>
    <s v="37445-17791-NQ"/>
    <s v="R-M-0.5"/>
    <n v="1"/>
    <x v="293"/>
    <s v="nleethem8o@mac.com"/>
    <x v="0"/>
    <s v="Rob"/>
    <s v="M"/>
    <x v="1"/>
    <n v="5.97"/>
    <n v="5.97"/>
    <x v="0"/>
    <x v="0"/>
    <x v="0"/>
  </r>
  <r>
    <s v="JDS-33440-914"/>
    <x v="248"/>
    <s v="58511-10548-ZU"/>
    <s v="R-M-1"/>
    <n v="3"/>
    <x v="294"/>
    <s v="anesfield8p@people.com.cn"/>
    <x v="2"/>
    <s v="Rob"/>
    <s v="M"/>
    <x v="0"/>
    <n v="9.9499999999999993"/>
    <n v="29.849999999999998"/>
    <x v="0"/>
    <x v="0"/>
    <x v="0"/>
  </r>
  <r>
    <s v="SYX-48878-182"/>
    <x v="264"/>
    <s v="47725-34771-FJ"/>
    <s v="R-D-1"/>
    <n v="5"/>
    <x v="295"/>
    <s v=""/>
    <x v="0"/>
    <s v="Rob"/>
    <s v="D"/>
    <x v="0"/>
    <n v="8.9499999999999993"/>
    <n v="44.75"/>
    <x v="0"/>
    <x v="2"/>
    <x v="1"/>
  </r>
  <r>
    <s v="ZGD-94763-868"/>
    <x v="265"/>
    <s v="53086-67334-KT"/>
    <s v="E-L-2.5"/>
    <n v="1"/>
    <x v="296"/>
    <s v="mbrockway8r@ibm.com"/>
    <x v="0"/>
    <s v="Exc"/>
    <s v="L"/>
    <x v="2"/>
    <n v="34.154999999999994"/>
    <n v="34.154999999999994"/>
    <x v="1"/>
    <x v="1"/>
    <x v="0"/>
  </r>
  <r>
    <s v="CZY-70361-485"/>
    <x v="266"/>
    <s v="83308-82257-UN"/>
    <s v="E-L-2.5"/>
    <n v="6"/>
    <x v="297"/>
    <s v="nlush8s@dedecms.com"/>
    <x v="1"/>
    <s v="Exc"/>
    <s v="L"/>
    <x v="2"/>
    <n v="34.154999999999994"/>
    <n v="204.92999999999995"/>
    <x v="1"/>
    <x v="1"/>
    <x v="1"/>
  </r>
  <r>
    <s v="RJR-12175-899"/>
    <x v="267"/>
    <s v="37274-08534-FM"/>
    <s v="E-D-0.5"/>
    <n v="3"/>
    <x v="298"/>
    <s v="smcmillian8t@csmonitor.com"/>
    <x v="0"/>
    <s v="Exc"/>
    <s v="D"/>
    <x v="1"/>
    <n v="7.29"/>
    <n v="21.87"/>
    <x v="1"/>
    <x v="2"/>
    <x v="1"/>
  </r>
  <r>
    <s v="ELB-07929-407"/>
    <x v="204"/>
    <s v="54004-04664-AA"/>
    <s v="A-M-2.5"/>
    <n v="2"/>
    <x v="299"/>
    <s v="tbennison8u@google.cn"/>
    <x v="0"/>
    <s v="Ara"/>
    <s v="M"/>
    <x v="2"/>
    <n v="25.874999999999996"/>
    <n v="51.749999999999993"/>
    <x v="2"/>
    <x v="0"/>
    <x v="0"/>
  </r>
  <r>
    <s v="UJQ-54441-340"/>
    <x v="268"/>
    <s v="26822-19510-SD"/>
    <s v="E-M-0.2"/>
    <n v="2"/>
    <x v="300"/>
    <s v="gtweed8v@yolasite.com"/>
    <x v="0"/>
    <s v="Exc"/>
    <s v="M"/>
    <x v="3"/>
    <n v="4.125"/>
    <n v="8.25"/>
    <x v="1"/>
    <x v="0"/>
    <x v="0"/>
  </r>
  <r>
    <s v="UJQ-54441-340"/>
    <x v="268"/>
    <s v="26822-19510-SD"/>
    <s v="A-L-0.2"/>
    <n v="5"/>
    <x v="300"/>
    <s v="gtweed8v@yolasite.com"/>
    <x v="0"/>
    <s v="Ara"/>
    <s v="L"/>
    <x v="3"/>
    <n v="3.8849999999999998"/>
    <n v="19.424999999999997"/>
    <x v="2"/>
    <x v="1"/>
    <x v="0"/>
  </r>
  <r>
    <s v="OWY-43108-475"/>
    <x v="269"/>
    <s v="06432-73165-ML"/>
    <s v="A-M-0.2"/>
    <n v="6"/>
    <x v="301"/>
    <s v="ggoggin8x@wix.com"/>
    <x v="1"/>
    <s v="Ara"/>
    <s v="M"/>
    <x v="3"/>
    <n v="3.375"/>
    <n v="20.25"/>
    <x v="2"/>
    <x v="0"/>
    <x v="0"/>
  </r>
  <r>
    <s v="GNO-91911-159"/>
    <x v="145"/>
    <s v="96503-31833-CW"/>
    <s v="L-D-0.5"/>
    <n v="3"/>
    <x v="302"/>
    <s v="sjeyness8y@biglobe.ne.jp"/>
    <x v="1"/>
    <s v="Lib"/>
    <s v="D"/>
    <x v="1"/>
    <n v="7.77"/>
    <n v="23.31"/>
    <x v="3"/>
    <x v="2"/>
    <x v="1"/>
  </r>
  <r>
    <s v="CNY-06284-066"/>
    <x v="270"/>
    <s v="63985-64148-MG"/>
    <s v="E-D-0.2"/>
    <n v="5"/>
    <x v="303"/>
    <s v="dbonhome8z@shinystat.com"/>
    <x v="0"/>
    <s v="Exc"/>
    <s v="D"/>
    <x v="3"/>
    <n v="3.645"/>
    <n v="18.225000000000001"/>
    <x v="1"/>
    <x v="2"/>
    <x v="0"/>
  </r>
  <r>
    <s v="OQS-46321-904"/>
    <x v="271"/>
    <s v="19597-91185-CM"/>
    <s v="E-M-1"/>
    <n v="1"/>
    <x v="304"/>
    <s v=""/>
    <x v="0"/>
    <s v="Exc"/>
    <s v="M"/>
    <x v="0"/>
    <n v="13.75"/>
    <n v="13.75"/>
    <x v="1"/>
    <x v="0"/>
    <x v="1"/>
  </r>
  <r>
    <s v="IBW-87442-480"/>
    <x v="272"/>
    <s v="79814-23626-JR"/>
    <s v="A-L-2.5"/>
    <n v="1"/>
    <x v="305"/>
    <s v="tle91@epa.gov"/>
    <x v="0"/>
    <s v="Ara"/>
    <s v="L"/>
    <x v="2"/>
    <n v="29.784999999999997"/>
    <n v="29.784999999999997"/>
    <x v="2"/>
    <x v="1"/>
    <x v="0"/>
  </r>
  <r>
    <s v="DGZ-82537-477"/>
    <x v="252"/>
    <s v="43439-94003-DW"/>
    <s v="R-D-1"/>
    <n v="5"/>
    <x v="306"/>
    <s v=""/>
    <x v="0"/>
    <s v="Rob"/>
    <s v="D"/>
    <x v="0"/>
    <n v="8.9499999999999993"/>
    <n v="44.75"/>
    <x v="0"/>
    <x v="2"/>
    <x v="1"/>
  </r>
  <r>
    <s v="LPS-39089-432"/>
    <x v="273"/>
    <s v="97655-45555-LI"/>
    <s v="R-D-1"/>
    <n v="5"/>
    <x v="307"/>
    <s v="balldridge93@yandex.ru"/>
    <x v="0"/>
    <s v="Rob"/>
    <s v="D"/>
    <x v="0"/>
    <n v="8.9499999999999993"/>
    <n v="44.75"/>
    <x v="0"/>
    <x v="2"/>
    <x v="0"/>
  </r>
  <r>
    <s v="MQU-86100-929"/>
    <x v="274"/>
    <s v="64418-01720-VW"/>
    <s v="L-L-0.5"/>
    <n v="4"/>
    <x v="308"/>
    <s v=""/>
    <x v="0"/>
    <s v="Lib"/>
    <s v="L"/>
    <x v="1"/>
    <n v="9.51"/>
    <n v="38.04"/>
    <x v="3"/>
    <x v="1"/>
    <x v="0"/>
  </r>
  <r>
    <s v="XUR-14132-391"/>
    <x v="275"/>
    <s v="96836-09258-RI"/>
    <s v="R-D-0.5"/>
    <n v="4"/>
    <x v="309"/>
    <s v="lgoodger95@guardian.co.uk"/>
    <x v="0"/>
    <s v="Rob"/>
    <s v="D"/>
    <x v="1"/>
    <n v="5.3699999999999992"/>
    <n v="21.479999999999997"/>
    <x v="0"/>
    <x v="2"/>
    <x v="0"/>
  </r>
  <r>
    <s v="OVI-27064-381"/>
    <x v="276"/>
    <s v="37274-08534-FM"/>
    <s v="R-D-0.5"/>
    <n v="3"/>
    <x v="298"/>
    <s v="smcmillian8t@csmonitor.com"/>
    <x v="0"/>
    <s v="Rob"/>
    <s v="D"/>
    <x v="1"/>
    <n v="5.3699999999999992"/>
    <n v="16.11"/>
    <x v="0"/>
    <x v="2"/>
    <x v="1"/>
  </r>
  <r>
    <s v="SHP-17012-870"/>
    <x v="277"/>
    <s v="69529-07533-CV"/>
    <s v="R-M-2.5"/>
    <n v="1"/>
    <x v="310"/>
    <s v="cdrewett97@wikipedia.org"/>
    <x v="0"/>
    <s v="Rob"/>
    <s v="M"/>
    <x v="2"/>
    <n v="22.884999999999998"/>
    <n v="22.884999999999998"/>
    <x v="0"/>
    <x v="0"/>
    <x v="0"/>
  </r>
  <r>
    <s v="FDY-03414-903"/>
    <x v="278"/>
    <s v="94840-49457-UD"/>
    <s v="A-D-0.5"/>
    <n v="3"/>
    <x v="311"/>
    <s v="qparsons98@blogtalkradio.com"/>
    <x v="0"/>
    <s v="Ara"/>
    <s v="D"/>
    <x v="1"/>
    <n v="5.97"/>
    <n v="17.91"/>
    <x v="2"/>
    <x v="2"/>
    <x v="0"/>
  </r>
  <r>
    <s v="WXT-85291-143"/>
    <x v="279"/>
    <s v="81414-81273-DK"/>
    <s v="R-M-0.5"/>
    <n v="4"/>
    <x v="312"/>
    <s v="vceely99@auda.org.au"/>
    <x v="0"/>
    <s v="Rob"/>
    <s v="M"/>
    <x v="1"/>
    <n v="5.97"/>
    <n v="23.88"/>
    <x v="0"/>
    <x v="0"/>
    <x v="0"/>
  </r>
  <r>
    <s v="QNP-18893-547"/>
    <x v="280"/>
    <s v="76930-61689-CH"/>
    <s v="R-L-1"/>
    <n v="5"/>
    <x v="313"/>
    <s v=""/>
    <x v="0"/>
    <s v="Rob"/>
    <s v="L"/>
    <x v="0"/>
    <n v="11.95"/>
    <n v="59.75"/>
    <x v="0"/>
    <x v="1"/>
    <x v="1"/>
  </r>
  <r>
    <s v="DOH-92927-530"/>
    <x v="281"/>
    <s v="12839-56537-TQ"/>
    <s v="L-L-0.2"/>
    <n v="6"/>
    <x v="314"/>
    <s v="cvasiliev9b@discuz.net"/>
    <x v="0"/>
    <s v="Lib"/>
    <s v="L"/>
    <x v="3"/>
    <n v="4.7549999999999999"/>
    <n v="28.53"/>
    <x v="3"/>
    <x v="1"/>
    <x v="0"/>
  </r>
  <r>
    <s v="HGJ-82768-173"/>
    <x v="282"/>
    <s v="62741-01322-HU"/>
    <s v="A-M-1"/>
    <n v="4"/>
    <x v="315"/>
    <s v="tomoylan9c@liveinternet.ru"/>
    <x v="2"/>
    <s v="Ara"/>
    <s v="M"/>
    <x v="0"/>
    <n v="11.25"/>
    <n v="45"/>
    <x v="2"/>
    <x v="0"/>
    <x v="1"/>
  </r>
  <r>
    <s v="YPT-95383-088"/>
    <x v="283"/>
    <s v="43439-94003-DW"/>
    <s v="E-D-2.5"/>
    <n v="2"/>
    <x v="306"/>
    <s v=""/>
    <x v="0"/>
    <s v="Exc"/>
    <s v="D"/>
    <x v="2"/>
    <n v="27.945"/>
    <n v="55.89"/>
    <x v="1"/>
    <x v="2"/>
    <x v="1"/>
  </r>
  <r>
    <s v="OYH-16533-767"/>
    <x v="284"/>
    <s v="44932-34838-RM"/>
    <s v="E-L-1"/>
    <n v="4"/>
    <x v="316"/>
    <s v="wfetherston9e@constantcontact.com"/>
    <x v="0"/>
    <s v="Exc"/>
    <s v="L"/>
    <x v="0"/>
    <n v="14.85"/>
    <n v="59.4"/>
    <x v="1"/>
    <x v="1"/>
    <x v="1"/>
  </r>
  <r>
    <s v="DWW-28642-549"/>
    <x v="285"/>
    <s v="91181-19412-RQ"/>
    <s v="E-D-0.2"/>
    <n v="2"/>
    <x v="317"/>
    <s v="erasmus9f@techcrunch.com"/>
    <x v="0"/>
    <s v="Exc"/>
    <s v="D"/>
    <x v="3"/>
    <n v="3.645"/>
    <n v="7.29"/>
    <x v="1"/>
    <x v="2"/>
    <x v="0"/>
  </r>
  <r>
    <s v="CGO-79583-871"/>
    <x v="286"/>
    <s v="37182-54930-XC"/>
    <s v="E-D-0.5"/>
    <n v="1"/>
    <x v="318"/>
    <s v="wgiorgioni9g@wikipedia.org"/>
    <x v="0"/>
    <s v="Exc"/>
    <s v="D"/>
    <x v="1"/>
    <n v="7.29"/>
    <n v="7.29"/>
    <x v="1"/>
    <x v="2"/>
    <x v="0"/>
  </r>
  <r>
    <s v="TFY-52090-386"/>
    <x v="287"/>
    <s v="08613-17327-XT"/>
    <s v="E-L-0.5"/>
    <n v="2"/>
    <x v="319"/>
    <s v="lscargle9h@myspace.com"/>
    <x v="0"/>
    <s v="Exc"/>
    <s v="L"/>
    <x v="1"/>
    <n v="8.91"/>
    <n v="17.82"/>
    <x v="1"/>
    <x v="1"/>
    <x v="1"/>
  </r>
  <r>
    <s v="TFY-52090-386"/>
    <x v="287"/>
    <s v="08613-17327-XT"/>
    <s v="L-D-0.5"/>
    <n v="5"/>
    <x v="319"/>
    <s v="lscargle9h@myspace.com"/>
    <x v="0"/>
    <s v="Lib"/>
    <s v="D"/>
    <x v="1"/>
    <n v="7.77"/>
    <n v="38.849999999999994"/>
    <x v="3"/>
    <x v="2"/>
    <x v="1"/>
  </r>
  <r>
    <s v="NYY-73968-094"/>
    <x v="288"/>
    <s v="70451-38048-AH"/>
    <s v="R-D-0.5"/>
    <n v="6"/>
    <x v="320"/>
    <s v="nclimance9j@europa.eu"/>
    <x v="0"/>
    <s v="Rob"/>
    <s v="D"/>
    <x v="1"/>
    <n v="5.3699999999999992"/>
    <n v="32.22"/>
    <x v="0"/>
    <x v="2"/>
    <x v="1"/>
  </r>
  <r>
    <s v="QEY-71761-460"/>
    <x v="250"/>
    <s v="35442-75769-PL"/>
    <s v="R-M-1"/>
    <n v="2"/>
    <x v="321"/>
    <s v=""/>
    <x v="1"/>
    <s v="Rob"/>
    <s v="M"/>
    <x v="0"/>
    <n v="9.9499999999999993"/>
    <n v="19.899999999999999"/>
    <x v="0"/>
    <x v="0"/>
    <x v="0"/>
  </r>
  <r>
    <s v="GKQ-82603-910"/>
    <x v="289"/>
    <s v="83737-56117-JE"/>
    <s v="R-L-1"/>
    <n v="5"/>
    <x v="322"/>
    <s v="asnazle9l@oracle.com"/>
    <x v="0"/>
    <s v="Rob"/>
    <s v="L"/>
    <x v="0"/>
    <n v="11.95"/>
    <n v="59.75"/>
    <x v="0"/>
    <x v="1"/>
    <x v="1"/>
  </r>
  <r>
    <s v="IOB-32673-745"/>
    <x v="290"/>
    <s v="07095-81281-NJ"/>
    <s v="A-L-0.5"/>
    <n v="3"/>
    <x v="323"/>
    <s v="rworg9m@arstechnica.com"/>
    <x v="0"/>
    <s v="Ara"/>
    <s v="L"/>
    <x v="1"/>
    <n v="7.77"/>
    <n v="23.31"/>
    <x v="2"/>
    <x v="1"/>
    <x v="0"/>
  </r>
  <r>
    <s v="YAU-98893-150"/>
    <x v="291"/>
    <s v="77043-48851-HG"/>
    <s v="L-M-1"/>
    <n v="3"/>
    <x v="324"/>
    <s v="ldanes9n@umn.edu"/>
    <x v="0"/>
    <s v="Lib"/>
    <s v="M"/>
    <x v="0"/>
    <n v="14.55"/>
    <n v="43.650000000000006"/>
    <x v="3"/>
    <x v="0"/>
    <x v="1"/>
  </r>
  <r>
    <s v="XNM-14163-951"/>
    <x v="292"/>
    <s v="78224-60622-KH"/>
    <s v="E-L-2.5"/>
    <n v="6"/>
    <x v="325"/>
    <s v="skeynd9o@narod.ru"/>
    <x v="0"/>
    <s v="Exc"/>
    <s v="L"/>
    <x v="2"/>
    <n v="34.154999999999994"/>
    <n v="204.92999999999995"/>
    <x v="1"/>
    <x v="1"/>
    <x v="1"/>
  </r>
  <r>
    <s v="JPB-45297-000"/>
    <x v="293"/>
    <s v="83105-86631-IU"/>
    <s v="R-L-0.2"/>
    <n v="4"/>
    <x v="326"/>
    <s v="ddaveridge9p@arstechnica.com"/>
    <x v="0"/>
    <s v="Rob"/>
    <s v="L"/>
    <x v="3"/>
    <n v="3.5849999999999995"/>
    <n v="14.339999999999998"/>
    <x v="0"/>
    <x v="1"/>
    <x v="1"/>
  </r>
  <r>
    <s v="MOU-74341-266"/>
    <x v="294"/>
    <s v="99358-65399-TC"/>
    <s v="A-D-0.5"/>
    <n v="4"/>
    <x v="327"/>
    <s v="jawdry9q@utexas.edu"/>
    <x v="0"/>
    <s v="Ara"/>
    <s v="D"/>
    <x v="1"/>
    <n v="5.97"/>
    <n v="23.88"/>
    <x v="2"/>
    <x v="2"/>
    <x v="1"/>
  </r>
  <r>
    <s v="DHJ-87461-571"/>
    <x v="295"/>
    <s v="94525-76037-JP"/>
    <s v="A-M-1"/>
    <n v="2"/>
    <x v="328"/>
    <s v="eryles9r@fastcompany.com"/>
    <x v="0"/>
    <s v="Ara"/>
    <s v="M"/>
    <x v="0"/>
    <n v="11.25"/>
    <n v="22.5"/>
    <x v="2"/>
    <x v="0"/>
    <x v="1"/>
  </r>
  <r>
    <s v="DKM-97676-850"/>
    <x v="296"/>
    <s v="43439-94003-DW"/>
    <s v="E-D-0.5"/>
    <n v="5"/>
    <x v="306"/>
    <s v=""/>
    <x v="0"/>
    <s v="Exc"/>
    <s v="D"/>
    <x v="1"/>
    <n v="7.29"/>
    <n v="36.450000000000003"/>
    <x v="1"/>
    <x v="2"/>
    <x v="1"/>
  </r>
  <r>
    <s v="UEB-09112-118"/>
    <x v="297"/>
    <s v="82718-93677-XO"/>
    <s v="A-M-0.5"/>
    <n v="4"/>
    <x v="329"/>
    <s v=""/>
    <x v="0"/>
    <s v="Ara"/>
    <s v="M"/>
    <x v="1"/>
    <n v="6.75"/>
    <n v="27"/>
    <x v="2"/>
    <x v="0"/>
    <x v="0"/>
  </r>
  <r>
    <s v="ORZ-67699-748"/>
    <x v="298"/>
    <s v="44708-78241-DF"/>
    <s v="A-M-2.5"/>
    <n v="6"/>
    <x v="330"/>
    <s v="jcaldicott9u@usda.gov"/>
    <x v="0"/>
    <s v="Ara"/>
    <s v="M"/>
    <x v="2"/>
    <n v="25.874999999999996"/>
    <n v="155.24999999999997"/>
    <x v="2"/>
    <x v="0"/>
    <x v="1"/>
  </r>
  <r>
    <s v="JXP-28398-485"/>
    <x v="299"/>
    <s v="23039-93032-FN"/>
    <s v="A-D-2.5"/>
    <n v="5"/>
    <x v="331"/>
    <s v="mvedmore9v@a8.net"/>
    <x v="0"/>
    <s v="Ara"/>
    <s v="D"/>
    <x v="2"/>
    <n v="22.884999999999998"/>
    <n v="114.42499999999998"/>
    <x v="2"/>
    <x v="2"/>
    <x v="0"/>
  </r>
  <r>
    <s v="WWH-92259-198"/>
    <x v="300"/>
    <s v="35256-12529-FT"/>
    <s v="L-D-1"/>
    <n v="4"/>
    <x v="332"/>
    <s v="wromao9w@chronoengine.com"/>
    <x v="0"/>
    <s v="Lib"/>
    <s v="D"/>
    <x v="0"/>
    <n v="12.95"/>
    <n v="51.8"/>
    <x v="3"/>
    <x v="2"/>
    <x v="0"/>
  </r>
  <r>
    <s v="FLR-82914-153"/>
    <x v="301"/>
    <s v="86100-33488-WP"/>
    <s v="A-M-2.5"/>
    <n v="6"/>
    <x v="333"/>
    <s v=""/>
    <x v="0"/>
    <s v="Ara"/>
    <s v="M"/>
    <x v="2"/>
    <n v="25.874999999999996"/>
    <n v="155.24999999999997"/>
    <x v="2"/>
    <x v="0"/>
    <x v="1"/>
  </r>
  <r>
    <s v="AMB-93600-000"/>
    <x v="302"/>
    <s v="64435-53100-WM"/>
    <s v="A-L-2.5"/>
    <n v="1"/>
    <x v="334"/>
    <s v="tcotmore9y@amazonaws.com"/>
    <x v="0"/>
    <s v="Ara"/>
    <s v="L"/>
    <x v="2"/>
    <n v="29.784999999999997"/>
    <n v="29.784999999999997"/>
    <x v="2"/>
    <x v="1"/>
    <x v="1"/>
  </r>
  <r>
    <s v="FEP-36895-658"/>
    <x v="303"/>
    <s v="44699-43836-UH"/>
    <s v="R-L-0.2"/>
    <n v="6"/>
    <x v="335"/>
    <s v="yskipsey9z@spotify.com"/>
    <x v="2"/>
    <s v="Rob"/>
    <s v="L"/>
    <x v="3"/>
    <n v="3.5849999999999995"/>
    <n v="21.509999999999998"/>
    <x v="0"/>
    <x v="1"/>
    <x v="1"/>
  </r>
  <r>
    <s v="RXW-91413-276"/>
    <x v="304"/>
    <s v="29588-35679-RG"/>
    <s v="R-D-2.5"/>
    <n v="2"/>
    <x v="336"/>
    <s v="ncorpsa0@gmpg.org"/>
    <x v="0"/>
    <s v="Rob"/>
    <s v="D"/>
    <x v="2"/>
    <n v="20.584999999999997"/>
    <n v="41.169999999999995"/>
    <x v="0"/>
    <x v="2"/>
    <x v="1"/>
  </r>
  <r>
    <s v="RXW-91413-276"/>
    <x v="304"/>
    <s v="29588-35679-RG"/>
    <s v="R-M-0.5"/>
    <n v="1"/>
    <x v="336"/>
    <s v="ncorpsa0@gmpg.org"/>
    <x v="0"/>
    <s v="Rob"/>
    <s v="M"/>
    <x v="1"/>
    <n v="5.97"/>
    <n v="5.97"/>
    <x v="0"/>
    <x v="0"/>
    <x v="1"/>
  </r>
  <r>
    <s v="SDB-77492-188"/>
    <x v="305"/>
    <s v="64815-54078-HH"/>
    <s v="E-L-1"/>
    <n v="5"/>
    <x v="337"/>
    <s v="fbabbera2@stanford.edu"/>
    <x v="0"/>
    <s v="Exc"/>
    <s v="L"/>
    <x v="0"/>
    <n v="14.85"/>
    <n v="74.25"/>
    <x v="1"/>
    <x v="1"/>
    <x v="0"/>
  </r>
  <r>
    <s v="RZN-65182-395"/>
    <x v="196"/>
    <s v="59572-41990-XY"/>
    <s v="L-M-1"/>
    <n v="6"/>
    <x v="338"/>
    <s v="kloxtona3@opensource.org"/>
    <x v="0"/>
    <s v="Lib"/>
    <s v="M"/>
    <x v="0"/>
    <n v="14.55"/>
    <n v="87.300000000000011"/>
    <x v="3"/>
    <x v="0"/>
    <x v="1"/>
  </r>
  <r>
    <s v="HDQ-86094-507"/>
    <x v="110"/>
    <s v="32481-61533-ZJ"/>
    <s v="E-D-1"/>
    <n v="6"/>
    <x v="339"/>
    <s v="ptoffula4@posterous.com"/>
    <x v="0"/>
    <s v="Exc"/>
    <s v="D"/>
    <x v="0"/>
    <n v="12.15"/>
    <n v="72.900000000000006"/>
    <x v="1"/>
    <x v="2"/>
    <x v="0"/>
  </r>
  <r>
    <s v="YXO-79631-417"/>
    <x v="24"/>
    <s v="31587-92570-HL"/>
    <s v="L-D-0.5"/>
    <n v="1"/>
    <x v="340"/>
    <s v="cgwinnetta5@behance.net"/>
    <x v="0"/>
    <s v="Lib"/>
    <s v="D"/>
    <x v="1"/>
    <n v="7.77"/>
    <n v="7.77"/>
    <x v="3"/>
    <x v="2"/>
    <x v="1"/>
  </r>
  <r>
    <s v="SNF-57032-096"/>
    <x v="306"/>
    <s v="93832-04799-ID"/>
    <s v="E-D-0.5"/>
    <n v="6"/>
    <x v="341"/>
    <s v=""/>
    <x v="0"/>
    <s v="Exc"/>
    <s v="D"/>
    <x v="1"/>
    <n v="7.29"/>
    <n v="43.74"/>
    <x v="1"/>
    <x v="2"/>
    <x v="1"/>
  </r>
  <r>
    <s v="DGL-29648-995"/>
    <x v="307"/>
    <s v="59367-30821-ZQ"/>
    <s v="L-M-0.2"/>
    <n v="2"/>
    <x v="342"/>
    <s v=""/>
    <x v="0"/>
    <s v="Lib"/>
    <s v="M"/>
    <x v="3"/>
    <n v="4.3650000000000002"/>
    <n v="8.73"/>
    <x v="3"/>
    <x v="0"/>
    <x v="0"/>
  </r>
  <r>
    <s v="GPU-65651-504"/>
    <x v="308"/>
    <s v="83947-45528-ET"/>
    <s v="E-M-2.5"/>
    <n v="2"/>
    <x v="343"/>
    <s v="lflaoniera8@wordpress.org"/>
    <x v="0"/>
    <s v="Exc"/>
    <s v="M"/>
    <x v="2"/>
    <n v="31.624999999999996"/>
    <n v="63.249999999999993"/>
    <x v="1"/>
    <x v="0"/>
    <x v="1"/>
  </r>
  <r>
    <s v="OJU-34452-896"/>
    <x v="309"/>
    <s v="60799-92593-CX"/>
    <s v="E-L-0.5"/>
    <n v="1"/>
    <x v="344"/>
    <s v=""/>
    <x v="0"/>
    <s v="Exc"/>
    <s v="L"/>
    <x v="1"/>
    <n v="8.91"/>
    <n v="8.91"/>
    <x v="1"/>
    <x v="1"/>
    <x v="0"/>
  </r>
  <r>
    <s v="GZS-50547-887"/>
    <x v="310"/>
    <s v="61600-55136-UM"/>
    <s v="E-D-1"/>
    <n v="2"/>
    <x v="345"/>
    <s v="ccatchesideaa@macromedia.com"/>
    <x v="0"/>
    <s v="Exc"/>
    <s v="D"/>
    <x v="0"/>
    <n v="12.15"/>
    <n v="24.3"/>
    <x v="1"/>
    <x v="2"/>
    <x v="0"/>
  </r>
  <r>
    <s v="ESR-54041-053"/>
    <x v="311"/>
    <s v="59771-90302-OF"/>
    <s v="A-L-0.5"/>
    <n v="6"/>
    <x v="346"/>
    <s v="cgibbonsonab@accuweather.com"/>
    <x v="0"/>
    <s v="Ara"/>
    <s v="L"/>
    <x v="1"/>
    <n v="7.77"/>
    <n v="46.62"/>
    <x v="2"/>
    <x v="1"/>
    <x v="0"/>
  </r>
  <r>
    <s v="OGD-10781-526"/>
    <x v="132"/>
    <s v="16880-78077-FB"/>
    <s v="R-L-0.5"/>
    <n v="6"/>
    <x v="347"/>
    <s v="tfarraac@behance.net"/>
    <x v="0"/>
    <s v="Rob"/>
    <s v="L"/>
    <x v="1"/>
    <n v="7.169999999999999"/>
    <n v="43.019999999999996"/>
    <x v="0"/>
    <x v="1"/>
    <x v="1"/>
  </r>
  <r>
    <s v="FVH-29271-315"/>
    <x v="312"/>
    <s v="74415-50873-FC"/>
    <s v="A-D-0.5"/>
    <n v="3"/>
    <x v="348"/>
    <s v=""/>
    <x v="1"/>
    <s v="Ara"/>
    <s v="D"/>
    <x v="1"/>
    <n v="5.97"/>
    <n v="17.91"/>
    <x v="2"/>
    <x v="2"/>
    <x v="0"/>
  </r>
  <r>
    <s v="BNZ-20544-633"/>
    <x v="313"/>
    <s v="31798-95707-NR"/>
    <s v="L-L-0.5"/>
    <n v="4"/>
    <x v="349"/>
    <s v="gbamfieldae@yellowpages.com"/>
    <x v="0"/>
    <s v="Lib"/>
    <s v="L"/>
    <x v="1"/>
    <n v="9.51"/>
    <n v="38.04"/>
    <x v="3"/>
    <x v="1"/>
    <x v="0"/>
  </r>
  <r>
    <s v="FUX-85791-078"/>
    <x v="156"/>
    <s v="59122-08794-WT"/>
    <s v="A-M-0.2"/>
    <n v="2"/>
    <x v="350"/>
    <s v="whollingdaleaf@about.me"/>
    <x v="0"/>
    <s v="Ara"/>
    <s v="M"/>
    <x v="3"/>
    <n v="3.375"/>
    <n v="6.75"/>
    <x v="2"/>
    <x v="0"/>
    <x v="0"/>
  </r>
  <r>
    <s v="YXP-20078-116"/>
    <x v="314"/>
    <s v="37238-52421-JJ"/>
    <s v="R-M-0.5"/>
    <n v="1"/>
    <x v="351"/>
    <s v="jdeag@xrea.com"/>
    <x v="0"/>
    <s v="Rob"/>
    <s v="M"/>
    <x v="1"/>
    <n v="5.97"/>
    <n v="5.97"/>
    <x v="0"/>
    <x v="0"/>
    <x v="0"/>
  </r>
  <r>
    <s v="VQV-59984-866"/>
    <x v="315"/>
    <s v="48854-01899-FN"/>
    <s v="R-D-0.2"/>
    <n v="3"/>
    <x v="352"/>
    <s v="vskulletah@tinyurl.com"/>
    <x v="1"/>
    <s v="Rob"/>
    <s v="D"/>
    <x v="3"/>
    <n v="2.6849999999999996"/>
    <n v="8.0549999999999997"/>
    <x v="0"/>
    <x v="2"/>
    <x v="1"/>
  </r>
  <r>
    <s v="JEH-37276-048"/>
    <x v="316"/>
    <s v="80896-38819-DW"/>
    <s v="A-L-0.5"/>
    <n v="3"/>
    <x v="353"/>
    <s v="jrudeforthai@wunderground.com"/>
    <x v="1"/>
    <s v="Ara"/>
    <s v="L"/>
    <x v="1"/>
    <n v="7.77"/>
    <n v="23.31"/>
    <x v="2"/>
    <x v="1"/>
    <x v="0"/>
  </r>
  <r>
    <s v="VYD-28555-589"/>
    <x v="317"/>
    <s v="29814-01459-RC"/>
    <s v="R-L-0.5"/>
    <n v="6"/>
    <x v="354"/>
    <s v="atomaszewskiaj@answers.com"/>
    <x v="2"/>
    <s v="Rob"/>
    <s v="L"/>
    <x v="1"/>
    <n v="7.169999999999999"/>
    <n v="43.019999999999996"/>
    <x v="0"/>
    <x v="1"/>
    <x v="0"/>
  </r>
  <r>
    <s v="WUG-76466-650"/>
    <x v="318"/>
    <s v="43439-94003-DW"/>
    <s v="L-D-0.5"/>
    <n v="3"/>
    <x v="306"/>
    <s v=""/>
    <x v="0"/>
    <s v="Lib"/>
    <s v="D"/>
    <x v="1"/>
    <n v="7.77"/>
    <n v="23.31"/>
    <x v="3"/>
    <x v="2"/>
    <x v="1"/>
  </r>
  <r>
    <s v="RJV-08261-583"/>
    <x v="182"/>
    <s v="48497-29281-FE"/>
    <s v="A-D-0.2"/>
    <n v="5"/>
    <x v="355"/>
    <s v="pbessal@qq.com"/>
    <x v="0"/>
    <s v="Ara"/>
    <s v="D"/>
    <x v="3"/>
    <n v="2.9849999999999999"/>
    <n v="14.924999999999999"/>
    <x v="2"/>
    <x v="2"/>
    <x v="0"/>
  </r>
  <r>
    <s v="PMR-56062-609"/>
    <x v="319"/>
    <s v="43605-12616-YH"/>
    <s v="E-D-0.5"/>
    <n v="3"/>
    <x v="356"/>
    <s v="ewindressam@marketwatch.com"/>
    <x v="0"/>
    <s v="Exc"/>
    <s v="D"/>
    <x v="1"/>
    <n v="7.29"/>
    <n v="21.87"/>
    <x v="1"/>
    <x v="2"/>
    <x v="1"/>
  </r>
  <r>
    <s v="XLD-12920-505"/>
    <x v="320"/>
    <s v="21907-75962-VB"/>
    <s v="E-L-0.5"/>
    <n v="6"/>
    <x v="357"/>
    <s v=""/>
    <x v="0"/>
    <s v="Exc"/>
    <s v="L"/>
    <x v="1"/>
    <n v="8.91"/>
    <n v="53.46"/>
    <x v="1"/>
    <x v="1"/>
    <x v="0"/>
  </r>
  <r>
    <s v="UBW-50312-037"/>
    <x v="321"/>
    <s v="69503-12127-YD"/>
    <s v="A-L-2.5"/>
    <n v="4"/>
    <x v="358"/>
    <s v=""/>
    <x v="0"/>
    <s v="Ara"/>
    <s v="L"/>
    <x v="2"/>
    <n v="29.784999999999997"/>
    <n v="119.13999999999999"/>
    <x v="2"/>
    <x v="1"/>
    <x v="1"/>
  </r>
  <r>
    <s v="QAW-05889-019"/>
    <x v="322"/>
    <s v="68810-07329-EU"/>
    <s v="L-M-0.5"/>
    <n v="5"/>
    <x v="359"/>
    <s v="vbaumadierap@google.cn"/>
    <x v="0"/>
    <s v="Lib"/>
    <s v="M"/>
    <x v="1"/>
    <n v="8.73"/>
    <n v="43.650000000000006"/>
    <x v="3"/>
    <x v="0"/>
    <x v="0"/>
  </r>
  <r>
    <s v="EPT-12715-397"/>
    <x v="128"/>
    <s v="08478-75251-OG"/>
    <s v="A-D-0.2"/>
    <n v="6"/>
    <x v="360"/>
    <s v=""/>
    <x v="0"/>
    <s v="Ara"/>
    <s v="D"/>
    <x v="3"/>
    <n v="2.9849999999999999"/>
    <n v="17.91"/>
    <x v="2"/>
    <x v="2"/>
    <x v="0"/>
  </r>
  <r>
    <s v="DHT-93810-053"/>
    <x v="323"/>
    <s v="17005-82030-EA"/>
    <s v="E-L-1"/>
    <n v="5"/>
    <x v="361"/>
    <s v="sweldsar@wired.com"/>
    <x v="0"/>
    <s v="Exc"/>
    <s v="L"/>
    <x v="0"/>
    <n v="14.85"/>
    <n v="74.25"/>
    <x v="1"/>
    <x v="1"/>
    <x v="0"/>
  </r>
  <r>
    <s v="DMY-96037-963"/>
    <x v="324"/>
    <s v="42179-95059-DO"/>
    <s v="L-D-0.2"/>
    <n v="3"/>
    <x v="362"/>
    <s v="msarvaras@artisteer.com"/>
    <x v="0"/>
    <s v="Lib"/>
    <s v="D"/>
    <x v="3"/>
    <n v="3.8849999999999998"/>
    <n v="11.654999999999999"/>
    <x v="3"/>
    <x v="2"/>
    <x v="0"/>
  </r>
  <r>
    <s v="MBM-55936-917"/>
    <x v="325"/>
    <s v="55989-39849-WO"/>
    <s v="L-D-0.5"/>
    <n v="3"/>
    <x v="363"/>
    <s v="ahavickat@nsw.gov.au"/>
    <x v="0"/>
    <s v="Lib"/>
    <s v="D"/>
    <x v="1"/>
    <n v="7.77"/>
    <n v="23.31"/>
    <x v="3"/>
    <x v="2"/>
    <x v="0"/>
  </r>
  <r>
    <s v="TPA-93614-840"/>
    <x v="326"/>
    <s v="28932-49296-TM"/>
    <s v="E-D-0.5"/>
    <n v="2"/>
    <x v="364"/>
    <s v="sdivinyau@ask.com"/>
    <x v="0"/>
    <s v="Exc"/>
    <s v="D"/>
    <x v="1"/>
    <n v="7.29"/>
    <n v="14.58"/>
    <x v="1"/>
    <x v="2"/>
    <x v="0"/>
  </r>
  <r>
    <s v="WDM-77521-710"/>
    <x v="327"/>
    <s v="86144-10144-CB"/>
    <s v="A-M-0.5"/>
    <n v="2"/>
    <x v="365"/>
    <s v="inorquoyav@businessweek.com"/>
    <x v="0"/>
    <s v="Ara"/>
    <s v="M"/>
    <x v="1"/>
    <n v="6.75"/>
    <n v="13.5"/>
    <x v="2"/>
    <x v="0"/>
    <x v="1"/>
  </r>
  <r>
    <s v="EIP-19142-462"/>
    <x v="328"/>
    <s v="60973-72562-DQ"/>
    <s v="E-L-1"/>
    <n v="6"/>
    <x v="366"/>
    <s v="aiddisonaw@usa.gov"/>
    <x v="0"/>
    <s v="Exc"/>
    <s v="L"/>
    <x v="0"/>
    <n v="14.85"/>
    <n v="89.1"/>
    <x v="1"/>
    <x v="1"/>
    <x v="1"/>
  </r>
  <r>
    <s v="EIP-19142-462"/>
    <x v="328"/>
    <s v="60973-72562-DQ"/>
    <s v="A-L-0.2"/>
    <n v="1"/>
    <x v="366"/>
    <s v="aiddisonaw@usa.gov"/>
    <x v="0"/>
    <s v="Ara"/>
    <s v="L"/>
    <x v="3"/>
    <n v="3.8849999999999998"/>
    <n v="3.8849999999999998"/>
    <x v="2"/>
    <x v="1"/>
    <x v="1"/>
  </r>
  <r>
    <s v="ZZL-76364-387"/>
    <x v="128"/>
    <s v="11263-86515-VU"/>
    <s v="R-L-2.5"/>
    <n v="4"/>
    <x v="367"/>
    <s v="rlongfielday@bluehost.com"/>
    <x v="0"/>
    <s v="Rob"/>
    <s v="L"/>
    <x v="2"/>
    <n v="27.484999999999996"/>
    <n v="109.93999999999998"/>
    <x v="0"/>
    <x v="1"/>
    <x v="1"/>
  </r>
  <r>
    <s v="GMF-18638-786"/>
    <x v="329"/>
    <s v="60004-62976-NI"/>
    <s v="L-D-0.5"/>
    <n v="6"/>
    <x v="368"/>
    <s v="gkislingburyaz@samsung.com"/>
    <x v="0"/>
    <s v="Lib"/>
    <s v="D"/>
    <x v="1"/>
    <n v="7.77"/>
    <n v="46.62"/>
    <x v="3"/>
    <x v="2"/>
    <x v="0"/>
  </r>
  <r>
    <s v="TDJ-20844-787"/>
    <x v="330"/>
    <s v="77876-28498-HI"/>
    <s v="A-L-0.5"/>
    <n v="5"/>
    <x v="369"/>
    <s v="xgibbonsb0@artisteer.com"/>
    <x v="0"/>
    <s v="Ara"/>
    <s v="L"/>
    <x v="1"/>
    <n v="7.77"/>
    <n v="38.849999999999994"/>
    <x v="2"/>
    <x v="1"/>
    <x v="1"/>
  </r>
  <r>
    <s v="BWK-39400-446"/>
    <x v="331"/>
    <s v="61302-06948-EH"/>
    <s v="L-D-0.5"/>
    <n v="4"/>
    <x v="370"/>
    <s v="fparresb1@imageshack.us"/>
    <x v="0"/>
    <s v="Lib"/>
    <s v="D"/>
    <x v="1"/>
    <n v="7.77"/>
    <n v="31.08"/>
    <x v="3"/>
    <x v="2"/>
    <x v="0"/>
  </r>
  <r>
    <s v="LCB-02099-995"/>
    <x v="332"/>
    <s v="06757-96251-UH"/>
    <s v="A-D-0.2"/>
    <n v="6"/>
    <x v="371"/>
    <s v="gsibrayb2@wsj.com"/>
    <x v="0"/>
    <s v="Ara"/>
    <s v="D"/>
    <x v="3"/>
    <n v="2.9849999999999999"/>
    <n v="17.91"/>
    <x v="2"/>
    <x v="2"/>
    <x v="0"/>
  </r>
  <r>
    <s v="UBA-43678-174"/>
    <x v="333"/>
    <s v="44530-75983-OD"/>
    <s v="E-D-2.5"/>
    <n v="6"/>
    <x v="372"/>
    <s v="ihotchkinb3@mit.edu"/>
    <x v="2"/>
    <s v="Exc"/>
    <s v="D"/>
    <x v="2"/>
    <n v="27.945"/>
    <n v="167.67000000000002"/>
    <x v="1"/>
    <x v="2"/>
    <x v="1"/>
  </r>
  <r>
    <s v="UDH-24280-432"/>
    <x v="334"/>
    <s v="44865-58249-RY"/>
    <s v="L-L-1"/>
    <n v="4"/>
    <x v="373"/>
    <s v="nbroadberrieb4@gnu.org"/>
    <x v="0"/>
    <s v="Lib"/>
    <s v="L"/>
    <x v="0"/>
    <n v="15.85"/>
    <n v="63.4"/>
    <x v="3"/>
    <x v="1"/>
    <x v="1"/>
  </r>
  <r>
    <s v="IDQ-20193-502"/>
    <x v="335"/>
    <s v="36021-61205-DF"/>
    <s v="L-M-0.2"/>
    <n v="2"/>
    <x v="374"/>
    <s v="rpithcockb5@yellowbook.com"/>
    <x v="0"/>
    <s v="Lib"/>
    <s v="M"/>
    <x v="3"/>
    <n v="4.3650000000000002"/>
    <n v="8.73"/>
    <x v="3"/>
    <x v="0"/>
    <x v="0"/>
  </r>
  <r>
    <s v="DJG-14442-608"/>
    <x v="336"/>
    <s v="75716-12782-SS"/>
    <s v="R-D-1"/>
    <n v="3"/>
    <x v="375"/>
    <s v="gcroysdaleb6@nih.gov"/>
    <x v="0"/>
    <s v="Rob"/>
    <s v="D"/>
    <x v="0"/>
    <n v="8.9499999999999993"/>
    <n v="26.849999999999998"/>
    <x v="0"/>
    <x v="2"/>
    <x v="0"/>
  </r>
  <r>
    <s v="DWB-61381-370"/>
    <x v="337"/>
    <s v="11812-00461-KH"/>
    <s v="L-L-0.2"/>
    <n v="2"/>
    <x v="376"/>
    <s v="bgozzettb7@github.com"/>
    <x v="0"/>
    <s v="Lib"/>
    <s v="L"/>
    <x v="3"/>
    <n v="4.7549999999999999"/>
    <n v="9.51"/>
    <x v="3"/>
    <x v="1"/>
    <x v="1"/>
  </r>
  <r>
    <s v="FRD-17347-990"/>
    <x v="80"/>
    <s v="46681-78850-ZW"/>
    <s v="A-D-1"/>
    <n v="4"/>
    <x v="377"/>
    <s v="tcraggsb8@house.gov"/>
    <x v="1"/>
    <s v="Ara"/>
    <s v="D"/>
    <x v="0"/>
    <n v="9.9499999999999993"/>
    <n v="39.799999999999997"/>
    <x v="2"/>
    <x v="2"/>
    <x v="1"/>
  </r>
  <r>
    <s v="YPP-27450-525"/>
    <x v="338"/>
    <s v="01932-87052-KO"/>
    <s v="E-M-0.5"/>
    <n v="3"/>
    <x v="378"/>
    <s v="lcullrfordb9@xing.com"/>
    <x v="0"/>
    <s v="Exc"/>
    <s v="M"/>
    <x v="1"/>
    <n v="8.25"/>
    <n v="24.75"/>
    <x v="1"/>
    <x v="0"/>
    <x v="0"/>
  </r>
  <r>
    <s v="EFC-39577-424"/>
    <x v="339"/>
    <s v="16046-34805-ZF"/>
    <s v="E-M-1"/>
    <n v="5"/>
    <x v="379"/>
    <s v="arizonba@xing.com"/>
    <x v="0"/>
    <s v="Exc"/>
    <s v="M"/>
    <x v="0"/>
    <n v="13.75"/>
    <n v="68.75"/>
    <x v="1"/>
    <x v="0"/>
    <x v="0"/>
  </r>
  <r>
    <s v="LAW-80062-016"/>
    <x v="340"/>
    <s v="34546-70516-LR"/>
    <s v="E-M-0.5"/>
    <n v="6"/>
    <x v="380"/>
    <s v=""/>
    <x v="1"/>
    <s v="Exc"/>
    <s v="M"/>
    <x v="1"/>
    <n v="8.25"/>
    <n v="49.5"/>
    <x v="1"/>
    <x v="0"/>
    <x v="1"/>
  </r>
  <r>
    <s v="WKL-27981-758"/>
    <x v="177"/>
    <s v="73699-93557-FZ"/>
    <s v="A-M-2.5"/>
    <n v="2"/>
    <x v="381"/>
    <s v="fmiellbc@spiegel.de"/>
    <x v="0"/>
    <s v="Ara"/>
    <s v="M"/>
    <x v="2"/>
    <n v="25.874999999999996"/>
    <n v="51.749999999999993"/>
    <x v="2"/>
    <x v="0"/>
    <x v="0"/>
  </r>
  <r>
    <s v="VRT-39834-265"/>
    <x v="341"/>
    <s v="86686-37462-CK"/>
    <s v="L-L-1"/>
    <n v="3"/>
    <x v="382"/>
    <s v=""/>
    <x v="1"/>
    <s v="Lib"/>
    <s v="L"/>
    <x v="0"/>
    <n v="15.85"/>
    <n v="47.55"/>
    <x v="3"/>
    <x v="1"/>
    <x v="0"/>
  </r>
  <r>
    <s v="QTC-71005-730"/>
    <x v="342"/>
    <s v="14298-02150-KH"/>
    <s v="A-L-0.2"/>
    <n v="4"/>
    <x v="383"/>
    <s v=""/>
    <x v="0"/>
    <s v="Ara"/>
    <s v="L"/>
    <x v="3"/>
    <n v="3.8849999999999998"/>
    <n v="15.54"/>
    <x v="2"/>
    <x v="1"/>
    <x v="1"/>
  </r>
  <r>
    <s v="TNX-09857-717"/>
    <x v="343"/>
    <s v="48675-07824-HJ"/>
    <s v="L-M-1"/>
    <n v="6"/>
    <x v="384"/>
    <s v=""/>
    <x v="0"/>
    <s v="Lib"/>
    <s v="M"/>
    <x v="0"/>
    <n v="14.55"/>
    <n v="87.300000000000011"/>
    <x v="3"/>
    <x v="0"/>
    <x v="0"/>
  </r>
  <r>
    <s v="JZV-43874-185"/>
    <x v="344"/>
    <s v="18551-80943-YQ"/>
    <s v="A-M-1"/>
    <n v="5"/>
    <x v="385"/>
    <s v=""/>
    <x v="0"/>
    <s v="Ara"/>
    <s v="M"/>
    <x v="0"/>
    <n v="11.25"/>
    <n v="56.25"/>
    <x v="2"/>
    <x v="0"/>
    <x v="0"/>
  </r>
  <r>
    <s v="ICF-17486-106"/>
    <x v="47"/>
    <s v="19196-09748-DB"/>
    <s v="L-L-2.5"/>
    <n v="1"/>
    <x v="386"/>
    <s v="wspringallbh@jugem.jp"/>
    <x v="0"/>
    <s v="Lib"/>
    <s v="L"/>
    <x v="2"/>
    <n v="36.454999999999998"/>
    <n v="36.454999999999998"/>
    <x v="3"/>
    <x v="1"/>
    <x v="0"/>
  </r>
  <r>
    <s v="BMK-49520-383"/>
    <x v="345"/>
    <s v="72233-08665-IP"/>
    <s v="R-L-0.2"/>
    <n v="3"/>
    <x v="387"/>
    <s v=""/>
    <x v="0"/>
    <s v="Rob"/>
    <s v="L"/>
    <x v="3"/>
    <n v="3.5849999999999995"/>
    <n v="10.754999999999999"/>
    <x v="0"/>
    <x v="1"/>
    <x v="0"/>
  </r>
  <r>
    <s v="HTS-15020-632"/>
    <x v="169"/>
    <s v="53817-13148-RK"/>
    <s v="R-M-0.2"/>
    <n v="3"/>
    <x v="388"/>
    <s v="ghawkyensbj@census.gov"/>
    <x v="0"/>
    <s v="Rob"/>
    <s v="M"/>
    <x v="3"/>
    <n v="2.9849999999999999"/>
    <n v="8.9550000000000001"/>
    <x v="0"/>
    <x v="0"/>
    <x v="1"/>
  </r>
  <r>
    <s v="YLE-18247-749"/>
    <x v="346"/>
    <s v="92227-49331-QR"/>
    <s v="A-L-0.5"/>
    <n v="3"/>
    <x v="389"/>
    <s v=""/>
    <x v="0"/>
    <s v="Ara"/>
    <s v="L"/>
    <x v="1"/>
    <n v="7.77"/>
    <n v="23.31"/>
    <x v="2"/>
    <x v="1"/>
    <x v="0"/>
  </r>
  <r>
    <s v="KJJ-12573-591"/>
    <x v="347"/>
    <s v="12997-41076-FQ"/>
    <s v="A-L-2.5"/>
    <n v="1"/>
    <x v="390"/>
    <s v=""/>
    <x v="0"/>
    <s v="Ara"/>
    <s v="L"/>
    <x v="2"/>
    <n v="29.784999999999997"/>
    <n v="29.784999999999997"/>
    <x v="2"/>
    <x v="1"/>
    <x v="0"/>
  </r>
  <r>
    <s v="RGU-43561-950"/>
    <x v="348"/>
    <s v="44220-00348-MB"/>
    <s v="A-L-2.5"/>
    <n v="5"/>
    <x v="391"/>
    <s v="bmcgilvrabm@so-net.ne.jp"/>
    <x v="0"/>
    <s v="Ara"/>
    <s v="L"/>
    <x v="2"/>
    <n v="29.784999999999997"/>
    <n v="148.92499999999998"/>
    <x v="2"/>
    <x v="1"/>
    <x v="0"/>
  </r>
  <r>
    <s v="JSN-73975-443"/>
    <x v="349"/>
    <s v="93047-98331-DD"/>
    <s v="L-M-0.5"/>
    <n v="1"/>
    <x v="392"/>
    <s v="adanzeybn@github.com"/>
    <x v="0"/>
    <s v="Lib"/>
    <s v="M"/>
    <x v="1"/>
    <n v="8.73"/>
    <n v="8.73"/>
    <x v="3"/>
    <x v="0"/>
    <x v="0"/>
  </r>
  <r>
    <s v="WNR-71736-993"/>
    <x v="350"/>
    <s v="16880-78077-FB"/>
    <s v="L-D-0.5"/>
    <n v="4"/>
    <x v="347"/>
    <s v="tfarraac@behance.net"/>
    <x v="0"/>
    <s v="Lib"/>
    <s v="D"/>
    <x v="1"/>
    <n v="7.77"/>
    <n v="31.08"/>
    <x v="3"/>
    <x v="2"/>
    <x v="1"/>
  </r>
  <r>
    <s v="WNR-71736-993"/>
    <x v="350"/>
    <s v="16880-78077-FB"/>
    <s v="A-D-2.5"/>
    <n v="6"/>
    <x v="347"/>
    <s v="tfarraac@behance.net"/>
    <x v="0"/>
    <s v="Ara"/>
    <s v="D"/>
    <x v="2"/>
    <n v="22.884999999999998"/>
    <n v="137.31"/>
    <x v="2"/>
    <x v="2"/>
    <x v="1"/>
  </r>
  <r>
    <s v="HNI-91338-546"/>
    <x v="54"/>
    <s v="67285-75317-XI"/>
    <s v="A-D-0.5"/>
    <n v="5"/>
    <x v="393"/>
    <s v=""/>
    <x v="0"/>
    <s v="Ara"/>
    <s v="D"/>
    <x v="1"/>
    <n v="5.97"/>
    <n v="29.849999999999998"/>
    <x v="2"/>
    <x v="2"/>
    <x v="1"/>
  </r>
  <r>
    <s v="CYH-53243-218"/>
    <x v="237"/>
    <s v="88167-57964-PH"/>
    <s v="R-M-0.5"/>
    <n v="3"/>
    <x v="394"/>
    <s v=""/>
    <x v="0"/>
    <s v="Rob"/>
    <s v="M"/>
    <x v="1"/>
    <n v="5.97"/>
    <n v="17.91"/>
    <x v="0"/>
    <x v="0"/>
    <x v="1"/>
  </r>
  <r>
    <s v="SVD-75407-177"/>
    <x v="351"/>
    <s v="16106-36039-QS"/>
    <s v="E-L-0.5"/>
    <n v="3"/>
    <x v="395"/>
    <s v="ydombrellbs@dedecms.com"/>
    <x v="0"/>
    <s v="Exc"/>
    <s v="L"/>
    <x v="1"/>
    <n v="8.91"/>
    <n v="26.73"/>
    <x v="1"/>
    <x v="1"/>
    <x v="0"/>
  </r>
  <r>
    <s v="NVN-66443-451"/>
    <x v="352"/>
    <s v="98921-82417-GN"/>
    <s v="R-D-1"/>
    <n v="2"/>
    <x v="396"/>
    <s v="adarthbt@t.co"/>
    <x v="0"/>
    <s v="Rob"/>
    <s v="D"/>
    <x v="0"/>
    <n v="8.9499999999999993"/>
    <n v="17.899999999999999"/>
    <x v="0"/>
    <x v="2"/>
    <x v="1"/>
  </r>
  <r>
    <s v="JUA-13580-095"/>
    <x v="102"/>
    <s v="55265-75151-AK"/>
    <s v="R-L-0.2"/>
    <n v="4"/>
    <x v="397"/>
    <s v="mdarrigoebu@hud.gov"/>
    <x v="1"/>
    <s v="Rob"/>
    <s v="L"/>
    <x v="3"/>
    <n v="3.5849999999999995"/>
    <n v="14.339999999999998"/>
    <x v="0"/>
    <x v="1"/>
    <x v="0"/>
  </r>
  <r>
    <s v="ACY-56225-839"/>
    <x v="353"/>
    <s v="47386-50743-FG"/>
    <s v="A-M-2.5"/>
    <n v="3"/>
    <x v="398"/>
    <s v=""/>
    <x v="0"/>
    <s v="Ara"/>
    <s v="M"/>
    <x v="2"/>
    <n v="25.874999999999996"/>
    <n v="77.624999999999986"/>
    <x v="2"/>
    <x v="0"/>
    <x v="0"/>
  </r>
  <r>
    <s v="QBB-07903-622"/>
    <x v="354"/>
    <s v="32622-54551-UC"/>
    <s v="R-L-1"/>
    <n v="5"/>
    <x v="399"/>
    <s v="mackrillbw@bandcamp.com"/>
    <x v="0"/>
    <s v="Rob"/>
    <s v="L"/>
    <x v="0"/>
    <n v="11.95"/>
    <n v="59.75"/>
    <x v="0"/>
    <x v="1"/>
    <x v="1"/>
  </r>
  <r>
    <s v="JLJ-81802-619"/>
    <x v="135"/>
    <s v="16880-78077-FB"/>
    <s v="A-L-1"/>
    <n v="6"/>
    <x v="347"/>
    <s v="tfarraac@behance.net"/>
    <x v="0"/>
    <s v="Ara"/>
    <s v="L"/>
    <x v="0"/>
    <n v="12.95"/>
    <n v="77.699999999999989"/>
    <x v="2"/>
    <x v="1"/>
    <x v="1"/>
  </r>
  <r>
    <s v="HFT-77191-168"/>
    <x v="343"/>
    <s v="48419-02347-XP"/>
    <s v="R-D-0.2"/>
    <n v="2"/>
    <x v="400"/>
    <s v="mkippenby@dion.ne.jp"/>
    <x v="0"/>
    <s v="Rob"/>
    <s v="D"/>
    <x v="3"/>
    <n v="2.6849999999999996"/>
    <n v="5.3699999999999992"/>
    <x v="0"/>
    <x v="2"/>
    <x v="0"/>
  </r>
  <r>
    <s v="SZR-35951-530"/>
    <x v="89"/>
    <s v="14121-20527-OJ"/>
    <s v="E-D-2.5"/>
    <n v="3"/>
    <x v="401"/>
    <s v="wransonbz@ted.com"/>
    <x v="1"/>
    <s v="Exc"/>
    <s v="D"/>
    <x v="2"/>
    <n v="27.945"/>
    <n v="83.835000000000008"/>
    <x v="1"/>
    <x v="2"/>
    <x v="0"/>
  </r>
  <r>
    <s v="IKL-95976-565"/>
    <x v="355"/>
    <s v="53486-73919-BQ"/>
    <s v="A-M-1"/>
    <n v="2"/>
    <x v="402"/>
    <s v=""/>
    <x v="0"/>
    <s v="Ara"/>
    <s v="M"/>
    <x v="0"/>
    <n v="11.25"/>
    <n v="22.5"/>
    <x v="2"/>
    <x v="0"/>
    <x v="1"/>
  </r>
  <r>
    <s v="XEY-48929-474"/>
    <x v="204"/>
    <s v="21889-94615-WT"/>
    <s v="L-M-2.5"/>
    <n v="6"/>
    <x v="403"/>
    <s v="lrignoldc1@miibeian.gov.cn"/>
    <x v="0"/>
    <s v="Lib"/>
    <s v="M"/>
    <x v="2"/>
    <n v="33.464999999999996"/>
    <n v="200.78999999999996"/>
    <x v="3"/>
    <x v="0"/>
    <x v="0"/>
  </r>
  <r>
    <s v="SQT-07286-736"/>
    <x v="356"/>
    <s v="87726-16941-QW"/>
    <s v="A-M-1"/>
    <n v="6"/>
    <x v="404"/>
    <s v=""/>
    <x v="0"/>
    <s v="Ara"/>
    <s v="M"/>
    <x v="0"/>
    <n v="11.25"/>
    <n v="67.5"/>
    <x v="2"/>
    <x v="0"/>
    <x v="1"/>
  </r>
  <r>
    <s v="QDU-45390-361"/>
    <x v="357"/>
    <s v="03677-09134-BC"/>
    <s v="E-M-0.5"/>
    <n v="1"/>
    <x v="405"/>
    <s v="crowthornc3@msn.com"/>
    <x v="0"/>
    <s v="Exc"/>
    <s v="M"/>
    <x v="1"/>
    <n v="8.25"/>
    <n v="8.25"/>
    <x v="1"/>
    <x v="0"/>
    <x v="1"/>
  </r>
  <r>
    <s v="RUJ-30649-712"/>
    <x v="300"/>
    <s v="93224-71517-WV"/>
    <s v="L-L-0.2"/>
    <n v="2"/>
    <x v="406"/>
    <s v="orylandc4@deviantart.com"/>
    <x v="0"/>
    <s v="Lib"/>
    <s v="L"/>
    <x v="3"/>
    <n v="4.7549999999999999"/>
    <n v="9.51"/>
    <x v="3"/>
    <x v="1"/>
    <x v="0"/>
  </r>
  <r>
    <s v="WSV-49732-075"/>
    <x v="358"/>
    <s v="76263-95145-GJ"/>
    <s v="L-D-2.5"/>
    <n v="1"/>
    <x v="407"/>
    <s v=""/>
    <x v="0"/>
    <s v="Lib"/>
    <s v="D"/>
    <x v="2"/>
    <n v="29.784999999999997"/>
    <n v="29.784999999999997"/>
    <x v="3"/>
    <x v="2"/>
    <x v="1"/>
  </r>
  <r>
    <s v="VJF-46305-323"/>
    <x v="161"/>
    <s v="68555-89840-GZ"/>
    <s v="L-D-0.5"/>
    <n v="2"/>
    <x v="408"/>
    <s v="msesonck@census.gov"/>
    <x v="0"/>
    <s v="Lib"/>
    <s v="D"/>
    <x v="1"/>
    <n v="7.77"/>
    <n v="15.54"/>
    <x v="3"/>
    <x v="2"/>
    <x v="1"/>
  </r>
  <r>
    <s v="CXD-74176-600"/>
    <x v="129"/>
    <s v="70624-19112-AO"/>
    <s v="E-L-0.5"/>
    <n v="4"/>
    <x v="409"/>
    <s v="craglessc7@webmd.com"/>
    <x v="1"/>
    <s v="Exc"/>
    <s v="L"/>
    <x v="1"/>
    <n v="8.91"/>
    <n v="35.64"/>
    <x v="1"/>
    <x v="1"/>
    <x v="1"/>
  </r>
  <r>
    <s v="ADX-50674-975"/>
    <x v="359"/>
    <s v="58916-61837-QH"/>
    <s v="A-M-2.5"/>
    <n v="4"/>
    <x v="410"/>
    <s v="fhollowsc8@blogtalkradio.com"/>
    <x v="0"/>
    <s v="Ara"/>
    <s v="M"/>
    <x v="2"/>
    <n v="25.874999999999996"/>
    <n v="103.49999999999999"/>
    <x v="2"/>
    <x v="0"/>
    <x v="0"/>
  </r>
  <r>
    <s v="RRP-51647-420"/>
    <x v="360"/>
    <s v="89292-52335-YZ"/>
    <s v="E-D-1"/>
    <n v="3"/>
    <x v="411"/>
    <s v="llathleiffc9@nationalgeographic.com"/>
    <x v="1"/>
    <s v="Exc"/>
    <s v="D"/>
    <x v="0"/>
    <n v="12.15"/>
    <n v="36.450000000000003"/>
    <x v="1"/>
    <x v="2"/>
    <x v="0"/>
  </r>
  <r>
    <s v="PKJ-99134-523"/>
    <x v="361"/>
    <s v="77284-34297-YY"/>
    <s v="R-L-0.5"/>
    <n v="5"/>
    <x v="412"/>
    <s v="kheadsca@jalbum.net"/>
    <x v="0"/>
    <s v="Rob"/>
    <s v="L"/>
    <x v="1"/>
    <n v="7.169999999999999"/>
    <n v="35.849999999999994"/>
    <x v="0"/>
    <x v="1"/>
    <x v="1"/>
  </r>
  <r>
    <s v="FZQ-29439-457"/>
    <x v="362"/>
    <s v="50449-80974-BZ"/>
    <s v="E-L-0.2"/>
    <n v="5"/>
    <x v="413"/>
    <s v="tbownecb@unicef.org"/>
    <x v="1"/>
    <s v="Exc"/>
    <s v="L"/>
    <x v="3"/>
    <n v="4.4550000000000001"/>
    <n v="22.274999999999999"/>
    <x v="1"/>
    <x v="1"/>
    <x v="0"/>
  </r>
  <r>
    <s v="USN-68115-161"/>
    <x v="363"/>
    <s v="08120-16183-AW"/>
    <s v="E-M-0.2"/>
    <n v="6"/>
    <x v="414"/>
    <s v="rjacquemardcc@acquirethisname.com"/>
    <x v="1"/>
    <s v="Exc"/>
    <s v="M"/>
    <x v="3"/>
    <n v="4.125"/>
    <n v="24.75"/>
    <x v="1"/>
    <x v="0"/>
    <x v="1"/>
  </r>
  <r>
    <s v="IXU-20263-532"/>
    <x v="364"/>
    <s v="68044-89277-ML"/>
    <s v="L-M-2.5"/>
    <n v="2"/>
    <x v="415"/>
    <s v="kwarmancd@printfriendly.com"/>
    <x v="1"/>
    <s v="Lib"/>
    <s v="M"/>
    <x v="2"/>
    <n v="33.464999999999996"/>
    <n v="66.929999999999993"/>
    <x v="3"/>
    <x v="0"/>
    <x v="0"/>
  </r>
  <r>
    <s v="CBT-15092-420"/>
    <x v="85"/>
    <s v="71364-35210-HS"/>
    <s v="L-M-0.5"/>
    <n v="1"/>
    <x v="416"/>
    <s v="wcholomince@about.com"/>
    <x v="2"/>
    <s v="Lib"/>
    <s v="M"/>
    <x v="1"/>
    <n v="8.73"/>
    <n v="8.73"/>
    <x v="3"/>
    <x v="0"/>
    <x v="0"/>
  </r>
  <r>
    <s v="PKQ-46841-696"/>
    <x v="365"/>
    <s v="37177-68797-ON"/>
    <s v="R-M-0.5"/>
    <n v="3"/>
    <x v="417"/>
    <s v="abraidmancf@census.gov"/>
    <x v="0"/>
    <s v="Rob"/>
    <s v="M"/>
    <x v="1"/>
    <n v="5.97"/>
    <n v="17.91"/>
    <x v="0"/>
    <x v="0"/>
    <x v="1"/>
  </r>
  <r>
    <s v="XDU-05471-219"/>
    <x v="366"/>
    <s v="60308-06944-GS"/>
    <s v="R-L-0.5"/>
    <n v="1"/>
    <x v="418"/>
    <s v="pdurbancg@symantec.com"/>
    <x v="1"/>
    <s v="Rob"/>
    <s v="L"/>
    <x v="1"/>
    <n v="7.169999999999999"/>
    <n v="7.169999999999999"/>
    <x v="0"/>
    <x v="1"/>
    <x v="1"/>
  </r>
  <r>
    <s v="NID-20149-329"/>
    <x v="367"/>
    <s v="49888-39458-PF"/>
    <s v="R-D-0.2"/>
    <n v="2"/>
    <x v="419"/>
    <s v="aharroldch@miibeian.gov.cn"/>
    <x v="0"/>
    <s v="Rob"/>
    <s v="D"/>
    <x v="3"/>
    <n v="2.6849999999999996"/>
    <n v="5.3699999999999992"/>
    <x v="0"/>
    <x v="2"/>
    <x v="1"/>
  </r>
  <r>
    <s v="SVU-27222-213"/>
    <x v="142"/>
    <s v="60748-46813-DZ"/>
    <s v="L-L-0.2"/>
    <n v="5"/>
    <x v="420"/>
    <s v="spamphilonci@mlb.com"/>
    <x v="1"/>
    <s v="Lib"/>
    <s v="L"/>
    <x v="3"/>
    <n v="4.7549999999999999"/>
    <n v="23.774999999999999"/>
    <x v="3"/>
    <x v="1"/>
    <x v="1"/>
  </r>
  <r>
    <s v="RWI-84131-848"/>
    <x v="368"/>
    <s v="16385-11286-NX"/>
    <s v="R-D-2.5"/>
    <n v="2"/>
    <x v="421"/>
    <s v="mspurdencj@exblog.jp"/>
    <x v="0"/>
    <s v="Rob"/>
    <s v="D"/>
    <x v="2"/>
    <n v="20.584999999999997"/>
    <n v="41.169999999999995"/>
    <x v="0"/>
    <x v="2"/>
    <x v="0"/>
  </r>
  <r>
    <s v="GUU-40666-525"/>
    <x v="31"/>
    <s v="68555-89840-GZ"/>
    <s v="A-L-0.2"/>
    <n v="3"/>
    <x v="408"/>
    <s v="msesonck@census.gov"/>
    <x v="0"/>
    <s v="Ara"/>
    <s v="L"/>
    <x v="3"/>
    <n v="3.8849999999999998"/>
    <n v="11.654999999999999"/>
    <x v="2"/>
    <x v="1"/>
    <x v="1"/>
  </r>
  <r>
    <s v="SCN-51395-066"/>
    <x v="369"/>
    <s v="72164-90254-EJ"/>
    <s v="L-L-0.5"/>
    <n v="4"/>
    <x v="422"/>
    <s v="npirronecl@weibo.com"/>
    <x v="0"/>
    <s v="Lib"/>
    <s v="L"/>
    <x v="1"/>
    <n v="9.51"/>
    <n v="38.04"/>
    <x v="3"/>
    <x v="1"/>
    <x v="1"/>
  </r>
  <r>
    <s v="ULA-24644-321"/>
    <x v="370"/>
    <s v="67010-92988-CT"/>
    <s v="R-D-2.5"/>
    <n v="4"/>
    <x v="423"/>
    <s v="rcawleycm@yellowbook.com"/>
    <x v="1"/>
    <s v="Rob"/>
    <s v="D"/>
    <x v="2"/>
    <n v="20.584999999999997"/>
    <n v="82.339999999999989"/>
    <x v="0"/>
    <x v="2"/>
    <x v="0"/>
  </r>
  <r>
    <s v="EOL-92666-762"/>
    <x v="371"/>
    <s v="15776-91507-GT"/>
    <s v="L-L-0.2"/>
    <n v="2"/>
    <x v="424"/>
    <s v="sbarribalcn@microsoft.com"/>
    <x v="1"/>
    <s v="Lib"/>
    <s v="L"/>
    <x v="3"/>
    <n v="4.7549999999999999"/>
    <n v="9.51"/>
    <x v="3"/>
    <x v="1"/>
    <x v="0"/>
  </r>
  <r>
    <s v="AJV-18231-334"/>
    <x v="372"/>
    <s v="23473-41001-CD"/>
    <s v="R-D-2.5"/>
    <n v="2"/>
    <x v="425"/>
    <s v="aadamidesco@bizjournals.com"/>
    <x v="2"/>
    <s v="Rob"/>
    <s v="D"/>
    <x v="2"/>
    <n v="20.584999999999997"/>
    <n v="41.169999999999995"/>
    <x v="0"/>
    <x v="2"/>
    <x v="1"/>
  </r>
  <r>
    <s v="ZQI-47236-301"/>
    <x v="373"/>
    <s v="23446-47798-ID"/>
    <s v="L-L-0.5"/>
    <n v="5"/>
    <x v="426"/>
    <s v="cthowescp@craigslist.org"/>
    <x v="0"/>
    <s v="Lib"/>
    <s v="L"/>
    <x v="1"/>
    <n v="9.51"/>
    <n v="47.55"/>
    <x v="3"/>
    <x v="1"/>
    <x v="1"/>
  </r>
  <r>
    <s v="ZCR-15721-658"/>
    <x v="374"/>
    <s v="28327-84469-ND"/>
    <s v="A-M-1"/>
    <n v="4"/>
    <x v="427"/>
    <s v="rwillowaycq@admin.ch"/>
    <x v="0"/>
    <s v="Ara"/>
    <s v="M"/>
    <x v="0"/>
    <n v="11.25"/>
    <n v="45"/>
    <x v="2"/>
    <x v="0"/>
    <x v="1"/>
  </r>
  <r>
    <s v="QEW-47945-682"/>
    <x v="319"/>
    <s v="42466-87067-DT"/>
    <s v="L-L-0.2"/>
    <n v="5"/>
    <x v="428"/>
    <s v="aelwincr@privacy.gov.au"/>
    <x v="0"/>
    <s v="Lib"/>
    <s v="L"/>
    <x v="3"/>
    <n v="4.7549999999999999"/>
    <n v="23.774999999999999"/>
    <x v="3"/>
    <x v="1"/>
    <x v="1"/>
  </r>
  <r>
    <s v="PSY-45485-542"/>
    <x v="375"/>
    <s v="62246-99443-HF"/>
    <s v="R-D-0.5"/>
    <n v="3"/>
    <x v="429"/>
    <s v="abilbrookcs@booking.com"/>
    <x v="1"/>
    <s v="Rob"/>
    <s v="D"/>
    <x v="1"/>
    <n v="5.3699999999999992"/>
    <n v="16.11"/>
    <x v="0"/>
    <x v="2"/>
    <x v="0"/>
  </r>
  <r>
    <s v="BAQ-74241-156"/>
    <x v="376"/>
    <s v="99869-55718-UU"/>
    <s v="R-D-0.2"/>
    <n v="4"/>
    <x v="430"/>
    <s v="rmckallct@sakura.ne.jp"/>
    <x v="2"/>
    <s v="Rob"/>
    <s v="D"/>
    <x v="3"/>
    <n v="2.6849999999999996"/>
    <n v="10.739999999999998"/>
    <x v="0"/>
    <x v="2"/>
    <x v="0"/>
  </r>
  <r>
    <s v="BVU-77367-451"/>
    <x v="377"/>
    <s v="77421-46059-RY"/>
    <s v="A-D-1"/>
    <n v="5"/>
    <x v="431"/>
    <s v="bdailecu@vistaprint.com"/>
    <x v="0"/>
    <s v="Ara"/>
    <s v="D"/>
    <x v="0"/>
    <n v="9.9499999999999993"/>
    <n v="49.75"/>
    <x v="2"/>
    <x v="2"/>
    <x v="0"/>
  </r>
  <r>
    <s v="TJE-91516-344"/>
    <x v="378"/>
    <s v="49894-06550-OQ"/>
    <s v="E-M-1"/>
    <n v="2"/>
    <x v="432"/>
    <s v="atrehernecv@state.tx.us"/>
    <x v="1"/>
    <s v="Exc"/>
    <s v="M"/>
    <x v="0"/>
    <n v="13.75"/>
    <n v="27.5"/>
    <x v="1"/>
    <x v="0"/>
    <x v="1"/>
  </r>
  <r>
    <s v="LIS-96202-702"/>
    <x v="277"/>
    <s v="72028-63343-SU"/>
    <s v="L-D-2.5"/>
    <n v="4"/>
    <x v="433"/>
    <s v="abrentnallcw@biglobe.ne.jp"/>
    <x v="2"/>
    <s v="Lib"/>
    <s v="D"/>
    <x v="2"/>
    <n v="29.784999999999997"/>
    <n v="119.13999999999999"/>
    <x v="3"/>
    <x v="2"/>
    <x v="1"/>
  </r>
  <r>
    <s v="VIO-27668-766"/>
    <x v="379"/>
    <s v="10074-20104-NN"/>
    <s v="R-D-2.5"/>
    <n v="1"/>
    <x v="434"/>
    <s v="ddrinkallcx@psu.edu"/>
    <x v="0"/>
    <s v="Rob"/>
    <s v="D"/>
    <x v="2"/>
    <n v="20.584999999999997"/>
    <n v="20.584999999999997"/>
    <x v="0"/>
    <x v="2"/>
    <x v="0"/>
  </r>
  <r>
    <s v="ZVG-20473-043"/>
    <x v="86"/>
    <s v="71769-10219-IM"/>
    <s v="A-D-0.2"/>
    <n v="3"/>
    <x v="435"/>
    <s v="dkornelcy@cyberchimps.com"/>
    <x v="0"/>
    <s v="Ara"/>
    <s v="D"/>
    <x v="3"/>
    <n v="2.9849999999999999"/>
    <n v="8.9550000000000001"/>
    <x v="2"/>
    <x v="2"/>
    <x v="0"/>
  </r>
  <r>
    <s v="KGZ-56395-231"/>
    <x v="380"/>
    <s v="22221-71106-JD"/>
    <s v="A-D-0.5"/>
    <n v="1"/>
    <x v="436"/>
    <s v="rlequeuxcz@newyorker.com"/>
    <x v="0"/>
    <s v="Ara"/>
    <s v="D"/>
    <x v="1"/>
    <n v="5.97"/>
    <n v="5.97"/>
    <x v="2"/>
    <x v="2"/>
    <x v="1"/>
  </r>
  <r>
    <s v="CUU-92244-729"/>
    <x v="381"/>
    <s v="99735-44927-OL"/>
    <s v="E-M-1"/>
    <n v="3"/>
    <x v="437"/>
    <s v="jmccaulld0@parallels.com"/>
    <x v="0"/>
    <s v="Exc"/>
    <s v="M"/>
    <x v="0"/>
    <n v="13.75"/>
    <n v="41.25"/>
    <x v="1"/>
    <x v="0"/>
    <x v="0"/>
  </r>
  <r>
    <s v="EHE-94714-312"/>
    <x v="382"/>
    <s v="27132-68907-RC"/>
    <s v="E-L-0.2"/>
    <n v="5"/>
    <x v="438"/>
    <s v="abrashda@plala.or.jp"/>
    <x v="0"/>
    <s v="Exc"/>
    <s v="L"/>
    <x v="3"/>
    <n v="4.4550000000000001"/>
    <n v="22.274999999999999"/>
    <x v="1"/>
    <x v="1"/>
    <x v="0"/>
  </r>
  <r>
    <s v="RTL-16205-161"/>
    <x v="11"/>
    <s v="90440-62727-HI"/>
    <s v="A-M-0.5"/>
    <n v="1"/>
    <x v="439"/>
    <s v="ahutchinsond2@imgur.com"/>
    <x v="0"/>
    <s v="Ara"/>
    <s v="M"/>
    <x v="1"/>
    <n v="6.75"/>
    <n v="6.75"/>
    <x v="2"/>
    <x v="0"/>
    <x v="0"/>
  </r>
  <r>
    <s v="GTS-22482-014"/>
    <x v="167"/>
    <s v="36769-16558-SX"/>
    <s v="L-M-2.5"/>
    <n v="4"/>
    <x v="440"/>
    <s v=""/>
    <x v="0"/>
    <s v="Lib"/>
    <s v="M"/>
    <x v="2"/>
    <n v="33.464999999999996"/>
    <n v="133.85999999999999"/>
    <x v="3"/>
    <x v="0"/>
    <x v="0"/>
  </r>
  <r>
    <s v="DYG-25473-881"/>
    <x v="383"/>
    <s v="10138-31681-SD"/>
    <s v="A-D-0.2"/>
    <n v="2"/>
    <x v="441"/>
    <s v="rdriversd4@hexun.com"/>
    <x v="0"/>
    <s v="Ara"/>
    <s v="D"/>
    <x v="3"/>
    <n v="2.9849999999999999"/>
    <n v="5.97"/>
    <x v="2"/>
    <x v="2"/>
    <x v="1"/>
  </r>
  <r>
    <s v="HTR-21838-286"/>
    <x v="18"/>
    <s v="24669-76297-SF"/>
    <s v="A-L-1"/>
    <n v="2"/>
    <x v="442"/>
    <s v="hzeald5@google.de"/>
    <x v="0"/>
    <s v="Ara"/>
    <s v="L"/>
    <x v="0"/>
    <n v="12.95"/>
    <n v="25.9"/>
    <x v="2"/>
    <x v="1"/>
    <x v="1"/>
  </r>
  <r>
    <s v="KYG-28296-920"/>
    <x v="84"/>
    <s v="78050-20355-DI"/>
    <s v="E-M-2.5"/>
    <n v="1"/>
    <x v="443"/>
    <s v="gsmallcombed6@ucla.edu"/>
    <x v="1"/>
    <s v="Exc"/>
    <s v="M"/>
    <x v="2"/>
    <n v="31.624999999999996"/>
    <n v="31.624999999999996"/>
    <x v="1"/>
    <x v="0"/>
    <x v="0"/>
  </r>
  <r>
    <s v="NNB-20459-430"/>
    <x v="384"/>
    <s v="79825-17822-UH"/>
    <s v="L-M-0.2"/>
    <n v="2"/>
    <x v="444"/>
    <s v="ddibleyd7@feedburner.com"/>
    <x v="0"/>
    <s v="Lib"/>
    <s v="M"/>
    <x v="3"/>
    <n v="4.3650000000000002"/>
    <n v="8.73"/>
    <x v="3"/>
    <x v="0"/>
    <x v="1"/>
  </r>
  <r>
    <s v="FEK-14025-351"/>
    <x v="385"/>
    <s v="03990-21586-MQ"/>
    <s v="E-L-0.2"/>
    <n v="6"/>
    <x v="445"/>
    <s v="gdimitrioud8@chronoengine.com"/>
    <x v="0"/>
    <s v="Exc"/>
    <s v="L"/>
    <x v="3"/>
    <n v="4.4550000000000001"/>
    <n v="26.73"/>
    <x v="1"/>
    <x v="1"/>
    <x v="0"/>
  </r>
  <r>
    <s v="AWH-16980-469"/>
    <x v="386"/>
    <s v="27493-46921-TZ"/>
    <s v="L-M-0.2"/>
    <n v="6"/>
    <x v="446"/>
    <s v="fflanagand9@woothemes.com"/>
    <x v="0"/>
    <s v="Lib"/>
    <s v="M"/>
    <x v="3"/>
    <n v="4.3650000000000002"/>
    <n v="26.19"/>
    <x v="3"/>
    <x v="0"/>
    <x v="1"/>
  </r>
  <r>
    <s v="ZPW-31329-741"/>
    <x v="387"/>
    <s v="27132-68907-RC"/>
    <s v="R-D-1"/>
    <n v="6"/>
    <x v="438"/>
    <s v="abrashda@plala.or.jp"/>
    <x v="0"/>
    <s v="Rob"/>
    <s v="D"/>
    <x v="0"/>
    <n v="8.9499999999999993"/>
    <n v="53.699999999999996"/>
    <x v="0"/>
    <x v="2"/>
    <x v="0"/>
  </r>
  <r>
    <s v="ZPW-31329-741"/>
    <x v="387"/>
    <s v="27132-68907-RC"/>
    <s v="E-M-2.5"/>
    <n v="4"/>
    <x v="438"/>
    <s v="abrashda@plala.or.jp"/>
    <x v="0"/>
    <s v="Exc"/>
    <s v="M"/>
    <x v="2"/>
    <n v="31.624999999999996"/>
    <n v="126.49999999999999"/>
    <x v="1"/>
    <x v="0"/>
    <x v="0"/>
  </r>
  <r>
    <s v="ZPW-31329-741"/>
    <x v="387"/>
    <s v="27132-68907-RC"/>
    <s v="E-M-0.2"/>
    <n v="1"/>
    <x v="438"/>
    <s v="abrashda@plala.or.jp"/>
    <x v="0"/>
    <s v="Exc"/>
    <s v="M"/>
    <x v="3"/>
    <n v="4.125"/>
    <n v="4.125"/>
    <x v="1"/>
    <x v="0"/>
    <x v="0"/>
  </r>
  <r>
    <s v="UBI-83843-396"/>
    <x v="388"/>
    <s v="58816-74064-TF"/>
    <s v="R-L-1"/>
    <n v="2"/>
    <x v="447"/>
    <s v="nizhakovdd@aol.com"/>
    <x v="2"/>
    <s v="Rob"/>
    <s v="L"/>
    <x v="0"/>
    <n v="11.95"/>
    <n v="23.9"/>
    <x v="0"/>
    <x v="1"/>
    <x v="1"/>
  </r>
  <r>
    <s v="VID-40587-569"/>
    <x v="389"/>
    <s v="09818-59895-EH"/>
    <s v="E-D-2.5"/>
    <n v="5"/>
    <x v="448"/>
    <s v="skeetsde@answers.com"/>
    <x v="0"/>
    <s v="Exc"/>
    <s v="D"/>
    <x v="2"/>
    <n v="27.945"/>
    <n v="139.72499999999999"/>
    <x v="1"/>
    <x v="2"/>
    <x v="0"/>
  </r>
  <r>
    <s v="KBB-52530-416"/>
    <x v="229"/>
    <s v="06488-46303-IZ"/>
    <s v="L-D-2.5"/>
    <n v="2"/>
    <x v="449"/>
    <s v=""/>
    <x v="0"/>
    <s v="Lib"/>
    <s v="D"/>
    <x v="2"/>
    <n v="29.784999999999997"/>
    <n v="59.569999999999993"/>
    <x v="3"/>
    <x v="2"/>
    <x v="0"/>
  </r>
  <r>
    <s v="ISJ-48676-420"/>
    <x v="390"/>
    <s v="93046-67561-AY"/>
    <s v="L-L-0.5"/>
    <n v="6"/>
    <x v="450"/>
    <s v="kcakedg@huffingtonpost.com"/>
    <x v="0"/>
    <s v="Lib"/>
    <s v="L"/>
    <x v="1"/>
    <n v="9.51"/>
    <n v="57.06"/>
    <x v="3"/>
    <x v="1"/>
    <x v="1"/>
  </r>
  <r>
    <s v="MIF-17920-768"/>
    <x v="391"/>
    <s v="68946-40750-LK"/>
    <s v="R-L-0.2"/>
    <n v="6"/>
    <x v="451"/>
    <s v="mhanseddh@instagram.com"/>
    <x v="1"/>
    <s v="Rob"/>
    <s v="L"/>
    <x v="3"/>
    <n v="3.5849999999999995"/>
    <n v="21.509999999999998"/>
    <x v="0"/>
    <x v="1"/>
    <x v="0"/>
  </r>
  <r>
    <s v="CPX-19312-088"/>
    <x v="117"/>
    <s v="38387-64959-WW"/>
    <s v="L-M-0.5"/>
    <n v="6"/>
    <x v="452"/>
    <s v="fkienleindi@trellian.com"/>
    <x v="1"/>
    <s v="Lib"/>
    <s v="M"/>
    <x v="1"/>
    <n v="8.73"/>
    <n v="52.38"/>
    <x v="3"/>
    <x v="0"/>
    <x v="0"/>
  </r>
  <r>
    <s v="RXI-67978-260"/>
    <x v="392"/>
    <s v="48418-60841-CC"/>
    <s v="E-D-1"/>
    <n v="6"/>
    <x v="453"/>
    <s v="kegglestonedj@sphinn.com"/>
    <x v="1"/>
    <s v="Exc"/>
    <s v="D"/>
    <x v="0"/>
    <n v="12.15"/>
    <n v="72.900000000000006"/>
    <x v="1"/>
    <x v="2"/>
    <x v="1"/>
  </r>
  <r>
    <s v="LKE-14821-285"/>
    <x v="393"/>
    <s v="13736-92418-JS"/>
    <s v="R-M-0.2"/>
    <n v="5"/>
    <x v="454"/>
    <s v="bsemkinsdk@unc.edu"/>
    <x v="1"/>
    <s v="Rob"/>
    <s v="M"/>
    <x v="3"/>
    <n v="2.9849999999999999"/>
    <n v="14.924999999999999"/>
    <x v="0"/>
    <x v="0"/>
    <x v="0"/>
  </r>
  <r>
    <s v="LRK-97117-150"/>
    <x v="394"/>
    <s v="33000-22405-LO"/>
    <s v="L-L-1"/>
    <n v="6"/>
    <x v="455"/>
    <s v="slorenzettidl@is.gd"/>
    <x v="0"/>
    <s v="Lib"/>
    <s v="L"/>
    <x v="0"/>
    <n v="15.85"/>
    <n v="95.1"/>
    <x v="3"/>
    <x v="1"/>
    <x v="1"/>
  </r>
  <r>
    <s v="IGK-51227-573"/>
    <x v="137"/>
    <s v="46959-60474-LT"/>
    <s v="L-D-0.5"/>
    <n v="2"/>
    <x v="456"/>
    <s v="bgiannazzidm@apple.com"/>
    <x v="0"/>
    <s v="Lib"/>
    <s v="D"/>
    <x v="1"/>
    <n v="7.77"/>
    <n v="15.54"/>
    <x v="3"/>
    <x v="2"/>
    <x v="1"/>
  </r>
  <r>
    <s v="ZAY-43009-775"/>
    <x v="395"/>
    <s v="73431-39823-UP"/>
    <s v="L-D-0.2"/>
    <n v="6"/>
    <x v="457"/>
    <s v=""/>
    <x v="0"/>
    <s v="Lib"/>
    <s v="D"/>
    <x v="3"/>
    <n v="3.8849999999999998"/>
    <n v="23.31"/>
    <x v="3"/>
    <x v="2"/>
    <x v="1"/>
  </r>
  <r>
    <s v="EMA-63190-618"/>
    <x v="396"/>
    <s v="90993-98984-JK"/>
    <s v="E-M-0.2"/>
    <n v="1"/>
    <x v="458"/>
    <s v="ulethbrigdo@hc360.com"/>
    <x v="0"/>
    <s v="Exc"/>
    <s v="M"/>
    <x v="3"/>
    <n v="4.125"/>
    <n v="4.125"/>
    <x v="1"/>
    <x v="0"/>
    <x v="0"/>
  </r>
  <r>
    <s v="FBI-35855-418"/>
    <x v="189"/>
    <s v="06552-04430-AG"/>
    <s v="R-M-0.5"/>
    <n v="6"/>
    <x v="459"/>
    <s v="sfarnishdp@dmoz.org"/>
    <x v="2"/>
    <s v="Rob"/>
    <s v="M"/>
    <x v="1"/>
    <n v="5.97"/>
    <n v="35.82"/>
    <x v="0"/>
    <x v="0"/>
    <x v="1"/>
  </r>
  <r>
    <s v="TXB-80533-417"/>
    <x v="8"/>
    <s v="54597-57004-QM"/>
    <s v="L-L-1"/>
    <n v="2"/>
    <x v="460"/>
    <s v="fjecockdq@unicef.org"/>
    <x v="0"/>
    <s v="Lib"/>
    <s v="L"/>
    <x v="0"/>
    <n v="15.85"/>
    <n v="31.7"/>
    <x v="3"/>
    <x v="1"/>
    <x v="1"/>
  </r>
  <r>
    <s v="MBM-00112-248"/>
    <x v="397"/>
    <s v="50238-24377-ZS"/>
    <s v="L-L-1"/>
    <n v="5"/>
    <x v="461"/>
    <s v=""/>
    <x v="0"/>
    <s v="Lib"/>
    <s v="L"/>
    <x v="0"/>
    <n v="15.85"/>
    <n v="79.25"/>
    <x v="3"/>
    <x v="1"/>
    <x v="0"/>
  </r>
  <r>
    <s v="EUO-69145-988"/>
    <x v="398"/>
    <s v="60370-41934-IF"/>
    <s v="E-D-0.2"/>
    <n v="3"/>
    <x v="462"/>
    <s v="hpallisterds@ning.com"/>
    <x v="0"/>
    <s v="Exc"/>
    <s v="D"/>
    <x v="3"/>
    <n v="3.645"/>
    <n v="10.935"/>
    <x v="1"/>
    <x v="2"/>
    <x v="1"/>
  </r>
  <r>
    <s v="GYA-80327-368"/>
    <x v="399"/>
    <s v="06899-54551-EH"/>
    <s v="A-D-1"/>
    <n v="4"/>
    <x v="463"/>
    <s v="cmershdt@drupal.org"/>
    <x v="1"/>
    <s v="Ara"/>
    <s v="D"/>
    <x v="0"/>
    <n v="9.9499999999999993"/>
    <n v="39.799999999999997"/>
    <x v="2"/>
    <x v="2"/>
    <x v="1"/>
  </r>
  <r>
    <s v="TNW-41601-420"/>
    <x v="400"/>
    <s v="66458-91190-YC"/>
    <s v="R-M-1"/>
    <n v="5"/>
    <x v="464"/>
    <s v="murione5@alexa.com"/>
    <x v="1"/>
    <s v="Rob"/>
    <s v="M"/>
    <x v="0"/>
    <n v="9.9499999999999993"/>
    <n v="49.75"/>
    <x v="0"/>
    <x v="0"/>
    <x v="0"/>
  </r>
  <r>
    <s v="ALR-62963-723"/>
    <x v="401"/>
    <s v="80463-43913-WZ"/>
    <s v="R-D-0.2"/>
    <n v="3"/>
    <x v="465"/>
    <s v=""/>
    <x v="1"/>
    <s v="Rob"/>
    <s v="D"/>
    <x v="3"/>
    <n v="2.6849999999999996"/>
    <n v="8.0549999999999997"/>
    <x v="0"/>
    <x v="2"/>
    <x v="0"/>
  </r>
  <r>
    <s v="JIG-27636-870"/>
    <x v="402"/>
    <s v="67204-04870-LG"/>
    <s v="R-L-1"/>
    <n v="4"/>
    <x v="466"/>
    <s v=""/>
    <x v="0"/>
    <s v="Rob"/>
    <s v="L"/>
    <x v="0"/>
    <n v="11.95"/>
    <n v="47.8"/>
    <x v="0"/>
    <x v="1"/>
    <x v="1"/>
  </r>
  <r>
    <s v="CTE-31437-326"/>
    <x v="6"/>
    <s v="22721-63196-UJ"/>
    <s v="R-M-0.2"/>
    <n v="4"/>
    <x v="467"/>
    <s v="gduckerdx@patch.com"/>
    <x v="2"/>
    <s v="Rob"/>
    <s v="M"/>
    <x v="3"/>
    <n v="2.9849999999999999"/>
    <n v="11.94"/>
    <x v="0"/>
    <x v="0"/>
    <x v="1"/>
  </r>
  <r>
    <s v="CTE-31437-326"/>
    <x v="6"/>
    <s v="22721-63196-UJ"/>
    <s v="E-M-0.2"/>
    <n v="4"/>
    <x v="467"/>
    <s v="gduckerdx@patch.com"/>
    <x v="2"/>
    <s v="Exc"/>
    <s v="M"/>
    <x v="3"/>
    <n v="4.125"/>
    <n v="16.5"/>
    <x v="1"/>
    <x v="0"/>
    <x v="1"/>
  </r>
  <r>
    <s v="CTE-31437-326"/>
    <x v="6"/>
    <s v="22721-63196-UJ"/>
    <s v="L-D-1"/>
    <n v="4"/>
    <x v="467"/>
    <s v="gduckerdx@patch.com"/>
    <x v="2"/>
    <s v="Lib"/>
    <s v="D"/>
    <x v="0"/>
    <n v="12.95"/>
    <n v="51.8"/>
    <x v="3"/>
    <x v="2"/>
    <x v="1"/>
  </r>
  <r>
    <s v="CTE-31437-326"/>
    <x v="6"/>
    <s v="22721-63196-UJ"/>
    <s v="L-L-0.2"/>
    <n v="3"/>
    <x v="467"/>
    <s v="gduckerdx@patch.com"/>
    <x v="2"/>
    <s v="Lib"/>
    <s v="L"/>
    <x v="3"/>
    <n v="4.7549999999999999"/>
    <n v="14.265000000000001"/>
    <x v="3"/>
    <x v="1"/>
    <x v="1"/>
  </r>
  <r>
    <s v="SLD-63003-334"/>
    <x v="403"/>
    <s v="55515-37571-RS"/>
    <s v="L-M-0.2"/>
    <n v="6"/>
    <x v="468"/>
    <s v="wstearleye1@census.gov"/>
    <x v="0"/>
    <s v="Lib"/>
    <s v="M"/>
    <x v="3"/>
    <n v="4.3650000000000002"/>
    <n v="26.19"/>
    <x v="3"/>
    <x v="0"/>
    <x v="1"/>
  </r>
  <r>
    <s v="BXN-64230-789"/>
    <x v="404"/>
    <s v="25598-77476-CB"/>
    <s v="A-L-1"/>
    <n v="2"/>
    <x v="469"/>
    <s v="dwincere2@marriott.com"/>
    <x v="0"/>
    <s v="Ara"/>
    <s v="L"/>
    <x v="0"/>
    <n v="12.95"/>
    <n v="25.9"/>
    <x v="2"/>
    <x v="1"/>
    <x v="0"/>
  </r>
  <r>
    <s v="XEE-37895-169"/>
    <x v="21"/>
    <s v="14888-85625-TM"/>
    <s v="A-L-2.5"/>
    <n v="3"/>
    <x v="470"/>
    <s v="plyfielde3@baidu.com"/>
    <x v="0"/>
    <s v="Ara"/>
    <s v="L"/>
    <x v="2"/>
    <n v="29.784999999999997"/>
    <n v="89.35499999999999"/>
    <x v="2"/>
    <x v="1"/>
    <x v="0"/>
  </r>
  <r>
    <s v="ZTX-80764-911"/>
    <x v="239"/>
    <s v="92793-68332-NR"/>
    <s v="L-D-0.5"/>
    <n v="6"/>
    <x v="471"/>
    <s v="hperrise4@studiopress.com"/>
    <x v="1"/>
    <s v="Lib"/>
    <s v="D"/>
    <x v="1"/>
    <n v="7.77"/>
    <n v="46.62"/>
    <x v="3"/>
    <x v="2"/>
    <x v="1"/>
  </r>
  <r>
    <s v="WVT-88135-549"/>
    <x v="405"/>
    <s v="66458-91190-YC"/>
    <s v="A-D-1"/>
    <n v="3"/>
    <x v="464"/>
    <s v="murione5@alexa.com"/>
    <x v="1"/>
    <s v="Ara"/>
    <s v="D"/>
    <x v="0"/>
    <n v="9.9499999999999993"/>
    <n v="29.849999999999998"/>
    <x v="2"/>
    <x v="2"/>
    <x v="0"/>
  </r>
  <r>
    <s v="IPA-94170-889"/>
    <x v="292"/>
    <s v="64439-27325-LG"/>
    <s v="R-L-0.2"/>
    <n v="3"/>
    <x v="472"/>
    <s v="ckide6@narod.ru"/>
    <x v="1"/>
    <s v="Rob"/>
    <s v="L"/>
    <x v="3"/>
    <n v="3.5849999999999995"/>
    <n v="10.754999999999999"/>
    <x v="0"/>
    <x v="1"/>
    <x v="0"/>
  </r>
  <r>
    <s v="YQL-63755-365"/>
    <x v="117"/>
    <s v="78570-76770-LB"/>
    <s v="A-M-0.2"/>
    <n v="4"/>
    <x v="473"/>
    <s v="cbeinee7@xinhuanet.com"/>
    <x v="0"/>
    <s v="Ara"/>
    <s v="M"/>
    <x v="3"/>
    <n v="3.375"/>
    <n v="13.5"/>
    <x v="2"/>
    <x v="0"/>
    <x v="0"/>
  </r>
  <r>
    <s v="RKW-81145-984"/>
    <x v="406"/>
    <s v="98661-69719-VI"/>
    <s v="L-L-1"/>
    <n v="3"/>
    <x v="474"/>
    <s v="cbakeupe8@globo.com"/>
    <x v="0"/>
    <s v="Lib"/>
    <s v="L"/>
    <x v="0"/>
    <n v="15.85"/>
    <n v="47.55"/>
    <x v="3"/>
    <x v="1"/>
    <x v="1"/>
  </r>
  <r>
    <s v="MBT-23379-866"/>
    <x v="407"/>
    <s v="82990-92703-IX"/>
    <s v="L-L-1"/>
    <n v="5"/>
    <x v="475"/>
    <s v="nhelkine9@example.com"/>
    <x v="0"/>
    <s v="Lib"/>
    <s v="L"/>
    <x v="0"/>
    <n v="15.85"/>
    <n v="79.25"/>
    <x v="3"/>
    <x v="1"/>
    <x v="1"/>
  </r>
  <r>
    <s v="GEJ-39834-935"/>
    <x v="408"/>
    <s v="49412-86877-VY"/>
    <s v="L-M-0.2"/>
    <n v="6"/>
    <x v="476"/>
    <s v="pwitheringtonea@networkadvertising.org"/>
    <x v="0"/>
    <s v="Lib"/>
    <s v="M"/>
    <x v="3"/>
    <n v="4.3650000000000002"/>
    <n v="26.19"/>
    <x v="3"/>
    <x v="0"/>
    <x v="0"/>
  </r>
  <r>
    <s v="KRW-91640-596"/>
    <x v="409"/>
    <s v="70879-00984-FJ"/>
    <s v="R-L-0.5"/>
    <n v="3"/>
    <x v="477"/>
    <s v="ttilzeyeb@hostgator.com"/>
    <x v="0"/>
    <s v="Rob"/>
    <s v="L"/>
    <x v="1"/>
    <n v="7.169999999999999"/>
    <n v="21.509999999999998"/>
    <x v="0"/>
    <x v="1"/>
    <x v="1"/>
  </r>
  <r>
    <s v="AOT-70449-651"/>
    <x v="410"/>
    <s v="53414-73391-CR"/>
    <s v="R-D-2.5"/>
    <n v="5"/>
    <x v="478"/>
    <s v=""/>
    <x v="0"/>
    <s v="Rob"/>
    <s v="D"/>
    <x v="2"/>
    <n v="20.584999999999997"/>
    <n v="102.92499999999998"/>
    <x v="0"/>
    <x v="2"/>
    <x v="0"/>
  </r>
  <r>
    <s v="DGC-21813-731"/>
    <x v="127"/>
    <s v="43606-83072-OA"/>
    <s v="L-D-0.2"/>
    <n v="2"/>
    <x v="479"/>
    <s v=""/>
    <x v="0"/>
    <s v="Lib"/>
    <s v="D"/>
    <x v="3"/>
    <n v="3.8849999999999998"/>
    <n v="7.77"/>
    <x v="3"/>
    <x v="2"/>
    <x v="1"/>
  </r>
  <r>
    <s v="JBE-92943-643"/>
    <x v="411"/>
    <s v="84466-22864-CE"/>
    <s v="E-D-2.5"/>
    <n v="5"/>
    <x v="480"/>
    <s v="kimortsee@alexa.com"/>
    <x v="0"/>
    <s v="Exc"/>
    <s v="D"/>
    <x v="2"/>
    <n v="27.945"/>
    <n v="139.72499999999999"/>
    <x v="1"/>
    <x v="2"/>
    <x v="1"/>
  </r>
  <r>
    <s v="ZIL-34948-499"/>
    <x v="112"/>
    <s v="66458-91190-YC"/>
    <s v="A-D-0.5"/>
    <n v="2"/>
    <x v="464"/>
    <s v="murione5@alexa.com"/>
    <x v="1"/>
    <s v="Ara"/>
    <s v="D"/>
    <x v="1"/>
    <n v="5.97"/>
    <n v="11.94"/>
    <x v="2"/>
    <x v="2"/>
    <x v="0"/>
  </r>
  <r>
    <s v="JSU-23781-256"/>
    <x v="412"/>
    <s v="76499-89100-JQ"/>
    <s v="L-D-0.2"/>
    <n v="1"/>
    <x v="481"/>
    <s v="marmisteadeg@blogtalkradio.com"/>
    <x v="0"/>
    <s v="Lib"/>
    <s v="D"/>
    <x v="3"/>
    <n v="3.8849999999999998"/>
    <n v="3.8849999999999998"/>
    <x v="3"/>
    <x v="2"/>
    <x v="1"/>
  </r>
  <r>
    <s v="JSU-23781-256"/>
    <x v="412"/>
    <s v="76499-89100-JQ"/>
    <s v="R-M-1"/>
    <n v="4"/>
    <x v="481"/>
    <s v="marmisteadeg@blogtalkradio.com"/>
    <x v="0"/>
    <s v="Rob"/>
    <s v="M"/>
    <x v="0"/>
    <n v="9.9499999999999993"/>
    <n v="39.799999999999997"/>
    <x v="0"/>
    <x v="0"/>
    <x v="1"/>
  </r>
  <r>
    <s v="VPX-44956-367"/>
    <x v="413"/>
    <s v="39582-35773-ZJ"/>
    <s v="R-M-0.5"/>
    <n v="5"/>
    <x v="482"/>
    <s v="vupstoneei@google.pl"/>
    <x v="0"/>
    <s v="Rob"/>
    <s v="M"/>
    <x v="1"/>
    <n v="5.97"/>
    <n v="29.849999999999998"/>
    <x v="0"/>
    <x v="0"/>
    <x v="1"/>
  </r>
  <r>
    <s v="VTB-46451-959"/>
    <x v="414"/>
    <s v="66240-46962-IO"/>
    <s v="L-D-2.5"/>
    <n v="1"/>
    <x v="483"/>
    <s v="bbeelbyej@rediff.com"/>
    <x v="1"/>
    <s v="Lib"/>
    <s v="D"/>
    <x v="2"/>
    <n v="29.784999999999997"/>
    <n v="29.784999999999997"/>
    <x v="3"/>
    <x v="2"/>
    <x v="1"/>
  </r>
  <r>
    <s v="DNZ-11665-950"/>
    <x v="415"/>
    <s v="10637-45522-ID"/>
    <s v="L-L-2.5"/>
    <n v="2"/>
    <x v="484"/>
    <s v=""/>
    <x v="0"/>
    <s v="Lib"/>
    <s v="L"/>
    <x v="2"/>
    <n v="36.454999999999998"/>
    <n v="72.91"/>
    <x v="3"/>
    <x v="1"/>
    <x v="1"/>
  </r>
  <r>
    <s v="ITR-54735-364"/>
    <x v="416"/>
    <s v="92599-58687-CS"/>
    <s v="R-D-0.2"/>
    <n v="5"/>
    <x v="485"/>
    <s v=""/>
    <x v="0"/>
    <s v="Rob"/>
    <s v="D"/>
    <x v="3"/>
    <n v="2.6849999999999996"/>
    <n v="13.424999999999997"/>
    <x v="0"/>
    <x v="2"/>
    <x v="0"/>
  </r>
  <r>
    <s v="YDS-02797-307"/>
    <x v="417"/>
    <s v="06058-48844-PI"/>
    <s v="E-M-2.5"/>
    <n v="4"/>
    <x v="486"/>
    <s v="wspeechlyem@amazon.com"/>
    <x v="0"/>
    <s v="Exc"/>
    <s v="M"/>
    <x v="2"/>
    <n v="31.624999999999996"/>
    <n v="126.49999999999999"/>
    <x v="1"/>
    <x v="0"/>
    <x v="0"/>
  </r>
  <r>
    <s v="BPG-68988-842"/>
    <x v="418"/>
    <s v="53631-24432-SY"/>
    <s v="E-M-0.5"/>
    <n v="5"/>
    <x v="487"/>
    <s v="iphillpoten@buzzfeed.com"/>
    <x v="2"/>
    <s v="Exc"/>
    <s v="M"/>
    <x v="1"/>
    <n v="8.25"/>
    <n v="41.25"/>
    <x v="1"/>
    <x v="0"/>
    <x v="1"/>
  </r>
  <r>
    <s v="XZG-51938-658"/>
    <x v="419"/>
    <s v="18275-73980-KL"/>
    <s v="E-L-0.5"/>
    <n v="6"/>
    <x v="488"/>
    <s v="lpennaccieo@statcounter.com"/>
    <x v="0"/>
    <s v="Exc"/>
    <s v="L"/>
    <x v="1"/>
    <n v="8.91"/>
    <n v="53.46"/>
    <x v="1"/>
    <x v="1"/>
    <x v="1"/>
  </r>
  <r>
    <s v="KAR-24978-271"/>
    <x v="420"/>
    <s v="23187-65750-HZ"/>
    <s v="R-M-1"/>
    <n v="6"/>
    <x v="489"/>
    <s v="sarpinep@moonfruit.com"/>
    <x v="0"/>
    <s v="Rob"/>
    <s v="M"/>
    <x v="0"/>
    <n v="9.9499999999999993"/>
    <n v="59.699999999999996"/>
    <x v="0"/>
    <x v="0"/>
    <x v="1"/>
  </r>
  <r>
    <s v="FQK-28730-361"/>
    <x v="421"/>
    <s v="22725-79522-GP"/>
    <s v="R-M-1"/>
    <n v="6"/>
    <x v="490"/>
    <s v="dfrieseq@cargocollective.com"/>
    <x v="0"/>
    <s v="Rob"/>
    <s v="M"/>
    <x v="0"/>
    <n v="9.9499999999999993"/>
    <n v="59.699999999999996"/>
    <x v="0"/>
    <x v="0"/>
    <x v="1"/>
  </r>
  <r>
    <s v="BGB-67996-089"/>
    <x v="422"/>
    <s v="06279-72603-JE"/>
    <s v="R-D-1"/>
    <n v="5"/>
    <x v="491"/>
    <s v="rsharerer@flavors.me"/>
    <x v="0"/>
    <s v="Rob"/>
    <s v="D"/>
    <x v="0"/>
    <n v="8.9499999999999993"/>
    <n v="44.75"/>
    <x v="0"/>
    <x v="2"/>
    <x v="1"/>
  </r>
  <r>
    <s v="XMC-20620-809"/>
    <x v="423"/>
    <s v="83543-79246-ON"/>
    <s v="E-M-0.5"/>
    <n v="2"/>
    <x v="492"/>
    <s v="nnasebyes@umich.edu"/>
    <x v="0"/>
    <s v="Exc"/>
    <s v="M"/>
    <x v="1"/>
    <n v="8.25"/>
    <n v="16.5"/>
    <x v="1"/>
    <x v="0"/>
    <x v="0"/>
  </r>
  <r>
    <s v="ZSO-58292-191"/>
    <x v="109"/>
    <s v="66794-66795-VW"/>
    <s v="R-D-0.5"/>
    <n v="4"/>
    <x v="493"/>
    <s v=""/>
    <x v="0"/>
    <s v="Rob"/>
    <s v="D"/>
    <x v="1"/>
    <n v="5.3699999999999992"/>
    <n v="21.479999999999997"/>
    <x v="0"/>
    <x v="2"/>
    <x v="1"/>
  </r>
  <r>
    <s v="LWJ-06793-303"/>
    <x v="204"/>
    <s v="95424-67020-AP"/>
    <s v="R-M-2.5"/>
    <n v="2"/>
    <x v="494"/>
    <s v="koculleneu@ca.gov"/>
    <x v="1"/>
    <s v="Rob"/>
    <s v="M"/>
    <x v="2"/>
    <n v="22.884999999999998"/>
    <n v="45.769999999999996"/>
    <x v="0"/>
    <x v="0"/>
    <x v="0"/>
  </r>
  <r>
    <s v="FLM-82229-989"/>
    <x v="424"/>
    <s v="73017-69644-MS"/>
    <s v="L-L-0.2"/>
    <n v="2"/>
    <x v="495"/>
    <s v=""/>
    <x v="1"/>
    <s v="Lib"/>
    <s v="L"/>
    <x v="3"/>
    <n v="4.7549999999999999"/>
    <n v="9.51"/>
    <x v="3"/>
    <x v="1"/>
    <x v="1"/>
  </r>
  <r>
    <s v="CPV-90280-133"/>
    <x v="13"/>
    <s v="66458-91190-YC"/>
    <s v="R-D-0.2"/>
    <n v="3"/>
    <x v="464"/>
    <s v="murione5@alexa.com"/>
    <x v="1"/>
    <s v="Rob"/>
    <s v="D"/>
    <x v="3"/>
    <n v="2.6849999999999996"/>
    <n v="8.0549999999999997"/>
    <x v="0"/>
    <x v="2"/>
    <x v="0"/>
  </r>
  <r>
    <s v="OGW-60685-912"/>
    <x v="224"/>
    <s v="67423-10113-LM"/>
    <s v="E-D-2.5"/>
    <n v="4"/>
    <x v="496"/>
    <s v="hbranganex@woothemes.com"/>
    <x v="0"/>
    <s v="Exc"/>
    <s v="D"/>
    <x v="2"/>
    <n v="27.945"/>
    <n v="111.78"/>
    <x v="1"/>
    <x v="2"/>
    <x v="0"/>
  </r>
  <r>
    <s v="DEC-11160-362"/>
    <x v="220"/>
    <s v="48582-05061-RY"/>
    <s v="R-D-0.2"/>
    <n v="4"/>
    <x v="497"/>
    <s v="agallyoney@engadget.com"/>
    <x v="0"/>
    <s v="Rob"/>
    <s v="D"/>
    <x v="3"/>
    <n v="2.6849999999999996"/>
    <n v="10.739999999999998"/>
    <x v="0"/>
    <x v="2"/>
    <x v="0"/>
  </r>
  <r>
    <s v="WCT-07869-499"/>
    <x v="91"/>
    <s v="32031-49093-KE"/>
    <s v="R-D-0.5"/>
    <n v="5"/>
    <x v="498"/>
    <s v="bdomangeez@yahoo.co.jp"/>
    <x v="0"/>
    <s v="Rob"/>
    <s v="D"/>
    <x v="1"/>
    <n v="5.3699999999999992"/>
    <n v="26.849999999999994"/>
    <x v="0"/>
    <x v="2"/>
    <x v="1"/>
  </r>
  <r>
    <s v="FHD-89872-325"/>
    <x v="425"/>
    <s v="31715-98714-OO"/>
    <s v="L-L-1"/>
    <n v="4"/>
    <x v="499"/>
    <s v="koslerf0@gmpg.org"/>
    <x v="0"/>
    <s v="Lib"/>
    <s v="L"/>
    <x v="0"/>
    <n v="15.85"/>
    <n v="63.4"/>
    <x v="3"/>
    <x v="1"/>
    <x v="0"/>
  </r>
  <r>
    <s v="AZF-45991-584"/>
    <x v="426"/>
    <s v="73759-17258-KA"/>
    <s v="A-D-2.5"/>
    <n v="1"/>
    <x v="500"/>
    <s v=""/>
    <x v="1"/>
    <s v="Ara"/>
    <s v="D"/>
    <x v="2"/>
    <n v="22.884999999999998"/>
    <n v="22.884999999999998"/>
    <x v="2"/>
    <x v="2"/>
    <x v="0"/>
  </r>
  <r>
    <s v="MDG-14481-513"/>
    <x v="427"/>
    <s v="64897-79178-MH"/>
    <s v="A-M-2.5"/>
    <n v="4"/>
    <x v="501"/>
    <s v="zpellettf2@dailymotion.com"/>
    <x v="0"/>
    <s v="Ara"/>
    <s v="M"/>
    <x v="2"/>
    <n v="25.874999999999996"/>
    <n v="103.49999999999999"/>
    <x v="2"/>
    <x v="0"/>
    <x v="1"/>
  </r>
  <r>
    <s v="OFN-49424-848"/>
    <x v="428"/>
    <s v="73346-85564-JB"/>
    <s v="R-L-2.5"/>
    <n v="2"/>
    <x v="502"/>
    <s v="isprakesf3@spiegel.de"/>
    <x v="0"/>
    <s v="Rob"/>
    <s v="L"/>
    <x v="2"/>
    <n v="27.484999999999996"/>
    <n v="54.969999999999992"/>
    <x v="0"/>
    <x v="1"/>
    <x v="1"/>
  </r>
  <r>
    <s v="NFA-03411-746"/>
    <x v="383"/>
    <s v="07476-13102-NJ"/>
    <s v="A-L-0.5"/>
    <n v="2"/>
    <x v="503"/>
    <s v="hfromantf4@ucsd.edu"/>
    <x v="0"/>
    <s v="Ara"/>
    <s v="L"/>
    <x v="1"/>
    <n v="7.77"/>
    <n v="15.54"/>
    <x v="2"/>
    <x v="1"/>
    <x v="1"/>
  </r>
  <r>
    <s v="CYM-74988-450"/>
    <x v="156"/>
    <s v="87223-37422-SK"/>
    <s v="L-D-0.2"/>
    <n v="4"/>
    <x v="504"/>
    <s v="rflearf5@artisteer.com"/>
    <x v="2"/>
    <s v="Lib"/>
    <s v="D"/>
    <x v="3"/>
    <n v="3.8849999999999998"/>
    <n v="15.54"/>
    <x v="3"/>
    <x v="2"/>
    <x v="1"/>
  </r>
  <r>
    <s v="WTV-24996-658"/>
    <x v="429"/>
    <s v="57837-15577-YK"/>
    <s v="E-D-2.5"/>
    <n v="3"/>
    <x v="505"/>
    <s v=""/>
    <x v="1"/>
    <s v="Exc"/>
    <s v="D"/>
    <x v="2"/>
    <n v="27.945"/>
    <n v="83.835000000000008"/>
    <x v="1"/>
    <x v="2"/>
    <x v="1"/>
  </r>
  <r>
    <s v="DSL-69915-544"/>
    <x v="103"/>
    <s v="10142-55267-YO"/>
    <s v="R-L-0.2"/>
    <n v="3"/>
    <x v="506"/>
    <s v="wlightollersf9@baidu.com"/>
    <x v="0"/>
    <s v="Rob"/>
    <s v="L"/>
    <x v="3"/>
    <n v="3.5849999999999995"/>
    <n v="10.754999999999999"/>
    <x v="0"/>
    <x v="1"/>
    <x v="0"/>
  </r>
  <r>
    <s v="NBT-35757-542"/>
    <x v="361"/>
    <s v="73647-66148-VM"/>
    <s v="E-L-0.2"/>
    <n v="3"/>
    <x v="507"/>
    <s v="bmundenf8@elpais.com"/>
    <x v="0"/>
    <s v="Exc"/>
    <s v="L"/>
    <x v="3"/>
    <n v="4.4550000000000001"/>
    <n v="13.365"/>
    <x v="1"/>
    <x v="1"/>
    <x v="0"/>
  </r>
  <r>
    <s v="OYU-25085-528"/>
    <x v="120"/>
    <s v="10142-55267-YO"/>
    <s v="E-L-0.2"/>
    <n v="4"/>
    <x v="506"/>
    <s v="wlightollersf9@baidu.com"/>
    <x v="0"/>
    <s v="Exc"/>
    <s v="L"/>
    <x v="3"/>
    <n v="4.4550000000000001"/>
    <n v="17.82"/>
    <x v="1"/>
    <x v="1"/>
    <x v="0"/>
  </r>
  <r>
    <s v="XCG-07109-195"/>
    <x v="430"/>
    <s v="92976-19453-DT"/>
    <s v="L-D-0.2"/>
    <n v="6"/>
    <x v="508"/>
    <s v="nbrakespearfa@rediff.com"/>
    <x v="0"/>
    <s v="Lib"/>
    <s v="D"/>
    <x v="3"/>
    <n v="3.8849999999999998"/>
    <n v="23.31"/>
    <x v="3"/>
    <x v="2"/>
    <x v="0"/>
  </r>
  <r>
    <s v="YZA-25234-630"/>
    <x v="125"/>
    <s v="89757-51438-HX"/>
    <s v="E-D-0.2"/>
    <n v="2"/>
    <x v="509"/>
    <s v="mglawsopfb@reverbnation.com"/>
    <x v="0"/>
    <s v="Exc"/>
    <s v="D"/>
    <x v="3"/>
    <n v="3.645"/>
    <n v="7.29"/>
    <x v="1"/>
    <x v="2"/>
    <x v="1"/>
  </r>
  <r>
    <s v="OKU-29966-417"/>
    <x v="431"/>
    <s v="76192-13390-HZ"/>
    <s v="E-L-0.2"/>
    <n v="4"/>
    <x v="510"/>
    <s v="galbertsfc@etsy.com"/>
    <x v="2"/>
    <s v="Exc"/>
    <s v="L"/>
    <x v="3"/>
    <n v="4.4550000000000001"/>
    <n v="17.82"/>
    <x v="1"/>
    <x v="1"/>
    <x v="0"/>
  </r>
  <r>
    <s v="MEX-29350-659"/>
    <x v="40"/>
    <s v="02009-87294-SY"/>
    <s v="E-M-1"/>
    <n v="5"/>
    <x v="511"/>
    <s v="vpolglasefd@about.me"/>
    <x v="0"/>
    <s v="Exc"/>
    <s v="M"/>
    <x v="0"/>
    <n v="13.75"/>
    <n v="68.75"/>
    <x v="1"/>
    <x v="0"/>
    <x v="1"/>
  </r>
  <r>
    <s v="NOY-99738-977"/>
    <x v="432"/>
    <s v="82872-34456-LJ"/>
    <s v="R-L-2.5"/>
    <n v="2"/>
    <x v="512"/>
    <s v=""/>
    <x v="2"/>
    <s v="Rob"/>
    <s v="L"/>
    <x v="2"/>
    <n v="27.484999999999996"/>
    <n v="54.969999999999992"/>
    <x v="0"/>
    <x v="1"/>
    <x v="0"/>
  </r>
  <r>
    <s v="TCR-01064-030"/>
    <x v="254"/>
    <s v="13181-04387-LI"/>
    <s v="E-M-1"/>
    <n v="6"/>
    <x v="513"/>
    <s v="sbuschff@so-net.ne.jp"/>
    <x v="1"/>
    <s v="Exc"/>
    <s v="M"/>
    <x v="0"/>
    <n v="13.75"/>
    <n v="82.5"/>
    <x v="1"/>
    <x v="0"/>
    <x v="1"/>
  </r>
  <r>
    <s v="YUL-42750-776"/>
    <x v="219"/>
    <s v="24845-36117-TI"/>
    <s v="L-M-0.2"/>
    <n v="2"/>
    <x v="514"/>
    <s v="craisbeckfg@webnode.com"/>
    <x v="0"/>
    <s v="Lib"/>
    <s v="M"/>
    <x v="3"/>
    <n v="4.3650000000000002"/>
    <n v="8.73"/>
    <x v="3"/>
    <x v="0"/>
    <x v="0"/>
  </r>
  <r>
    <s v="XQJ-86887-506"/>
    <x v="433"/>
    <s v="66458-91190-YC"/>
    <s v="E-L-1"/>
    <n v="4"/>
    <x v="464"/>
    <s v="murione5@alexa.com"/>
    <x v="1"/>
    <s v="Exc"/>
    <s v="L"/>
    <x v="0"/>
    <n v="14.85"/>
    <n v="59.4"/>
    <x v="1"/>
    <x v="1"/>
    <x v="0"/>
  </r>
  <r>
    <s v="CUN-90044-279"/>
    <x v="434"/>
    <s v="86646-65810-TD"/>
    <s v="L-D-0.2"/>
    <n v="4"/>
    <x v="515"/>
    <s v=""/>
    <x v="0"/>
    <s v="Lib"/>
    <s v="D"/>
    <x v="3"/>
    <n v="3.8849999999999998"/>
    <n v="15.54"/>
    <x v="3"/>
    <x v="2"/>
    <x v="0"/>
  </r>
  <r>
    <s v="ICC-73030-502"/>
    <x v="435"/>
    <s v="59480-02795-IU"/>
    <s v="A-L-1"/>
    <n v="3"/>
    <x v="516"/>
    <s v="raynoldfj@ustream.tv"/>
    <x v="0"/>
    <s v="Ara"/>
    <s v="L"/>
    <x v="0"/>
    <n v="12.95"/>
    <n v="38.849999999999994"/>
    <x v="2"/>
    <x v="1"/>
    <x v="0"/>
  </r>
  <r>
    <s v="ADP-04506-084"/>
    <x v="436"/>
    <s v="61809-87758-LJ"/>
    <s v="E-M-2.5"/>
    <n v="6"/>
    <x v="517"/>
    <s v=""/>
    <x v="0"/>
    <s v="Exc"/>
    <s v="M"/>
    <x v="2"/>
    <n v="31.624999999999996"/>
    <n v="189.74999999999997"/>
    <x v="1"/>
    <x v="0"/>
    <x v="0"/>
  </r>
  <r>
    <s v="PNU-22150-408"/>
    <x v="437"/>
    <s v="77408-43873-RS"/>
    <s v="A-D-0.2"/>
    <n v="6"/>
    <x v="518"/>
    <s v=""/>
    <x v="1"/>
    <s v="Ara"/>
    <s v="D"/>
    <x v="3"/>
    <n v="2.9849999999999999"/>
    <n v="17.91"/>
    <x v="2"/>
    <x v="2"/>
    <x v="0"/>
  </r>
  <r>
    <s v="VSQ-07182-513"/>
    <x v="438"/>
    <s v="18366-65239-WF"/>
    <s v="L-L-0.2"/>
    <n v="6"/>
    <x v="519"/>
    <s v="bgrecefm@naver.com"/>
    <x v="2"/>
    <s v="Lib"/>
    <s v="L"/>
    <x v="3"/>
    <n v="4.7549999999999999"/>
    <n v="28.53"/>
    <x v="3"/>
    <x v="1"/>
    <x v="1"/>
  </r>
  <r>
    <s v="SPF-31673-217"/>
    <x v="439"/>
    <s v="19485-98072-PS"/>
    <s v="E-M-1"/>
    <n v="6"/>
    <x v="520"/>
    <s v="dflintiffg1@e-recht24.de"/>
    <x v="2"/>
    <s v="Exc"/>
    <s v="M"/>
    <x v="0"/>
    <n v="13.75"/>
    <n v="82.5"/>
    <x v="1"/>
    <x v="0"/>
    <x v="1"/>
  </r>
  <r>
    <s v="NEX-63825-598"/>
    <x v="175"/>
    <s v="72072-33025-SD"/>
    <s v="R-L-0.5"/>
    <n v="2"/>
    <x v="521"/>
    <s v="athysfo@cdc.gov"/>
    <x v="0"/>
    <s v="Rob"/>
    <s v="L"/>
    <x v="1"/>
    <n v="7.169999999999999"/>
    <n v="14.339999999999998"/>
    <x v="0"/>
    <x v="1"/>
    <x v="1"/>
  </r>
  <r>
    <s v="XPG-66112-335"/>
    <x v="440"/>
    <s v="58118-22461-GC"/>
    <s v="R-D-2.5"/>
    <n v="4"/>
    <x v="522"/>
    <s v="jchuggfp@about.me"/>
    <x v="0"/>
    <s v="Rob"/>
    <s v="D"/>
    <x v="2"/>
    <n v="20.584999999999997"/>
    <n v="82.339999999999989"/>
    <x v="0"/>
    <x v="2"/>
    <x v="1"/>
  </r>
  <r>
    <s v="NSQ-72210-345"/>
    <x v="441"/>
    <s v="90940-63327-DJ"/>
    <s v="A-M-0.2"/>
    <n v="6"/>
    <x v="523"/>
    <s v="akelstonfq@sakura.ne.jp"/>
    <x v="0"/>
    <s v="Ara"/>
    <s v="M"/>
    <x v="3"/>
    <n v="3.375"/>
    <n v="20.25"/>
    <x v="2"/>
    <x v="0"/>
    <x v="0"/>
  </r>
  <r>
    <s v="XRR-28376-277"/>
    <x v="442"/>
    <s v="64481-42546-II"/>
    <s v="R-L-2.5"/>
    <n v="6"/>
    <x v="524"/>
    <s v=""/>
    <x v="1"/>
    <s v="Rob"/>
    <s v="L"/>
    <x v="2"/>
    <n v="27.484999999999996"/>
    <n v="164.90999999999997"/>
    <x v="0"/>
    <x v="1"/>
    <x v="1"/>
  </r>
  <r>
    <s v="WHQ-25197-475"/>
    <x v="443"/>
    <s v="27536-28463-NJ"/>
    <s v="L-L-0.2"/>
    <n v="4"/>
    <x v="525"/>
    <s v="cmottramfs@harvard.edu"/>
    <x v="0"/>
    <s v="Lib"/>
    <s v="L"/>
    <x v="3"/>
    <n v="4.7549999999999999"/>
    <n v="19.02"/>
    <x v="3"/>
    <x v="1"/>
    <x v="0"/>
  </r>
  <r>
    <s v="HMB-30634-745"/>
    <x v="216"/>
    <s v="19485-98072-PS"/>
    <s v="A-D-2.5"/>
    <n v="6"/>
    <x v="520"/>
    <s v="dflintiffg1@e-recht24.de"/>
    <x v="2"/>
    <s v="Ara"/>
    <s v="D"/>
    <x v="2"/>
    <n v="22.884999999999998"/>
    <n v="137.31"/>
    <x v="2"/>
    <x v="2"/>
    <x v="1"/>
  </r>
  <r>
    <s v="XTL-68000-371"/>
    <x v="444"/>
    <s v="70140-82812-KD"/>
    <s v="A-M-0.5"/>
    <n v="4"/>
    <x v="526"/>
    <s v="dsangwinfu@weebly.com"/>
    <x v="0"/>
    <s v="Ara"/>
    <s v="M"/>
    <x v="1"/>
    <n v="6.75"/>
    <n v="27"/>
    <x v="2"/>
    <x v="0"/>
    <x v="1"/>
  </r>
  <r>
    <s v="YES-51109-625"/>
    <x v="37"/>
    <s v="91895-55605-LS"/>
    <s v="E-L-0.5"/>
    <n v="4"/>
    <x v="527"/>
    <s v="eaizikowitzfv@virginia.edu"/>
    <x v="2"/>
    <s v="Exc"/>
    <s v="L"/>
    <x v="1"/>
    <n v="8.91"/>
    <n v="35.64"/>
    <x v="1"/>
    <x v="1"/>
    <x v="1"/>
  </r>
  <r>
    <s v="EAY-89850-211"/>
    <x v="445"/>
    <s v="43155-71724-XP"/>
    <s v="A-D-0.2"/>
    <n v="2"/>
    <x v="528"/>
    <s v=""/>
    <x v="0"/>
    <s v="Ara"/>
    <s v="D"/>
    <x v="3"/>
    <n v="2.9849999999999999"/>
    <n v="5.97"/>
    <x v="2"/>
    <x v="2"/>
    <x v="0"/>
  </r>
  <r>
    <s v="IOQ-84840-827"/>
    <x v="446"/>
    <s v="32038-81174-JF"/>
    <s v="A-M-1"/>
    <n v="6"/>
    <x v="529"/>
    <s v="cvenourfx@ask.com"/>
    <x v="0"/>
    <s v="Ara"/>
    <s v="M"/>
    <x v="0"/>
    <n v="11.25"/>
    <n v="67.5"/>
    <x v="2"/>
    <x v="0"/>
    <x v="1"/>
  </r>
  <r>
    <s v="FBD-56220-430"/>
    <x v="245"/>
    <s v="59205-20324-NB"/>
    <s v="R-L-0.2"/>
    <n v="6"/>
    <x v="530"/>
    <s v="mharbyfy@163.com"/>
    <x v="0"/>
    <s v="Rob"/>
    <s v="L"/>
    <x v="3"/>
    <n v="3.5849999999999995"/>
    <n v="21.509999999999998"/>
    <x v="0"/>
    <x v="1"/>
    <x v="0"/>
  </r>
  <r>
    <s v="COV-52659-202"/>
    <x v="447"/>
    <s v="99899-54612-NX"/>
    <s v="L-M-2.5"/>
    <n v="2"/>
    <x v="531"/>
    <s v="rthickpennyfz@cafepress.com"/>
    <x v="0"/>
    <s v="Lib"/>
    <s v="M"/>
    <x v="2"/>
    <n v="33.464999999999996"/>
    <n v="66.929999999999993"/>
    <x v="3"/>
    <x v="0"/>
    <x v="1"/>
  </r>
  <r>
    <s v="YUO-76652-814"/>
    <x v="448"/>
    <s v="26248-84194-FI"/>
    <s v="A-D-0.2"/>
    <n v="6"/>
    <x v="532"/>
    <s v="pormerodg0@redcross.org"/>
    <x v="0"/>
    <s v="Ara"/>
    <s v="D"/>
    <x v="3"/>
    <n v="2.9849999999999999"/>
    <n v="17.91"/>
    <x v="2"/>
    <x v="2"/>
    <x v="1"/>
  </r>
  <r>
    <s v="PBT-36926-102"/>
    <x v="344"/>
    <s v="19485-98072-PS"/>
    <s v="L-M-1"/>
    <n v="4"/>
    <x v="520"/>
    <s v="dflintiffg1@e-recht24.de"/>
    <x v="2"/>
    <s v="Lib"/>
    <s v="M"/>
    <x v="0"/>
    <n v="14.55"/>
    <n v="58.2"/>
    <x v="3"/>
    <x v="0"/>
    <x v="1"/>
  </r>
  <r>
    <s v="BLV-60087-454"/>
    <x v="152"/>
    <s v="84493-71314-WX"/>
    <s v="E-L-0.2"/>
    <n v="3"/>
    <x v="533"/>
    <s v="tzanettig2@gravatar.com"/>
    <x v="1"/>
    <s v="Exc"/>
    <s v="L"/>
    <x v="3"/>
    <n v="4.4550000000000001"/>
    <n v="13.365"/>
    <x v="1"/>
    <x v="1"/>
    <x v="1"/>
  </r>
  <r>
    <s v="BLV-60087-454"/>
    <x v="152"/>
    <s v="84493-71314-WX"/>
    <s v="A-M-0.5"/>
    <n v="5"/>
    <x v="533"/>
    <s v="tzanettig2@gravatar.com"/>
    <x v="1"/>
    <s v="Ara"/>
    <s v="M"/>
    <x v="1"/>
    <n v="6.75"/>
    <n v="33.75"/>
    <x v="2"/>
    <x v="0"/>
    <x v="1"/>
  </r>
  <r>
    <s v="QYC-63914-195"/>
    <x v="449"/>
    <s v="39789-43945-IV"/>
    <s v="E-L-1"/>
    <n v="3"/>
    <x v="534"/>
    <s v="rkirtleyg4@hatena.ne.jp"/>
    <x v="0"/>
    <s v="Exc"/>
    <s v="L"/>
    <x v="0"/>
    <n v="14.85"/>
    <n v="44.55"/>
    <x v="1"/>
    <x v="1"/>
    <x v="0"/>
  </r>
  <r>
    <s v="OIB-77163-890"/>
    <x v="450"/>
    <s v="38972-89678-ZM"/>
    <s v="E-L-0.5"/>
    <n v="5"/>
    <x v="535"/>
    <s v="cclemencetg5@weather.com"/>
    <x v="2"/>
    <s v="Exc"/>
    <s v="L"/>
    <x v="1"/>
    <n v="8.91"/>
    <n v="44.55"/>
    <x v="1"/>
    <x v="1"/>
    <x v="0"/>
  </r>
  <r>
    <s v="SGS-87525-238"/>
    <x v="451"/>
    <s v="91465-84526-IJ"/>
    <s v="E-D-1"/>
    <n v="5"/>
    <x v="536"/>
    <s v="rdonetg6@oakley.com"/>
    <x v="0"/>
    <s v="Exc"/>
    <s v="D"/>
    <x v="0"/>
    <n v="12.15"/>
    <n v="60.75"/>
    <x v="1"/>
    <x v="2"/>
    <x v="1"/>
  </r>
  <r>
    <s v="GQR-12490-152"/>
    <x v="83"/>
    <s v="22832-98538-RB"/>
    <s v="R-L-0.2"/>
    <n v="1"/>
    <x v="537"/>
    <s v="sgaweng7@creativecommons.org"/>
    <x v="0"/>
    <s v="Rob"/>
    <s v="L"/>
    <x v="3"/>
    <n v="3.5849999999999995"/>
    <n v="3.5849999999999995"/>
    <x v="0"/>
    <x v="1"/>
    <x v="0"/>
  </r>
  <r>
    <s v="UOJ-28238-299"/>
    <x v="452"/>
    <s v="30844-91890-ZA"/>
    <s v="R-L-0.2"/>
    <n v="6"/>
    <x v="538"/>
    <s v="rreadieg8@guardian.co.uk"/>
    <x v="0"/>
    <s v="Rob"/>
    <s v="L"/>
    <x v="3"/>
    <n v="3.5849999999999995"/>
    <n v="21.509999999999998"/>
    <x v="0"/>
    <x v="1"/>
    <x v="1"/>
  </r>
  <r>
    <s v="ETD-58130-674"/>
    <x v="453"/>
    <s v="05325-97750-WP"/>
    <s v="E-M-0.5"/>
    <n v="2"/>
    <x v="539"/>
    <s v="cverissimogh@theglobeandmail.com"/>
    <x v="2"/>
    <s v="Exc"/>
    <s v="M"/>
    <x v="1"/>
    <n v="8.25"/>
    <n v="16.5"/>
    <x v="1"/>
    <x v="0"/>
    <x v="0"/>
  </r>
  <r>
    <s v="UPF-60123-025"/>
    <x v="454"/>
    <s v="88992-49081-AT"/>
    <s v="R-L-2.5"/>
    <n v="3"/>
    <x v="540"/>
    <s v=""/>
    <x v="0"/>
    <s v="Rob"/>
    <s v="L"/>
    <x v="2"/>
    <n v="27.484999999999996"/>
    <n v="82.454999999999984"/>
    <x v="0"/>
    <x v="1"/>
    <x v="1"/>
  </r>
  <r>
    <s v="NQS-01613-687"/>
    <x v="455"/>
    <s v="10204-31464-SA"/>
    <s v="L-D-0.5"/>
    <n v="1"/>
    <x v="541"/>
    <s v="bogb@elpais.com"/>
    <x v="0"/>
    <s v="Lib"/>
    <s v="D"/>
    <x v="1"/>
    <n v="7.77"/>
    <n v="7.77"/>
    <x v="3"/>
    <x v="2"/>
    <x v="0"/>
  </r>
  <r>
    <s v="MGH-36050-573"/>
    <x v="456"/>
    <s v="75156-80911-YT"/>
    <s v="R-M-0.5"/>
    <n v="2"/>
    <x v="542"/>
    <s v="vstansburygc@unblog.fr"/>
    <x v="0"/>
    <s v="Rob"/>
    <s v="M"/>
    <x v="1"/>
    <n v="5.97"/>
    <n v="11.94"/>
    <x v="0"/>
    <x v="0"/>
    <x v="0"/>
  </r>
  <r>
    <s v="UVF-59322-459"/>
    <x v="373"/>
    <s v="53971-49906-PZ"/>
    <s v="E-L-2.5"/>
    <n v="6"/>
    <x v="543"/>
    <s v="dheinonengd@printfriendly.com"/>
    <x v="0"/>
    <s v="Exc"/>
    <s v="L"/>
    <x v="2"/>
    <n v="34.154999999999994"/>
    <n v="204.92999999999995"/>
    <x v="1"/>
    <x v="1"/>
    <x v="1"/>
  </r>
  <r>
    <s v="VET-41158-896"/>
    <x v="457"/>
    <s v="10728-17633-ST"/>
    <s v="E-M-2.5"/>
    <n v="2"/>
    <x v="544"/>
    <s v="jshentonge@google.com.hk"/>
    <x v="0"/>
    <s v="Exc"/>
    <s v="M"/>
    <x v="2"/>
    <n v="31.624999999999996"/>
    <n v="63.249999999999993"/>
    <x v="1"/>
    <x v="0"/>
    <x v="0"/>
  </r>
  <r>
    <s v="XYL-52196-459"/>
    <x v="458"/>
    <s v="13549-65017-VE"/>
    <s v="R-D-0.2"/>
    <n v="3"/>
    <x v="545"/>
    <s v="jwilkissongf@nba.com"/>
    <x v="0"/>
    <s v="Rob"/>
    <s v="D"/>
    <x v="3"/>
    <n v="2.6849999999999996"/>
    <n v="8.0549999999999997"/>
    <x v="0"/>
    <x v="2"/>
    <x v="0"/>
  </r>
  <r>
    <s v="BPZ-51283-916"/>
    <x v="264"/>
    <s v="87688-42420-TO"/>
    <s v="A-M-2.5"/>
    <n v="2"/>
    <x v="546"/>
    <s v=""/>
    <x v="0"/>
    <s v="Ara"/>
    <s v="M"/>
    <x v="2"/>
    <n v="25.874999999999996"/>
    <n v="51.749999999999993"/>
    <x v="2"/>
    <x v="0"/>
    <x v="1"/>
  </r>
  <r>
    <s v="VQW-91903-926"/>
    <x v="459"/>
    <s v="05325-97750-WP"/>
    <s v="E-D-2.5"/>
    <n v="1"/>
    <x v="539"/>
    <s v="cverissimogh@theglobeandmail.com"/>
    <x v="2"/>
    <s v="Exc"/>
    <s v="D"/>
    <x v="2"/>
    <n v="27.945"/>
    <n v="27.945"/>
    <x v="1"/>
    <x v="2"/>
    <x v="0"/>
  </r>
  <r>
    <s v="OLF-77983-457"/>
    <x v="460"/>
    <s v="51901-35210-UI"/>
    <s v="A-L-2.5"/>
    <n v="2"/>
    <x v="547"/>
    <s v="gstarcksgi@abc.net.au"/>
    <x v="0"/>
    <s v="Ara"/>
    <s v="L"/>
    <x v="2"/>
    <n v="29.784999999999997"/>
    <n v="59.569999999999993"/>
    <x v="2"/>
    <x v="1"/>
    <x v="1"/>
  </r>
  <r>
    <s v="MVI-04946-827"/>
    <x v="461"/>
    <s v="62483-50867-OM"/>
    <s v="E-L-1"/>
    <n v="1"/>
    <x v="548"/>
    <s v=""/>
    <x v="2"/>
    <s v="Exc"/>
    <s v="L"/>
    <x v="0"/>
    <n v="14.85"/>
    <n v="14.85"/>
    <x v="1"/>
    <x v="1"/>
    <x v="1"/>
  </r>
  <r>
    <s v="UOG-94188-104"/>
    <x v="219"/>
    <s v="92753-50029-SD"/>
    <s v="A-M-0.5"/>
    <n v="5"/>
    <x v="549"/>
    <s v="kscholardgk@sbwire.com"/>
    <x v="0"/>
    <s v="Ara"/>
    <s v="M"/>
    <x v="1"/>
    <n v="6.75"/>
    <n v="33.75"/>
    <x v="2"/>
    <x v="0"/>
    <x v="1"/>
  </r>
  <r>
    <s v="DSN-15872-519"/>
    <x v="462"/>
    <s v="53809-98498-SN"/>
    <s v="L-L-2.5"/>
    <n v="4"/>
    <x v="550"/>
    <s v="bkindleygl@wikimedia.org"/>
    <x v="0"/>
    <s v="Lib"/>
    <s v="L"/>
    <x v="2"/>
    <n v="36.454999999999998"/>
    <n v="145.82"/>
    <x v="3"/>
    <x v="1"/>
    <x v="0"/>
  </r>
  <r>
    <s v="OUQ-73954-002"/>
    <x v="463"/>
    <s v="66308-13503-KD"/>
    <s v="R-M-0.2"/>
    <n v="4"/>
    <x v="551"/>
    <s v="khammettgm@dmoz.org"/>
    <x v="0"/>
    <s v="Rob"/>
    <s v="M"/>
    <x v="3"/>
    <n v="2.9849999999999999"/>
    <n v="11.94"/>
    <x v="0"/>
    <x v="0"/>
    <x v="0"/>
  </r>
  <r>
    <s v="LGL-16843-667"/>
    <x v="464"/>
    <s v="82458-87830-JE"/>
    <s v="A-D-0.2"/>
    <n v="4"/>
    <x v="552"/>
    <s v="ahulburtgn@fda.gov"/>
    <x v="0"/>
    <s v="Ara"/>
    <s v="D"/>
    <x v="3"/>
    <n v="2.9849999999999999"/>
    <n v="11.94"/>
    <x v="2"/>
    <x v="2"/>
    <x v="0"/>
  </r>
  <r>
    <s v="TCC-89722-031"/>
    <x v="465"/>
    <s v="41611-34336-WT"/>
    <s v="L-D-0.5"/>
    <n v="1"/>
    <x v="553"/>
    <s v="plauritzengo@photobucket.com"/>
    <x v="0"/>
    <s v="Lib"/>
    <s v="D"/>
    <x v="1"/>
    <n v="7.77"/>
    <n v="7.77"/>
    <x v="3"/>
    <x v="2"/>
    <x v="1"/>
  </r>
  <r>
    <s v="TRA-79507-007"/>
    <x v="466"/>
    <s v="70089-27418-UJ"/>
    <s v="R-L-2.5"/>
    <n v="4"/>
    <x v="554"/>
    <s v="aburgwingp@redcross.org"/>
    <x v="0"/>
    <s v="Rob"/>
    <s v="L"/>
    <x v="2"/>
    <n v="27.484999999999996"/>
    <n v="109.93999999999998"/>
    <x v="0"/>
    <x v="1"/>
    <x v="0"/>
  </r>
  <r>
    <s v="MZJ-77284-941"/>
    <x v="467"/>
    <s v="99978-56910-BN"/>
    <s v="E-L-0.2"/>
    <n v="5"/>
    <x v="555"/>
    <s v="erolingq@google.fr"/>
    <x v="0"/>
    <s v="Exc"/>
    <s v="L"/>
    <x v="3"/>
    <n v="4.4550000000000001"/>
    <n v="22.274999999999999"/>
    <x v="1"/>
    <x v="1"/>
    <x v="0"/>
  </r>
  <r>
    <s v="AXN-57779-891"/>
    <x v="468"/>
    <s v="09668-23340-IC"/>
    <s v="R-M-0.2"/>
    <n v="3"/>
    <x v="556"/>
    <s v="dfowlegr@epa.gov"/>
    <x v="0"/>
    <s v="Rob"/>
    <s v="M"/>
    <x v="3"/>
    <n v="2.9849999999999999"/>
    <n v="8.9550000000000001"/>
    <x v="0"/>
    <x v="0"/>
    <x v="1"/>
  </r>
  <r>
    <s v="PJB-15659-994"/>
    <x v="469"/>
    <s v="39457-62611-YK"/>
    <s v="L-D-2.5"/>
    <n v="4"/>
    <x v="557"/>
    <s v=""/>
    <x v="1"/>
    <s v="Lib"/>
    <s v="D"/>
    <x v="2"/>
    <n v="29.784999999999997"/>
    <n v="119.13999999999999"/>
    <x v="3"/>
    <x v="2"/>
    <x v="1"/>
  </r>
  <r>
    <s v="LTS-03470-353"/>
    <x v="470"/>
    <s v="90985-89807-RW"/>
    <s v="A-L-2.5"/>
    <n v="5"/>
    <x v="558"/>
    <s v="wpowleslandgt@soundcloud.com"/>
    <x v="0"/>
    <s v="Ara"/>
    <s v="L"/>
    <x v="2"/>
    <n v="29.784999999999997"/>
    <n v="148.92499999999998"/>
    <x v="2"/>
    <x v="1"/>
    <x v="0"/>
  </r>
  <r>
    <s v="UMM-28497-689"/>
    <x v="471"/>
    <s v="05325-97750-WP"/>
    <s v="L-L-2.5"/>
    <n v="3"/>
    <x v="539"/>
    <s v="cverissimogh@theglobeandmail.com"/>
    <x v="2"/>
    <s v="Lib"/>
    <s v="L"/>
    <x v="2"/>
    <n v="36.454999999999998"/>
    <n v="109.36499999999999"/>
    <x v="3"/>
    <x v="1"/>
    <x v="0"/>
  </r>
  <r>
    <s v="MJZ-93232-402"/>
    <x v="472"/>
    <s v="17816-67941-ZS"/>
    <s v="E-D-0.2"/>
    <n v="1"/>
    <x v="559"/>
    <s v="lellinghamgv@sciencedaily.com"/>
    <x v="0"/>
    <s v="Exc"/>
    <s v="D"/>
    <x v="3"/>
    <n v="3.645"/>
    <n v="3.645"/>
    <x v="1"/>
    <x v="2"/>
    <x v="0"/>
  </r>
  <r>
    <s v="UHW-74617-126"/>
    <x v="173"/>
    <s v="90816-65619-LM"/>
    <s v="E-D-2.5"/>
    <n v="2"/>
    <x v="560"/>
    <s v=""/>
    <x v="0"/>
    <s v="Exc"/>
    <s v="D"/>
    <x v="2"/>
    <n v="27.945"/>
    <n v="55.89"/>
    <x v="1"/>
    <x v="2"/>
    <x v="1"/>
  </r>
  <r>
    <s v="RIK-61730-794"/>
    <x v="473"/>
    <s v="69761-61146-KD"/>
    <s v="L-M-0.2"/>
    <n v="6"/>
    <x v="561"/>
    <s v="afendtgx@forbes.com"/>
    <x v="0"/>
    <s v="Lib"/>
    <s v="M"/>
    <x v="3"/>
    <n v="4.3650000000000002"/>
    <n v="26.19"/>
    <x v="3"/>
    <x v="0"/>
    <x v="0"/>
  </r>
  <r>
    <s v="IDJ-55379-750"/>
    <x v="474"/>
    <s v="24040-20817-QB"/>
    <s v="R-M-1"/>
    <n v="4"/>
    <x v="562"/>
    <s v="acleyburngy@lycos.com"/>
    <x v="0"/>
    <s v="Rob"/>
    <s v="M"/>
    <x v="0"/>
    <n v="9.9499999999999993"/>
    <n v="39.799999999999997"/>
    <x v="0"/>
    <x v="0"/>
    <x v="1"/>
  </r>
  <r>
    <s v="OHX-11953-965"/>
    <x v="475"/>
    <s v="19524-21432-XP"/>
    <s v="E-L-2.5"/>
    <n v="2"/>
    <x v="563"/>
    <s v="tcastiglionegz@xing.com"/>
    <x v="0"/>
    <s v="Exc"/>
    <s v="L"/>
    <x v="2"/>
    <n v="34.154999999999994"/>
    <n v="68.309999999999988"/>
    <x v="1"/>
    <x v="1"/>
    <x v="1"/>
  </r>
  <r>
    <s v="TVV-42245-088"/>
    <x v="476"/>
    <s v="14398-43114-RV"/>
    <s v="A-M-0.2"/>
    <n v="4"/>
    <x v="564"/>
    <s v=""/>
    <x v="1"/>
    <s v="Ara"/>
    <s v="M"/>
    <x v="3"/>
    <n v="3.375"/>
    <n v="13.5"/>
    <x v="2"/>
    <x v="0"/>
    <x v="1"/>
  </r>
  <r>
    <s v="DYP-74337-787"/>
    <x v="431"/>
    <s v="41486-52502-QQ"/>
    <s v="R-M-0.5"/>
    <n v="1"/>
    <x v="565"/>
    <s v=""/>
    <x v="0"/>
    <s v="Rob"/>
    <s v="M"/>
    <x v="1"/>
    <n v="5.97"/>
    <n v="5.97"/>
    <x v="0"/>
    <x v="0"/>
    <x v="1"/>
  </r>
  <r>
    <s v="OKA-93124-100"/>
    <x v="477"/>
    <s v="05325-97750-WP"/>
    <s v="R-M-0.5"/>
    <n v="5"/>
    <x v="539"/>
    <s v="cverissimogh@theglobeandmail.com"/>
    <x v="2"/>
    <s v="Rob"/>
    <s v="M"/>
    <x v="1"/>
    <n v="5.97"/>
    <n v="29.849999999999998"/>
    <x v="0"/>
    <x v="0"/>
    <x v="0"/>
  </r>
  <r>
    <s v="IXW-20780-268"/>
    <x v="478"/>
    <s v="20236-64364-QL"/>
    <s v="L-L-2.5"/>
    <n v="2"/>
    <x v="566"/>
    <s v="scouronneh3@mozilla.org"/>
    <x v="0"/>
    <s v="Lib"/>
    <s v="L"/>
    <x v="2"/>
    <n v="36.454999999999998"/>
    <n v="72.91"/>
    <x v="3"/>
    <x v="1"/>
    <x v="0"/>
  </r>
  <r>
    <s v="NGG-24006-937"/>
    <x v="45"/>
    <s v="29102-40100-TZ"/>
    <s v="E-M-2.5"/>
    <n v="4"/>
    <x v="567"/>
    <s v="lflippellih4@github.io"/>
    <x v="2"/>
    <s v="Exc"/>
    <s v="M"/>
    <x v="2"/>
    <n v="31.624999999999996"/>
    <n v="126.49999999999999"/>
    <x v="1"/>
    <x v="0"/>
    <x v="1"/>
  </r>
  <r>
    <s v="JZC-31180-557"/>
    <x v="444"/>
    <s v="09171-42203-EB"/>
    <s v="L-M-2.5"/>
    <n v="1"/>
    <x v="568"/>
    <s v="relizabethh5@live.com"/>
    <x v="0"/>
    <s v="Lib"/>
    <s v="M"/>
    <x v="2"/>
    <n v="33.464999999999996"/>
    <n v="33.464999999999996"/>
    <x v="3"/>
    <x v="0"/>
    <x v="1"/>
  </r>
  <r>
    <s v="ZMU-63715-204"/>
    <x v="479"/>
    <s v="29060-75856-UI"/>
    <s v="E-D-1"/>
    <n v="6"/>
    <x v="569"/>
    <s v="irenhardh6@i2i.jp"/>
    <x v="0"/>
    <s v="Exc"/>
    <s v="D"/>
    <x v="0"/>
    <n v="12.15"/>
    <n v="72.900000000000006"/>
    <x v="1"/>
    <x v="2"/>
    <x v="0"/>
  </r>
  <r>
    <s v="GND-08192-056"/>
    <x v="480"/>
    <s v="17088-16989-PL"/>
    <s v="L-D-0.5"/>
    <n v="2"/>
    <x v="570"/>
    <s v="wrocheh7@xinhuanet.com"/>
    <x v="0"/>
    <s v="Lib"/>
    <s v="D"/>
    <x v="1"/>
    <n v="7.77"/>
    <n v="15.54"/>
    <x v="3"/>
    <x v="2"/>
    <x v="0"/>
  </r>
  <r>
    <s v="RYY-38961-093"/>
    <x v="481"/>
    <s v="14756-18321-CL"/>
    <s v="A-M-0.2"/>
    <n v="6"/>
    <x v="571"/>
    <s v="lalawayhh@weather.com"/>
    <x v="0"/>
    <s v="Ara"/>
    <s v="M"/>
    <x v="3"/>
    <n v="3.375"/>
    <n v="20.25"/>
    <x v="2"/>
    <x v="0"/>
    <x v="1"/>
  </r>
  <r>
    <s v="CVA-64996-969"/>
    <x v="478"/>
    <s v="13324-78688-MI"/>
    <s v="A-L-1"/>
    <n v="6"/>
    <x v="572"/>
    <s v="codgaardh9@nsw.gov.au"/>
    <x v="0"/>
    <s v="Ara"/>
    <s v="L"/>
    <x v="0"/>
    <n v="12.95"/>
    <n v="77.699999999999989"/>
    <x v="2"/>
    <x v="1"/>
    <x v="1"/>
  </r>
  <r>
    <s v="XTH-67276-442"/>
    <x v="482"/>
    <s v="73799-04749-BM"/>
    <s v="L-M-2.5"/>
    <n v="4"/>
    <x v="573"/>
    <s v="bbyrdha@4shared.com"/>
    <x v="0"/>
    <s v="Lib"/>
    <s v="M"/>
    <x v="2"/>
    <n v="33.464999999999996"/>
    <n v="133.85999999999999"/>
    <x v="3"/>
    <x v="0"/>
    <x v="1"/>
  </r>
  <r>
    <s v="PVU-02950-470"/>
    <x v="353"/>
    <s v="01927-46702-YT"/>
    <s v="E-D-1"/>
    <n v="1"/>
    <x v="574"/>
    <s v=""/>
    <x v="2"/>
    <s v="Exc"/>
    <s v="D"/>
    <x v="0"/>
    <n v="12.15"/>
    <n v="12.15"/>
    <x v="1"/>
    <x v="2"/>
    <x v="1"/>
  </r>
  <r>
    <s v="XSN-26809-910"/>
    <x v="199"/>
    <s v="80467-17137-TO"/>
    <s v="E-M-2.5"/>
    <n v="2"/>
    <x v="575"/>
    <s v="dchardinhc@nhs.uk"/>
    <x v="1"/>
    <s v="Exc"/>
    <s v="M"/>
    <x v="2"/>
    <n v="31.624999999999996"/>
    <n v="63.249999999999993"/>
    <x v="1"/>
    <x v="0"/>
    <x v="0"/>
  </r>
  <r>
    <s v="UDN-88321-005"/>
    <x v="372"/>
    <s v="14640-87215-BK"/>
    <s v="R-L-0.5"/>
    <n v="5"/>
    <x v="576"/>
    <s v="hradbonehd@newsvine.com"/>
    <x v="0"/>
    <s v="Rob"/>
    <s v="L"/>
    <x v="1"/>
    <n v="7.169999999999999"/>
    <n v="35.849999999999994"/>
    <x v="0"/>
    <x v="1"/>
    <x v="1"/>
  </r>
  <r>
    <s v="EXP-21628-670"/>
    <x v="267"/>
    <s v="94447-35885-HK"/>
    <s v="A-M-2.5"/>
    <n v="3"/>
    <x v="577"/>
    <s v="wbernthhe@miitbeian.gov.cn"/>
    <x v="0"/>
    <s v="Ara"/>
    <s v="M"/>
    <x v="2"/>
    <n v="25.874999999999996"/>
    <n v="77.624999999999986"/>
    <x v="2"/>
    <x v="0"/>
    <x v="1"/>
  </r>
  <r>
    <s v="VGM-24161-361"/>
    <x v="480"/>
    <s v="71034-49694-CS"/>
    <s v="E-M-2.5"/>
    <n v="2"/>
    <x v="578"/>
    <s v="bacarsonhf@cnn.com"/>
    <x v="0"/>
    <s v="Exc"/>
    <s v="M"/>
    <x v="2"/>
    <n v="31.624999999999996"/>
    <n v="63.249999999999993"/>
    <x v="1"/>
    <x v="0"/>
    <x v="0"/>
  </r>
  <r>
    <s v="PKN-19556-918"/>
    <x v="483"/>
    <s v="00445-42781-KX"/>
    <s v="E-L-0.2"/>
    <n v="6"/>
    <x v="579"/>
    <s v="fbrighamhg@blog.com"/>
    <x v="1"/>
    <s v="Exc"/>
    <s v="L"/>
    <x v="3"/>
    <n v="4.4550000000000001"/>
    <n v="26.73"/>
    <x v="1"/>
    <x v="1"/>
    <x v="0"/>
  </r>
  <r>
    <s v="PKN-19556-918"/>
    <x v="483"/>
    <s v="00445-42781-KX"/>
    <s v="L-D-0.5"/>
    <n v="4"/>
    <x v="579"/>
    <s v="fbrighamhg@blog.com"/>
    <x v="1"/>
    <s v="Lib"/>
    <s v="D"/>
    <x v="1"/>
    <n v="7.77"/>
    <n v="31.08"/>
    <x v="3"/>
    <x v="2"/>
    <x v="0"/>
  </r>
  <r>
    <s v="PKN-19556-918"/>
    <x v="483"/>
    <s v="00445-42781-KX"/>
    <s v="A-D-0.2"/>
    <n v="1"/>
    <x v="579"/>
    <s v="fbrighamhg@blog.com"/>
    <x v="1"/>
    <s v="Ara"/>
    <s v="D"/>
    <x v="3"/>
    <n v="2.9849999999999999"/>
    <n v="2.9849999999999999"/>
    <x v="2"/>
    <x v="2"/>
    <x v="0"/>
  </r>
  <r>
    <s v="PKN-19556-918"/>
    <x v="483"/>
    <s v="00445-42781-KX"/>
    <s v="R-D-2.5"/>
    <n v="5"/>
    <x v="579"/>
    <s v="fbrighamhg@blog.com"/>
    <x v="1"/>
    <s v="Rob"/>
    <s v="D"/>
    <x v="2"/>
    <n v="20.584999999999997"/>
    <n v="102.92499999999998"/>
    <x v="0"/>
    <x v="2"/>
    <x v="0"/>
  </r>
  <r>
    <s v="DXQ-44537-297"/>
    <x v="484"/>
    <s v="96116-24737-LV"/>
    <s v="E-L-0.5"/>
    <n v="4"/>
    <x v="580"/>
    <s v="myoxenhk@google.com"/>
    <x v="0"/>
    <s v="Exc"/>
    <s v="L"/>
    <x v="1"/>
    <n v="8.91"/>
    <n v="35.64"/>
    <x v="1"/>
    <x v="1"/>
    <x v="1"/>
  </r>
  <r>
    <s v="BPC-54727-307"/>
    <x v="485"/>
    <s v="18684-73088-YL"/>
    <s v="R-L-1"/>
    <n v="4"/>
    <x v="581"/>
    <s v="gmcgavinhl@histats.com"/>
    <x v="0"/>
    <s v="Rob"/>
    <s v="L"/>
    <x v="0"/>
    <n v="11.95"/>
    <n v="47.8"/>
    <x v="0"/>
    <x v="1"/>
    <x v="1"/>
  </r>
  <r>
    <s v="KSH-47717-456"/>
    <x v="486"/>
    <s v="74671-55639-TU"/>
    <s v="L-M-1"/>
    <n v="3"/>
    <x v="582"/>
    <s v="luttermarehm@engadget.com"/>
    <x v="0"/>
    <s v="Lib"/>
    <s v="M"/>
    <x v="0"/>
    <n v="14.55"/>
    <n v="43.650000000000006"/>
    <x v="3"/>
    <x v="0"/>
    <x v="1"/>
  </r>
  <r>
    <s v="ANK-59436-446"/>
    <x v="487"/>
    <s v="17488-65879-XL"/>
    <s v="E-L-0.5"/>
    <n v="4"/>
    <x v="583"/>
    <s v="edambrogiohn@techcrunch.com"/>
    <x v="0"/>
    <s v="Exc"/>
    <s v="L"/>
    <x v="1"/>
    <n v="8.91"/>
    <n v="35.64"/>
    <x v="1"/>
    <x v="1"/>
    <x v="0"/>
  </r>
  <r>
    <s v="AYY-83051-752"/>
    <x v="488"/>
    <s v="46431-09298-OU"/>
    <s v="L-L-1"/>
    <n v="6"/>
    <x v="584"/>
    <s v="cwinchcombeho@jiathis.com"/>
    <x v="0"/>
    <s v="Lib"/>
    <s v="L"/>
    <x v="0"/>
    <n v="15.85"/>
    <n v="95.1"/>
    <x v="3"/>
    <x v="1"/>
    <x v="0"/>
  </r>
  <r>
    <s v="CSW-59644-267"/>
    <x v="489"/>
    <s v="60378-26473-FE"/>
    <s v="E-M-2.5"/>
    <n v="1"/>
    <x v="585"/>
    <s v="bpaumierhp@umn.edu"/>
    <x v="1"/>
    <s v="Exc"/>
    <s v="M"/>
    <x v="2"/>
    <n v="31.624999999999996"/>
    <n v="31.624999999999996"/>
    <x v="1"/>
    <x v="0"/>
    <x v="0"/>
  </r>
  <r>
    <s v="ITY-92466-909"/>
    <x v="162"/>
    <s v="34927-68586-ZV"/>
    <s v="A-M-2.5"/>
    <n v="3"/>
    <x v="586"/>
    <s v=""/>
    <x v="1"/>
    <s v="Ara"/>
    <s v="M"/>
    <x v="2"/>
    <n v="25.874999999999996"/>
    <n v="77.624999999999986"/>
    <x v="2"/>
    <x v="0"/>
    <x v="0"/>
  </r>
  <r>
    <s v="IGW-04801-466"/>
    <x v="490"/>
    <s v="29051-27555-GD"/>
    <s v="L-D-0.2"/>
    <n v="1"/>
    <x v="587"/>
    <s v="jcapeyhr@bravesites.com"/>
    <x v="0"/>
    <s v="Lib"/>
    <s v="D"/>
    <x v="3"/>
    <n v="3.8849999999999998"/>
    <n v="3.8849999999999998"/>
    <x v="3"/>
    <x v="2"/>
    <x v="0"/>
  </r>
  <r>
    <s v="LJN-34281-921"/>
    <x v="491"/>
    <s v="52143-35672-JF"/>
    <s v="R-L-2.5"/>
    <n v="5"/>
    <x v="588"/>
    <s v="tmathonneti0@google.co.jp"/>
    <x v="0"/>
    <s v="Rob"/>
    <s v="L"/>
    <x v="2"/>
    <n v="27.484999999999996"/>
    <n v="137.42499999999998"/>
    <x v="0"/>
    <x v="1"/>
    <x v="1"/>
  </r>
  <r>
    <s v="BWZ-46364-547"/>
    <x v="301"/>
    <s v="64918-67725-MN"/>
    <s v="R-L-1"/>
    <n v="3"/>
    <x v="589"/>
    <s v="ybasillht@theguardian.com"/>
    <x v="0"/>
    <s v="Rob"/>
    <s v="L"/>
    <x v="0"/>
    <n v="11.95"/>
    <n v="35.849999999999994"/>
    <x v="0"/>
    <x v="1"/>
    <x v="0"/>
  </r>
  <r>
    <s v="SBC-95710-706"/>
    <x v="194"/>
    <s v="85634-61759-ND"/>
    <s v="E-M-0.2"/>
    <n v="2"/>
    <x v="590"/>
    <s v="mbaistowhu@i2i.jp"/>
    <x v="2"/>
    <s v="Exc"/>
    <s v="M"/>
    <x v="3"/>
    <n v="4.125"/>
    <n v="8.25"/>
    <x v="1"/>
    <x v="0"/>
    <x v="0"/>
  </r>
  <r>
    <s v="WRN-55114-031"/>
    <x v="26"/>
    <s v="40180-22940-QB"/>
    <s v="E-L-2.5"/>
    <n v="3"/>
    <x v="591"/>
    <s v="cpallanthv@typepad.com"/>
    <x v="0"/>
    <s v="Exc"/>
    <s v="L"/>
    <x v="2"/>
    <n v="34.154999999999994"/>
    <n v="102.46499999999997"/>
    <x v="1"/>
    <x v="1"/>
    <x v="0"/>
  </r>
  <r>
    <s v="TZU-64255-831"/>
    <x v="125"/>
    <s v="34666-76738-SQ"/>
    <s v="R-D-2.5"/>
    <n v="2"/>
    <x v="592"/>
    <s v=""/>
    <x v="0"/>
    <s v="Rob"/>
    <s v="D"/>
    <x v="2"/>
    <n v="20.584999999999997"/>
    <n v="41.169999999999995"/>
    <x v="0"/>
    <x v="2"/>
    <x v="1"/>
  </r>
  <r>
    <s v="JVF-91003-729"/>
    <x v="492"/>
    <s v="98536-88616-FF"/>
    <s v="A-D-2.5"/>
    <n v="3"/>
    <x v="593"/>
    <s v="dohx@redcross.org"/>
    <x v="0"/>
    <s v="Ara"/>
    <s v="D"/>
    <x v="2"/>
    <n v="22.884999999999998"/>
    <n v="68.655000000000001"/>
    <x v="2"/>
    <x v="2"/>
    <x v="0"/>
  </r>
  <r>
    <s v="MVB-22135-665"/>
    <x v="462"/>
    <s v="55621-06130-SA"/>
    <s v="A-D-1"/>
    <n v="1"/>
    <x v="594"/>
    <s v="drallinhy@howstuffworks.com"/>
    <x v="0"/>
    <s v="Ara"/>
    <s v="D"/>
    <x v="0"/>
    <n v="9.9499999999999993"/>
    <n v="9.9499999999999993"/>
    <x v="2"/>
    <x v="2"/>
    <x v="0"/>
  </r>
  <r>
    <s v="CKS-47815-571"/>
    <x v="493"/>
    <s v="45666-86771-EH"/>
    <s v="L-L-0.5"/>
    <n v="3"/>
    <x v="595"/>
    <s v="achillhz@epa.gov"/>
    <x v="2"/>
    <s v="Lib"/>
    <s v="L"/>
    <x v="1"/>
    <n v="9.51"/>
    <n v="28.53"/>
    <x v="3"/>
    <x v="1"/>
    <x v="0"/>
  </r>
  <r>
    <s v="OAW-17338-101"/>
    <x v="494"/>
    <s v="52143-35672-JF"/>
    <s v="R-D-0.2"/>
    <n v="6"/>
    <x v="588"/>
    <s v="tmathonneti0@google.co.jp"/>
    <x v="0"/>
    <s v="Rob"/>
    <s v="D"/>
    <x v="3"/>
    <n v="2.6849999999999996"/>
    <n v="16.11"/>
    <x v="0"/>
    <x v="2"/>
    <x v="1"/>
  </r>
  <r>
    <s v="ALP-37623-536"/>
    <x v="495"/>
    <s v="24689-69376-XX"/>
    <s v="L-L-1"/>
    <n v="6"/>
    <x v="596"/>
    <s v="cdenysi1@is.gd"/>
    <x v="2"/>
    <s v="Lib"/>
    <s v="L"/>
    <x v="0"/>
    <n v="15.85"/>
    <n v="95.1"/>
    <x v="3"/>
    <x v="1"/>
    <x v="1"/>
  </r>
  <r>
    <s v="WMU-87639-108"/>
    <x v="496"/>
    <s v="71891-51101-VQ"/>
    <s v="R-D-0.5"/>
    <n v="1"/>
    <x v="597"/>
    <s v="cstebbingsi2@drupal.org"/>
    <x v="0"/>
    <s v="Rob"/>
    <s v="D"/>
    <x v="1"/>
    <n v="5.3699999999999992"/>
    <n v="5.3699999999999992"/>
    <x v="0"/>
    <x v="2"/>
    <x v="0"/>
  </r>
  <r>
    <s v="USN-44968-231"/>
    <x v="497"/>
    <s v="71749-05400-CN"/>
    <s v="R-L-1"/>
    <n v="4"/>
    <x v="598"/>
    <s v=""/>
    <x v="0"/>
    <s v="Rob"/>
    <s v="L"/>
    <x v="0"/>
    <n v="11.95"/>
    <n v="47.8"/>
    <x v="0"/>
    <x v="1"/>
    <x v="1"/>
  </r>
  <r>
    <s v="YZG-20575-451"/>
    <x v="498"/>
    <s v="64845-00270-NO"/>
    <s v="L-L-1"/>
    <n v="4"/>
    <x v="599"/>
    <s v="rzywickii4@ifeng.com"/>
    <x v="1"/>
    <s v="Lib"/>
    <s v="L"/>
    <x v="0"/>
    <n v="15.85"/>
    <n v="63.4"/>
    <x v="3"/>
    <x v="1"/>
    <x v="1"/>
  </r>
  <r>
    <s v="HTH-52867-812"/>
    <x v="382"/>
    <s v="29851-36402-UX"/>
    <s v="A-M-2.5"/>
    <n v="4"/>
    <x v="600"/>
    <s v="aburgetti5@moonfruit.com"/>
    <x v="0"/>
    <s v="Ara"/>
    <s v="M"/>
    <x v="2"/>
    <n v="25.874999999999996"/>
    <n v="103.49999999999999"/>
    <x v="2"/>
    <x v="0"/>
    <x v="1"/>
  </r>
  <r>
    <s v="FWU-44971-444"/>
    <x v="499"/>
    <s v="12190-25421-WM"/>
    <s v="A-D-2.5"/>
    <n v="3"/>
    <x v="601"/>
    <s v="mmalloyi6@seattletimes.com"/>
    <x v="0"/>
    <s v="Ara"/>
    <s v="D"/>
    <x v="2"/>
    <n v="22.884999999999998"/>
    <n v="68.655000000000001"/>
    <x v="2"/>
    <x v="2"/>
    <x v="1"/>
  </r>
  <r>
    <s v="EQI-82205-066"/>
    <x v="500"/>
    <s v="52316-30571-GD"/>
    <s v="R-M-2.5"/>
    <n v="2"/>
    <x v="602"/>
    <s v="mmcparlandi7@w3.org"/>
    <x v="0"/>
    <s v="Rob"/>
    <s v="M"/>
    <x v="2"/>
    <n v="22.884999999999998"/>
    <n v="45.769999999999996"/>
    <x v="0"/>
    <x v="0"/>
    <x v="0"/>
  </r>
  <r>
    <s v="NAR-00747-074"/>
    <x v="501"/>
    <s v="23243-92649-RY"/>
    <s v="L-D-1"/>
    <n v="4"/>
    <x v="603"/>
    <s v="sjennaroyi8@purevolume.com"/>
    <x v="0"/>
    <s v="Lib"/>
    <s v="D"/>
    <x v="0"/>
    <n v="12.95"/>
    <n v="51.8"/>
    <x v="3"/>
    <x v="2"/>
    <x v="1"/>
  </r>
  <r>
    <s v="JYR-22052-185"/>
    <x v="502"/>
    <s v="39528-19971-OR"/>
    <s v="A-M-0.5"/>
    <n v="2"/>
    <x v="604"/>
    <s v="wplacei9@wsj.com"/>
    <x v="0"/>
    <s v="Ara"/>
    <s v="M"/>
    <x v="1"/>
    <n v="6.75"/>
    <n v="13.5"/>
    <x v="2"/>
    <x v="0"/>
    <x v="0"/>
  </r>
  <r>
    <s v="XKO-54097-932"/>
    <x v="503"/>
    <s v="32743-78448-KT"/>
    <s v="E-M-0.5"/>
    <n v="3"/>
    <x v="605"/>
    <s v="jmillettik@addtoany.com"/>
    <x v="0"/>
    <s v="Exc"/>
    <s v="M"/>
    <x v="1"/>
    <n v="8.25"/>
    <n v="24.75"/>
    <x v="1"/>
    <x v="0"/>
    <x v="0"/>
  </r>
  <r>
    <s v="HXA-72415-025"/>
    <x v="504"/>
    <s v="93417-12322-YB"/>
    <s v="A-D-2.5"/>
    <n v="2"/>
    <x v="606"/>
    <s v="dgadsdenib@google.com.hk"/>
    <x v="1"/>
    <s v="Ara"/>
    <s v="D"/>
    <x v="2"/>
    <n v="22.884999999999998"/>
    <n v="45.769999999999996"/>
    <x v="2"/>
    <x v="2"/>
    <x v="0"/>
  </r>
  <r>
    <s v="MJF-20065-335"/>
    <x v="497"/>
    <s v="56891-86662-UY"/>
    <s v="E-L-0.5"/>
    <n v="6"/>
    <x v="607"/>
    <s v="vwakelinic@unesco.org"/>
    <x v="0"/>
    <s v="Exc"/>
    <s v="L"/>
    <x v="1"/>
    <n v="8.91"/>
    <n v="53.46"/>
    <x v="1"/>
    <x v="1"/>
    <x v="1"/>
  </r>
  <r>
    <s v="GFI-83300-059"/>
    <x v="501"/>
    <s v="40414-26467-VE"/>
    <s v="A-M-0.2"/>
    <n v="6"/>
    <x v="608"/>
    <s v="acampsallid@zimbio.com"/>
    <x v="0"/>
    <s v="Ara"/>
    <s v="M"/>
    <x v="3"/>
    <n v="3.375"/>
    <n v="20.25"/>
    <x v="2"/>
    <x v="0"/>
    <x v="0"/>
  </r>
  <r>
    <s v="WJR-51493-682"/>
    <x v="1"/>
    <s v="87858-83734-RK"/>
    <s v="L-D-2.5"/>
    <n v="5"/>
    <x v="609"/>
    <s v="smosebyie@stanford.edu"/>
    <x v="0"/>
    <s v="Lib"/>
    <s v="D"/>
    <x v="2"/>
    <n v="29.784999999999997"/>
    <n v="148.92499999999998"/>
    <x v="3"/>
    <x v="2"/>
    <x v="1"/>
  </r>
  <r>
    <s v="SHP-55648-472"/>
    <x v="505"/>
    <s v="46818-20198-GB"/>
    <s v="A-M-1"/>
    <n v="6"/>
    <x v="610"/>
    <s v="cwassif@prweb.com"/>
    <x v="0"/>
    <s v="Ara"/>
    <s v="M"/>
    <x v="0"/>
    <n v="11.25"/>
    <n v="67.5"/>
    <x v="2"/>
    <x v="0"/>
    <x v="1"/>
  </r>
  <r>
    <s v="HYR-03455-684"/>
    <x v="506"/>
    <s v="29808-89098-XD"/>
    <s v="E-D-1"/>
    <n v="6"/>
    <x v="611"/>
    <s v="isjostromig@pbs.org"/>
    <x v="0"/>
    <s v="Exc"/>
    <s v="D"/>
    <x v="0"/>
    <n v="12.15"/>
    <n v="72.900000000000006"/>
    <x v="1"/>
    <x v="2"/>
    <x v="1"/>
  </r>
  <r>
    <s v="HYR-03455-684"/>
    <x v="506"/>
    <s v="29808-89098-XD"/>
    <s v="L-D-0.2"/>
    <n v="2"/>
    <x v="611"/>
    <s v="isjostromig@pbs.org"/>
    <x v="0"/>
    <s v="Lib"/>
    <s v="D"/>
    <x v="3"/>
    <n v="3.8849999999999998"/>
    <n v="7.77"/>
    <x v="3"/>
    <x v="2"/>
    <x v="1"/>
  </r>
  <r>
    <s v="HUG-52766-375"/>
    <x v="507"/>
    <s v="78786-77449-RQ"/>
    <s v="A-D-2.5"/>
    <n v="4"/>
    <x v="612"/>
    <s v="jbranchettii@bravesites.com"/>
    <x v="0"/>
    <s v="Ara"/>
    <s v="D"/>
    <x v="2"/>
    <n v="22.884999999999998"/>
    <n v="91.539999999999992"/>
    <x v="2"/>
    <x v="2"/>
    <x v="1"/>
  </r>
  <r>
    <s v="DAH-46595-917"/>
    <x v="508"/>
    <s v="27878-42224-QF"/>
    <s v="A-D-1"/>
    <n v="6"/>
    <x v="613"/>
    <s v="nrudlandij@blogs.com"/>
    <x v="1"/>
    <s v="Ara"/>
    <s v="D"/>
    <x v="0"/>
    <n v="9.9499999999999993"/>
    <n v="59.699999999999996"/>
    <x v="2"/>
    <x v="2"/>
    <x v="1"/>
  </r>
  <r>
    <s v="VEM-79839-466"/>
    <x v="509"/>
    <s v="32743-78448-KT"/>
    <s v="R-L-2.5"/>
    <n v="5"/>
    <x v="605"/>
    <s v="jmillettik@addtoany.com"/>
    <x v="0"/>
    <s v="Rob"/>
    <s v="L"/>
    <x v="2"/>
    <n v="27.484999999999996"/>
    <n v="137.42499999999998"/>
    <x v="0"/>
    <x v="1"/>
    <x v="0"/>
  </r>
  <r>
    <s v="OWH-11126-533"/>
    <x v="131"/>
    <s v="25331-13794-SB"/>
    <s v="L-M-2.5"/>
    <n v="2"/>
    <x v="614"/>
    <s v="ftourryil@google.de"/>
    <x v="0"/>
    <s v="Lib"/>
    <s v="M"/>
    <x v="2"/>
    <n v="33.464999999999996"/>
    <n v="66.929999999999993"/>
    <x v="3"/>
    <x v="0"/>
    <x v="1"/>
  </r>
  <r>
    <s v="UMT-26130-151"/>
    <x v="510"/>
    <s v="55864-37682-GQ"/>
    <s v="L-M-0.2"/>
    <n v="3"/>
    <x v="615"/>
    <s v="cweatherallim@toplist.cz"/>
    <x v="0"/>
    <s v="Lib"/>
    <s v="M"/>
    <x v="3"/>
    <n v="4.3650000000000002"/>
    <n v="13.095000000000001"/>
    <x v="3"/>
    <x v="0"/>
    <x v="0"/>
  </r>
  <r>
    <s v="JKA-27899-806"/>
    <x v="511"/>
    <s v="97005-25609-CQ"/>
    <s v="R-L-1"/>
    <n v="5"/>
    <x v="616"/>
    <s v="gheindrickin@usda.gov"/>
    <x v="0"/>
    <s v="Rob"/>
    <s v="L"/>
    <x v="0"/>
    <n v="11.95"/>
    <n v="59.75"/>
    <x v="0"/>
    <x v="1"/>
    <x v="1"/>
  </r>
  <r>
    <s v="ULU-07744-724"/>
    <x v="512"/>
    <s v="94058-95794-IJ"/>
    <s v="L-M-0.5"/>
    <n v="5"/>
    <x v="617"/>
    <s v="limasonio@discuz.net"/>
    <x v="0"/>
    <s v="Lib"/>
    <s v="M"/>
    <x v="1"/>
    <n v="8.73"/>
    <n v="43.650000000000006"/>
    <x v="3"/>
    <x v="0"/>
    <x v="0"/>
  </r>
  <r>
    <s v="NOM-56457-507"/>
    <x v="513"/>
    <s v="40214-03678-GU"/>
    <s v="E-M-1"/>
    <n v="6"/>
    <x v="618"/>
    <s v="hsaillip@odnoklassniki.ru"/>
    <x v="0"/>
    <s v="Exc"/>
    <s v="M"/>
    <x v="0"/>
    <n v="13.75"/>
    <n v="82.5"/>
    <x v="1"/>
    <x v="0"/>
    <x v="0"/>
  </r>
  <r>
    <s v="NZN-71683-705"/>
    <x v="514"/>
    <s v="04921-85445-SL"/>
    <s v="A-L-2.5"/>
    <n v="6"/>
    <x v="619"/>
    <s v="hlarvoriq@last.fm"/>
    <x v="0"/>
    <s v="Ara"/>
    <s v="L"/>
    <x v="2"/>
    <n v="29.784999999999997"/>
    <n v="178.70999999999998"/>
    <x v="2"/>
    <x v="1"/>
    <x v="0"/>
  </r>
  <r>
    <s v="WMA-34232-850"/>
    <x v="7"/>
    <s v="53386-94266-LJ"/>
    <s v="L-D-2.5"/>
    <n v="4"/>
    <x v="620"/>
    <s v=""/>
    <x v="0"/>
    <s v="Lib"/>
    <s v="D"/>
    <x v="2"/>
    <n v="29.784999999999997"/>
    <n v="119.13999999999999"/>
    <x v="3"/>
    <x v="2"/>
    <x v="0"/>
  </r>
  <r>
    <s v="EZL-27919-704"/>
    <x v="481"/>
    <s v="49480-85909-DG"/>
    <s v="L-L-0.5"/>
    <n v="5"/>
    <x v="621"/>
    <s v=""/>
    <x v="0"/>
    <s v="Lib"/>
    <s v="L"/>
    <x v="1"/>
    <n v="9.51"/>
    <n v="47.55"/>
    <x v="3"/>
    <x v="1"/>
    <x v="1"/>
  </r>
  <r>
    <s v="ZYU-11345-774"/>
    <x v="515"/>
    <s v="18293-78136-MN"/>
    <s v="L-M-0.5"/>
    <n v="5"/>
    <x v="622"/>
    <s v="cpenwardenit@mlb.com"/>
    <x v="1"/>
    <s v="Lib"/>
    <s v="M"/>
    <x v="1"/>
    <n v="8.73"/>
    <n v="43.650000000000006"/>
    <x v="3"/>
    <x v="0"/>
    <x v="1"/>
  </r>
  <r>
    <s v="CPW-34587-459"/>
    <x v="516"/>
    <s v="84641-67384-TD"/>
    <s v="A-L-2.5"/>
    <n v="6"/>
    <x v="623"/>
    <s v="mmiddisiu@dmoz.org"/>
    <x v="0"/>
    <s v="Ara"/>
    <s v="L"/>
    <x v="2"/>
    <n v="29.784999999999997"/>
    <n v="178.70999999999998"/>
    <x v="2"/>
    <x v="1"/>
    <x v="0"/>
  </r>
  <r>
    <s v="NQZ-82067-394"/>
    <x v="517"/>
    <s v="72320-29738-EB"/>
    <s v="R-L-2.5"/>
    <n v="1"/>
    <x v="624"/>
    <s v="avairowiv@studiopress.com"/>
    <x v="2"/>
    <s v="Rob"/>
    <s v="L"/>
    <x v="2"/>
    <n v="27.484999999999996"/>
    <n v="27.484999999999996"/>
    <x v="0"/>
    <x v="1"/>
    <x v="1"/>
  </r>
  <r>
    <s v="JBW-95055-851"/>
    <x v="518"/>
    <s v="47355-97488-XS"/>
    <s v="A-M-1"/>
    <n v="5"/>
    <x v="625"/>
    <s v="agoldieiw@goo.gl"/>
    <x v="0"/>
    <s v="Ara"/>
    <s v="M"/>
    <x v="0"/>
    <n v="11.25"/>
    <n v="56.25"/>
    <x v="2"/>
    <x v="0"/>
    <x v="1"/>
  </r>
  <r>
    <s v="AHY-20324-088"/>
    <x v="519"/>
    <s v="63499-24884-PP"/>
    <s v="L-L-0.2"/>
    <n v="2"/>
    <x v="626"/>
    <s v="nayrisix@t-online.de"/>
    <x v="2"/>
    <s v="Lib"/>
    <s v="L"/>
    <x v="3"/>
    <n v="4.7549999999999999"/>
    <n v="9.51"/>
    <x v="3"/>
    <x v="1"/>
    <x v="0"/>
  </r>
  <r>
    <s v="ZSL-66684-103"/>
    <x v="520"/>
    <s v="39193-51770-FM"/>
    <s v="E-M-0.2"/>
    <n v="2"/>
    <x v="627"/>
    <s v="lbenediktovichiy@wunderground.com"/>
    <x v="0"/>
    <s v="Exc"/>
    <s v="M"/>
    <x v="3"/>
    <n v="4.125"/>
    <n v="8.25"/>
    <x v="1"/>
    <x v="0"/>
    <x v="0"/>
  </r>
  <r>
    <s v="WNE-73911-475"/>
    <x v="521"/>
    <s v="61323-91967-GG"/>
    <s v="L-D-0.5"/>
    <n v="6"/>
    <x v="628"/>
    <s v="tjacobovitziz@cbc.ca"/>
    <x v="0"/>
    <s v="Lib"/>
    <s v="D"/>
    <x v="1"/>
    <n v="7.77"/>
    <n v="46.62"/>
    <x v="3"/>
    <x v="2"/>
    <x v="1"/>
  </r>
  <r>
    <s v="EZB-68383-559"/>
    <x v="418"/>
    <s v="90123-01967-KS"/>
    <s v="R-L-1"/>
    <n v="6"/>
    <x v="629"/>
    <s v=""/>
    <x v="0"/>
    <s v="Rob"/>
    <s v="L"/>
    <x v="0"/>
    <n v="11.95"/>
    <n v="71.699999999999989"/>
    <x v="0"/>
    <x v="1"/>
    <x v="1"/>
  </r>
  <r>
    <s v="OVO-01283-090"/>
    <x v="122"/>
    <s v="15958-25089-OS"/>
    <s v="L-L-2.5"/>
    <n v="2"/>
    <x v="630"/>
    <s v="jdruittj1@feedburner.com"/>
    <x v="0"/>
    <s v="Lib"/>
    <s v="L"/>
    <x v="2"/>
    <n v="36.454999999999998"/>
    <n v="72.91"/>
    <x v="3"/>
    <x v="1"/>
    <x v="0"/>
  </r>
  <r>
    <s v="TXH-78646-919"/>
    <x v="423"/>
    <s v="98430-37820-UV"/>
    <s v="R-D-0.2"/>
    <n v="3"/>
    <x v="631"/>
    <s v="dshortallj2@wikipedia.org"/>
    <x v="0"/>
    <s v="Rob"/>
    <s v="D"/>
    <x v="3"/>
    <n v="2.6849999999999996"/>
    <n v="8.0549999999999997"/>
    <x v="0"/>
    <x v="2"/>
    <x v="0"/>
  </r>
  <r>
    <s v="CYZ-37122-164"/>
    <x v="463"/>
    <s v="21798-04171-XC"/>
    <s v="E-M-0.5"/>
    <n v="2"/>
    <x v="632"/>
    <s v="wcottierj3@cafepress.com"/>
    <x v="0"/>
    <s v="Exc"/>
    <s v="M"/>
    <x v="1"/>
    <n v="8.25"/>
    <n v="16.5"/>
    <x v="1"/>
    <x v="0"/>
    <x v="1"/>
  </r>
  <r>
    <s v="AGQ-06534-750"/>
    <x v="273"/>
    <s v="52798-46508-HP"/>
    <s v="A-L-1"/>
    <n v="5"/>
    <x v="633"/>
    <s v="kgrinstedj4@google.com.br"/>
    <x v="1"/>
    <s v="Ara"/>
    <s v="L"/>
    <x v="0"/>
    <n v="12.95"/>
    <n v="64.75"/>
    <x v="2"/>
    <x v="1"/>
    <x v="1"/>
  </r>
  <r>
    <s v="QVL-32245-818"/>
    <x v="522"/>
    <s v="46478-42970-EM"/>
    <s v="A-M-0.5"/>
    <n v="5"/>
    <x v="634"/>
    <s v="dskynerj5@hubpages.com"/>
    <x v="0"/>
    <s v="Ara"/>
    <s v="M"/>
    <x v="1"/>
    <n v="6.75"/>
    <n v="33.75"/>
    <x v="2"/>
    <x v="0"/>
    <x v="1"/>
  </r>
  <r>
    <s v="LTD-96842-834"/>
    <x v="523"/>
    <s v="00246-15080-LE"/>
    <s v="L-D-2.5"/>
    <n v="6"/>
    <x v="635"/>
    <s v=""/>
    <x v="0"/>
    <s v="Lib"/>
    <s v="D"/>
    <x v="2"/>
    <n v="29.784999999999997"/>
    <n v="178.70999999999998"/>
    <x v="3"/>
    <x v="2"/>
    <x v="1"/>
  </r>
  <r>
    <s v="SEC-91807-425"/>
    <x v="260"/>
    <s v="94091-86957-HX"/>
    <s v="A-M-1"/>
    <n v="2"/>
    <x v="636"/>
    <s v="jdymokeje@prnewswire.com"/>
    <x v="1"/>
    <s v="Ara"/>
    <s v="M"/>
    <x v="0"/>
    <n v="11.25"/>
    <n v="22.5"/>
    <x v="2"/>
    <x v="0"/>
    <x v="1"/>
  </r>
  <r>
    <s v="MHM-44857-599"/>
    <x v="331"/>
    <s v="26295-44907-DK"/>
    <s v="L-D-1"/>
    <n v="1"/>
    <x v="637"/>
    <s v="aweinmannj8@shinystat.com"/>
    <x v="0"/>
    <s v="Lib"/>
    <s v="D"/>
    <x v="0"/>
    <n v="12.95"/>
    <n v="12.95"/>
    <x v="3"/>
    <x v="2"/>
    <x v="1"/>
  </r>
  <r>
    <s v="KGC-95046-911"/>
    <x v="524"/>
    <s v="95351-96177-QV"/>
    <s v="A-M-2.5"/>
    <n v="2"/>
    <x v="638"/>
    <s v="eandriessenj9@europa.eu"/>
    <x v="0"/>
    <s v="Ara"/>
    <s v="M"/>
    <x v="2"/>
    <n v="25.874999999999996"/>
    <n v="51.749999999999993"/>
    <x v="2"/>
    <x v="0"/>
    <x v="0"/>
  </r>
  <r>
    <s v="RZC-75150-413"/>
    <x v="525"/>
    <s v="92204-96636-BS"/>
    <s v="E-D-0.5"/>
    <n v="5"/>
    <x v="639"/>
    <s v="rdeaconsonja@archive.org"/>
    <x v="0"/>
    <s v="Exc"/>
    <s v="D"/>
    <x v="1"/>
    <n v="7.29"/>
    <n v="36.450000000000003"/>
    <x v="1"/>
    <x v="2"/>
    <x v="1"/>
  </r>
  <r>
    <s v="EYH-88288-452"/>
    <x v="526"/>
    <s v="03010-30348-UA"/>
    <s v="L-L-2.5"/>
    <n v="5"/>
    <x v="640"/>
    <s v="dcarojb@twitter.com"/>
    <x v="0"/>
    <s v="Lib"/>
    <s v="L"/>
    <x v="2"/>
    <n v="36.454999999999998"/>
    <n v="182.27499999999998"/>
    <x v="3"/>
    <x v="1"/>
    <x v="0"/>
  </r>
  <r>
    <s v="NYQ-24237-772"/>
    <x v="104"/>
    <s v="13441-34686-SW"/>
    <s v="L-D-0.5"/>
    <n v="4"/>
    <x v="641"/>
    <s v="jbluckjc@imageshack.us"/>
    <x v="0"/>
    <s v="Lib"/>
    <s v="D"/>
    <x v="1"/>
    <n v="7.77"/>
    <n v="31.08"/>
    <x v="3"/>
    <x v="2"/>
    <x v="1"/>
  </r>
  <r>
    <s v="WKB-21680-566"/>
    <x v="491"/>
    <s v="96612-41722-VJ"/>
    <s v="A-M-0.5"/>
    <n v="3"/>
    <x v="642"/>
    <s v=""/>
    <x v="1"/>
    <s v="Ara"/>
    <s v="M"/>
    <x v="1"/>
    <n v="6.75"/>
    <n v="20.25"/>
    <x v="2"/>
    <x v="0"/>
    <x v="1"/>
  </r>
  <r>
    <s v="THE-61147-027"/>
    <x v="157"/>
    <s v="94091-86957-HX"/>
    <s v="L-D-1"/>
    <n v="2"/>
    <x v="636"/>
    <s v="jdymokeje@prnewswire.com"/>
    <x v="1"/>
    <s v="Lib"/>
    <s v="D"/>
    <x v="0"/>
    <n v="12.95"/>
    <n v="25.9"/>
    <x v="3"/>
    <x v="2"/>
    <x v="1"/>
  </r>
  <r>
    <s v="PTY-86420-119"/>
    <x v="527"/>
    <s v="25504-41681-WA"/>
    <s v="A-D-0.5"/>
    <n v="4"/>
    <x v="643"/>
    <s v="otadmanjf@ft.com"/>
    <x v="0"/>
    <s v="Ara"/>
    <s v="D"/>
    <x v="1"/>
    <n v="5.97"/>
    <n v="23.88"/>
    <x v="2"/>
    <x v="2"/>
    <x v="0"/>
  </r>
  <r>
    <s v="QHL-27188-431"/>
    <x v="528"/>
    <s v="75443-07820-DZ"/>
    <s v="L-L-0.5"/>
    <n v="2"/>
    <x v="644"/>
    <s v="bguddejg@dailymotion.com"/>
    <x v="0"/>
    <s v="Lib"/>
    <s v="L"/>
    <x v="1"/>
    <n v="9.51"/>
    <n v="19.02"/>
    <x v="3"/>
    <x v="1"/>
    <x v="1"/>
  </r>
  <r>
    <s v="MIS-54381-047"/>
    <x v="99"/>
    <s v="39276-95489-XV"/>
    <s v="A-D-0.5"/>
    <n v="5"/>
    <x v="645"/>
    <s v="nsictornesjh@buzzfeed.com"/>
    <x v="1"/>
    <s v="Ara"/>
    <s v="D"/>
    <x v="1"/>
    <n v="5.97"/>
    <n v="29.849999999999998"/>
    <x v="2"/>
    <x v="2"/>
    <x v="0"/>
  </r>
  <r>
    <s v="TBB-29780-459"/>
    <x v="529"/>
    <s v="61437-83623-PZ"/>
    <s v="A-L-0.5"/>
    <n v="1"/>
    <x v="646"/>
    <s v="vdunningji@independent.co.uk"/>
    <x v="0"/>
    <s v="Ara"/>
    <s v="L"/>
    <x v="1"/>
    <n v="7.77"/>
    <n v="7.77"/>
    <x v="2"/>
    <x v="1"/>
    <x v="0"/>
  </r>
  <r>
    <s v="QLC-52637-305"/>
    <x v="530"/>
    <s v="34317-87258-HQ"/>
    <s v="L-D-2.5"/>
    <n v="4"/>
    <x v="647"/>
    <s v=""/>
    <x v="1"/>
    <s v="Lib"/>
    <s v="D"/>
    <x v="2"/>
    <n v="29.784999999999997"/>
    <n v="119.13999999999999"/>
    <x v="3"/>
    <x v="2"/>
    <x v="0"/>
  </r>
  <r>
    <s v="CWT-27056-328"/>
    <x v="531"/>
    <s v="18570-80998-ZS"/>
    <s v="E-D-0.2"/>
    <n v="6"/>
    <x v="648"/>
    <s v=""/>
    <x v="0"/>
    <s v="Exc"/>
    <s v="D"/>
    <x v="3"/>
    <n v="3.645"/>
    <n v="21.87"/>
    <x v="1"/>
    <x v="2"/>
    <x v="0"/>
  </r>
  <r>
    <s v="ASS-05878-128"/>
    <x v="210"/>
    <s v="66580-33745-OQ"/>
    <s v="E-L-0.5"/>
    <n v="2"/>
    <x v="649"/>
    <s v="sgehringjl@gnu.org"/>
    <x v="0"/>
    <s v="Exc"/>
    <s v="L"/>
    <x v="1"/>
    <n v="8.91"/>
    <n v="17.82"/>
    <x v="1"/>
    <x v="1"/>
    <x v="1"/>
  </r>
  <r>
    <s v="EGK-03027-418"/>
    <x v="532"/>
    <s v="19820-29285-FD"/>
    <s v="E-M-0.2"/>
    <n v="3"/>
    <x v="650"/>
    <s v="bfallowesjm@purevolume.com"/>
    <x v="0"/>
    <s v="Exc"/>
    <s v="M"/>
    <x v="3"/>
    <n v="4.125"/>
    <n v="12.375"/>
    <x v="1"/>
    <x v="0"/>
    <x v="1"/>
  </r>
  <r>
    <s v="KCY-61732-849"/>
    <x v="533"/>
    <s v="11349-55147-SN"/>
    <s v="L-D-1"/>
    <n v="2"/>
    <x v="651"/>
    <s v=""/>
    <x v="1"/>
    <s v="Lib"/>
    <s v="D"/>
    <x v="0"/>
    <n v="12.95"/>
    <n v="25.9"/>
    <x v="3"/>
    <x v="2"/>
    <x v="1"/>
  </r>
  <r>
    <s v="BLI-21697-702"/>
    <x v="534"/>
    <s v="21141-12455-VB"/>
    <s v="A-M-0.5"/>
    <n v="2"/>
    <x v="652"/>
    <s v="sdejo@newsvine.com"/>
    <x v="0"/>
    <s v="Ara"/>
    <s v="M"/>
    <x v="1"/>
    <n v="6.75"/>
    <n v="13.5"/>
    <x v="2"/>
    <x v="0"/>
    <x v="0"/>
  </r>
  <r>
    <s v="KFJ-46568-890"/>
    <x v="535"/>
    <s v="71003-85639-HB"/>
    <s v="E-L-0.5"/>
    <n v="2"/>
    <x v="653"/>
    <s v=""/>
    <x v="0"/>
    <s v="Exc"/>
    <s v="L"/>
    <x v="1"/>
    <n v="8.91"/>
    <n v="17.82"/>
    <x v="1"/>
    <x v="1"/>
    <x v="0"/>
  </r>
  <r>
    <s v="SOK-43535-680"/>
    <x v="536"/>
    <s v="58443-95866-YO"/>
    <s v="E-M-0.5"/>
    <n v="3"/>
    <x v="654"/>
    <s v="scountjq@nba.com"/>
    <x v="0"/>
    <s v="Exc"/>
    <s v="M"/>
    <x v="1"/>
    <n v="8.25"/>
    <n v="24.75"/>
    <x v="1"/>
    <x v="0"/>
    <x v="1"/>
  </r>
  <r>
    <s v="XUE-87260-201"/>
    <x v="537"/>
    <s v="89646-21249-OH"/>
    <s v="R-M-0.2"/>
    <n v="6"/>
    <x v="655"/>
    <s v="sraglesjr@blogtalkradio.com"/>
    <x v="0"/>
    <s v="Rob"/>
    <s v="M"/>
    <x v="3"/>
    <n v="2.9849999999999999"/>
    <n v="17.91"/>
    <x v="0"/>
    <x v="0"/>
    <x v="1"/>
  </r>
  <r>
    <s v="CZF-40873-691"/>
    <x v="61"/>
    <s v="64988-20636-XQ"/>
    <s v="E-M-0.5"/>
    <n v="2"/>
    <x v="656"/>
    <s v=""/>
    <x v="2"/>
    <s v="Exc"/>
    <s v="M"/>
    <x v="1"/>
    <n v="8.25"/>
    <n v="16.5"/>
    <x v="1"/>
    <x v="0"/>
    <x v="1"/>
  </r>
  <r>
    <s v="AIA-98989-755"/>
    <x v="242"/>
    <s v="34704-83143-KS"/>
    <s v="R-M-0.2"/>
    <n v="1"/>
    <x v="657"/>
    <s v="sbruunjt@blogtalkradio.com"/>
    <x v="0"/>
    <s v="Rob"/>
    <s v="M"/>
    <x v="3"/>
    <n v="2.9849999999999999"/>
    <n v="2.9849999999999999"/>
    <x v="0"/>
    <x v="0"/>
    <x v="1"/>
  </r>
  <r>
    <s v="ITZ-21793-986"/>
    <x v="299"/>
    <s v="67388-17544-XX"/>
    <s v="E-D-0.2"/>
    <n v="4"/>
    <x v="658"/>
    <s v="aplluju@dagondesign.com"/>
    <x v="1"/>
    <s v="Exc"/>
    <s v="D"/>
    <x v="3"/>
    <n v="3.645"/>
    <n v="14.58"/>
    <x v="1"/>
    <x v="2"/>
    <x v="0"/>
  </r>
  <r>
    <s v="YOK-93322-608"/>
    <x v="343"/>
    <s v="69411-48470-ID"/>
    <s v="E-L-1"/>
    <n v="6"/>
    <x v="659"/>
    <s v="gcornierjv@techcrunch.com"/>
    <x v="0"/>
    <s v="Exc"/>
    <s v="L"/>
    <x v="0"/>
    <n v="14.85"/>
    <n v="89.1"/>
    <x v="1"/>
    <x v="1"/>
    <x v="1"/>
  </r>
  <r>
    <s v="LXK-00634-611"/>
    <x v="538"/>
    <s v="94091-86957-HX"/>
    <s v="R-L-1"/>
    <n v="3"/>
    <x v="636"/>
    <s v="jdymokeje@prnewswire.com"/>
    <x v="1"/>
    <s v="Rob"/>
    <s v="L"/>
    <x v="0"/>
    <n v="11.95"/>
    <n v="35.849999999999994"/>
    <x v="0"/>
    <x v="1"/>
    <x v="1"/>
  </r>
  <r>
    <s v="CQW-37388-302"/>
    <x v="539"/>
    <s v="97741-98924-KT"/>
    <s v="A-D-2.5"/>
    <n v="3"/>
    <x v="660"/>
    <s v="wharvisonjx@gizmodo.com"/>
    <x v="0"/>
    <s v="Ara"/>
    <s v="D"/>
    <x v="2"/>
    <n v="22.884999999999998"/>
    <n v="68.655000000000001"/>
    <x v="2"/>
    <x v="2"/>
    <x v="1"/>
  </r>
  <r>
    <s v="SPA-79365-334"/>
    <x v="27"/>
    <s v="79857-78167-KO"/>
    <s v="L-D-1"/>
    <n v="3"/>
    <x v="661"/>
    <s v="dheafordjy@twitpic.com"/>
    <x v="0"/>
    <s v="Lib"/>
    <s v="D"/>
    <x v="0"/>
    <n v="12.95"/>
    <n v="38.849999999999994"/>
    <x v="3"/>
    <x v="2"/>
    <x v="1"/>
  </r>
  <r>
    <s v="VPX-08817-517"/>
    <x v="540"/>
    <s v="46963-10322-ZA"/>
    <s v="L-L-1"/>
    <n v="5"/>
    <x v="662"/>
    <s v="gfanthamjz@hexun.com"/>
    <x v="0"/>
    <s v="Lib"/>
    <s v="L"/>
    <x v="0"/>
    <n v="15.85"/>
    <n v="79.25"/>
    <x v="3"/>
    <x v="1"/>
    <x v="0"/>
  </r>
  <r>
    <s v="PBP-87115-410"/>
    <x v="541"/>
    <s v="93812-74772-MV"/>
    <s v="E-D-0.5"/>
    <n v="5"/>
    <x v="663"/>
    <s v="rcrookshanksk0@unc.edu"/>
    <x v="0"/>
    <s v="Exc"/>
    <s v="D"/>
    <x v="1"/>
    <n v="7.29"/>
    <n v="36.450000000000003"/>
    <x v="1"/>
    <x v="2"/>
    <x v="0"/>
  </r>
  <r>
    <s v="SFB-93752-440"/>
    <x v="390"/>
    <s v="48203-23480-UB"/>
    <s v="R-M-0.2"/>
    <n v="3"/>
    <x v="664"/>
    <s v="nleakek1@cmu.edu"/>
    <x v="0"/>
    <s v="Rob"/>
    <s v="M"/>
    <x v="3"/>
    <n v="2.9849999999999999"/>
    <n v="8.9550000000000001"/>
    <x v="0"/>
    <x v="0"/>
    <x v="0"/>
  </r>
  <r>
    <s v="TBU-65158-068"/>
    <x v="396"/>
    <s v="60357-65386-RD"/>
    <s v="E-D-1"/>
    <n v="2"/>
    <x v="665"/>
    <s v=""/>
    <x v="0"/>
    <s v="Exc"/>
    <s v="D"/>
    <x v="0"/>
    <n v="12.15"/>
    <n v="24.3"/>
    <x v="1"/>
    <x v="2"/>
    <x v="1"/>
  </r>
  <r>
    <s v="TEH-08414-216"/>
    <x v="185"/>
    <s v="35099-13971-JI"/>
    <s v="E-M-2.5"/>
    <n v="2"/>
    <x v="666"/>
    <s v="geilhersenk3@networksolutions.com"/>
    <x v="0"/>
    <s v="Exc"/>
    <s v="M"/>
    <x v="2"/>
    <n v="31.624999999999996"/>
    <n v="63.249999999999993"/>
    <x v="1"/>
    <x v="0"/>
    <x v="1"/>
  </r>
  <r>
    <s v="MAY-77231-536"/>
    <x v="542"/>
    <s v="01304-59807-OB"/>
    <s v="A-M-0.2"/>
    <n v="2"/>
    <x v="667"/>
    <s v=""/>
    <x v="0"/>
    <s v="Ara"/>
    <s v="M"/>
    <x v="3"/>
    <n v="3.375"/>
    <n v="6.75"/>
    <x v="2"/>
    <x v="0"/>
    <x v="0"/>
  </r>
  <r>
    <s v="ATY-28980-884"/>
    <x v="117"/>
    <s v="50705-17295-NK"/>
    <s v="A-L-0.2"/>
    <n v="6"/>
    <x v="668"/>
    <s v="caleixok5@globo.com"/>
    <x v="0"/>
    <s v="Ara"/>
    <s v="L"/>
    <x v="3"/>
    <n v="3.8849999999999998"/>
    <n v="23.31"/>
    <x v="2"/>
    <x v="1"/>
    <x v="1"/>
  </r>
  <r>
    <s v="SWP-88281-918"/>
    <x v="543"/>
    <s v="77657-61366-FY"/>
    <s v="L-L-2.5"/>
    <n v="4"/>
    <x v="669"/>
    <s v=""/>
    <x v="0"/>
    <s v="Lib"/>
    <s v="L"/>
    <x v="2"/>
    <n v="36.454999999999998"/>
    <n v="145.82"/>
    <x v="3"/>
    <x v="1"/>
    <x v="1"/>
  </r>
  <r>
    <s v="VCE-56531-986"/>
    <x v="544"/>
    <s v="57192-13428-PL"/>
    <s v="R-M-0.5"/>
    <n v="5"/>
    <x v="670"/>
    <s v="rtomkowiczk7@bravesites.com"/>
    <x v="1"/>
    <s v="Rob"/>
    <s v="M"/>
    <x v="1"/>
    <n v="5.97"/>
    <n v="29.849999999999998"/>
    <x v="0"/>
    <x v="0"/>
    <x v="0"/>
  </r>
  <r>
    <s v="FVV-75700-005"/>
    <x v="545"/>
    <s v="24891-77957-LU"/>
    <s v="E-D-0.5"/>
    <n v="3"/>
    <x v="671"/>
    <s v="rhuscroftk8@jimdo.com"/>
    <x v="0"/>
    <s v="Exc"/>
    <s v="D"/>
    <x v="1"/>
    <n v="7.29"/>
    <n v="21.87"/>
    <x v="1"/>
    <x v="2"/>
    <x v="0"/>
  </r>
  <r>
    <s v="CFZ-53492-600"/>
    <x v="546"/>
    <s v="64896-18468-BT"/>
    <s v="L-M-0.2"/>
    <n v="1"/>
    <x v="672"/>
    <s v="sscurrerk9@flavors.me"/>
    <x v="2"/>
    <s v="Lib"/>
    <s v="M"/>
    <x v="3"/>
    <n v="4.3650000000000002"/>
    <n v="4.3650000000000002"/>
    <x v="3"/>
    <x v="0"/>
    <x v="1"/>
  </r>
  <r>
    <s v="LDK-71031-121"/>
    <x v="420"/>
    <s v="84761-40784-SV"/>
    <s v="L-L-2.5"/>
    <n v="1"/>
    <x v="673"/>
    <s v="arudramka@prnewswire.com"/>
    <x v="0"/>
    <s v="Lib"/>
    <s v="L"/>
    <x v="2"/>
    <n v="36.454999999999998"/>
    <n v="36.454999999999998"/>
    <x v="3"/>
    <x v="1"/>
    <x v="1"/>
  </r>
  <r>
    <s v="EBA-82404-343"/>
    <x v="547"/>
    <s v="20236-42322-CM"/>
    <s v="L-D-0.2"/>
    <n v="4"/>
    <x v="674"/>
    <s v=""/>
    <x v="0"/>
    <s v="Lib"/>
    <s v="D"/>
    <x v="3"/>
    <n v="3.8849999999999998"/>
    <n v="15.54"/>
    <x v="3"/>
    <x v="2"/>
    <x v="0"/>
  </r>
  <r>
    <s v="USA-42811-560"/>
    <x v="548"/>
    <s v="49671-11547-WG"/>
    <s v="E-L-0.2"/>
    <n v="2"/>
    <x v="675"/>
    <s v="jmahakc@cyberchimps.com"/>
    <x v="0"/>
    <s v="Exc"/>
    <s v="L"/>
    <x v="3"/>
    <n v="4.4550000000000001"/>
    <n v="8.91"/>
    <x v="1"/>
    <x v="1"/>
    <x v="1"/>
  </r>
  <r>
    <s v="SNL-83703-516"/>
    <x v="549"/>
    <s v="57976-33535-WK"/>
    <s v="L-M-2.5"/>
    <n v="3"/>
    <x v="676"/>
    <s v="gclemonkd@networksolutions.com"/>
    <x v="0"/>
    <s v="Lib"/>
    <s v="M"/>
    <x v="2"/>
    <n v="33.464999999999996"/>
    <n v="100.39499999999998"/>
    <x v="3"/>
    <x v="0"/>
    <x v="0"/>
  </r>
  <r>
    <s v="SUZ-83036-175"/>
    <x v="550"/>
    <s v="55915-19477-MK"/>
    <s v="R-D-0.2"/>
    <n v="5"/>
    <x v="677"/>
    <s v=""/>
    <x v="0"/>
    <s v="Rob"/>
    <s v="D"/>
    <x v="3"/>
    <n v="2.6849999999999996"/>
    <n v="13.424999999999997"/>
    <x v="0"/>
    <x v="2"/>
    <x v="1"/>
  </r>
  <r>
    <s v="RGM-01187-513"/>
    <x v="551"/>
    <s v="28121-11641-UA"/>
    <s v="E-D-0.2"/>
    <n v="6"/>
    <x v="678"/>
    <s v="bpollinskf@shinystat.com"/>
    <x v="0"/>
    <s v="Exc"/>
    <s v="D"/>
    <x v="3"/>
    <n v="3.645"/>
    <n v="21.87"/>
    <x v="1"/>
    <x v="2"/>
    <x v="1"/>
  </r>
  <r>
    <s v="CZG-01299-952"/>
    <x v="552"/>
    <s v="09540-70637-EV"/>
    <s v="L-D-1"/>
    <n v="2"/>
    <x v="679"/>
    <s v="jtoyekg@pinterest.com"/>
    <x v="1"/>
    <s v="Lib"/>
    <s v="D"/>
    <x v="0"/>
    <n v="12.95"/>
    <n v="25.9"/>
    <x v="3"/>
    <x v="2"/>
    <x v="0"/>
  </r>
  <r>
    <s v="KLD-88731-484"/>
    <x v="553"/>
    <s v="17775-77072-PP"/>
    <s v="A-M-1"/>
    <n v="5"/>
    <x v="680"/>
    <s v="clinskillkh@sphinn.com"/>
    <x v="0"/>
    <s v="Ara"/>
    <s v="M"/>
    <x v="0"/>
    <n v="11.25"/>
    <n v="56.25"/>
    <x v="2"/>
    <x v="0"/>
    <x v="1"/>
  </r>
  <r>
    <s v="BQK-38412-229"/>
    <x v="554"/>
    <s v="90392-73338-BC"/>
    <s v="R-L-0.2"/>
    <n v="3"/>
    <x v="681"/>
    <s v="nvigrasski@ezinearticles.com"/>
    <x v="2"/>
    <s v="Rob"/>
    <s v="L"/>
    <x v="3"/>
    <n v="3.5849999999999995"/>
    <n v="10.754999999999999"/>
    <x v="0"/>
    <x v="1"/>
    <x v="1"/>
  </r>
  <r>
    <s v="TCX-76953-071"/>
    <x v="555"/>
    <s v="94091-86957-HX"/>
    <s v="E-D-0.2"/>
    <n v="5"/>
    <x v="636"/>
    <s v="jdymokeje@prnewswire.com"/>
    <x v="1"/>
    <s v="Exc"/>
    <s v="D"/>
    <x v="3"/>
    <n v="3.645"/>
    <n v="18.225000000000001"/>
    <x v="1"/>
    <x v="2"/>
    <x v="1"/>
  </r>
  <r>
    <s v="LIN-88046-551"/>
    <x v="150"/>
    <s v="10725-45724-CO"/>
    <s v="R-L-0.5"/>
    <n v="4"/>
    <x v="682"/>
    <s v="kcragellkk@google.com"/>
    <x v="1"/>
    <s v="Rob"/>
    <s v="L"/>
    <x v="1"/>
    <n v="7.169999999999999"/>
    <n v="28.679999999999996"/>
    <x v="0"/>
    <x v="1"/>
    <x v="1"/>
  </r>
  <r>
    <s v="PMV-54491-220"/>
    <x v="556"/>
    <s v="87242-18006-IR"/>
    <s v="L-M-0.2"/>
    <n v="2"/>
    <x v="683"/>
    <s v="libertkl@huffingtonpost.com"/>
    <x v="0"/>
    <s v="Lib"/>
    <s v="M"/>
    <x v="3"/>
    <n v="4.3650000000000002"/>
    <n v="8.73"/>
    <x v="3"/>
    <x v="0"/>
    <x v="1"/>
  </r>
  <r>
    <s v="SKA-73676-005"/>
    <x v="327"/>
    <s v="36572-91896-PP"/>
    <s v="L-M-1"/>
    <n v="4"/>
    <x v="684"/>
    <s v="rlidgeykm@vimeo.com"/>
    <x v="0"/>
    <s v="Lib"/>
    <s v="M"/>
    <x v="0"/>
    <n v="14.55"/>
    <n v="58.2"/>
    <x v="3"/>
    <x v="0"/>
    <x v="1"/>
  </r>
  <r>
    <s v="TKH-62197-239"/>
    <x v="557"/>
    <s v="25181-97933-UX"/>
    <s v="A-D-0.5"/>
    <n v="3"/>
    <x v="685"/>
    <s v="tcastagnekn@wikia.com"/>
    <x v="0"/>
    <s v="Ara"/>
    <s v="D"/>
    <x v="1"/>
    <n v="5.97"/>
    <n v="17.91"/>
    <x v="2"/>
    <x v="2"/>
    <x v="1"/>
  </r>
  <r>
    <s v="YXF-57218-272"/>
    <x v="333"/>
    <s v="55374-03175-IA"/>
    <s v="R-M-0.2"/>
    <n v="6"/>
    <x v="686"/>
    <s v=""/>
    <x v="0"/>
    <s v="Rob"/>
    <s v="M"/>
    <x v="3"/>
    <n v="2.9849999999999999"/>
    <n v="17.91"/>
    <x v="0"/>
    <x v="0"/>
    <x v="0"/>
  </r>
  <r>
    <s v="PKJ-30083-501"/>
    <x v="558"/>
    <s v="76948-43532-JS"/>
    <s v="E-D-0.5"/>
    <n v="2"/>
    <x v="687"/>
    <s v="jhaldenkp@comcast.net"/>
    <x v="1"/>
    <s v="Exc"/>
    <s v="D"/>
    <x v="1"/>
    <n v="7.29"/>
    <n v="14.58"/>
    <x v="1"/>
    <x v="2"/>
    <x v="1"/>
  </r>
  <r>
    <s v="WTT-91832-645"/>
    <x v="559"/>
    <s v="24344-88599-PP"/>
    <s v="A-M-1"/>
    <n v="3"/>
    <x v="688"/>
    <s v="holliffkq@sciencedirect.com"/>
    <x v="1"/>
    <s v="Ara"/>
    <s v="M"/>
    <x v="0"/>
    <n v="11.25"/>
    <n v="33.75"/>
    <x v="2"/>
    <x v="0"/>
    <x v="1"/>
  </r>
  <r>
    <s v="TRZ-94735-865"/>
    <x v="310"/>
    <s v="54462-58311-YF"/>
    <s v="L-M-0.5"/>
    <n v="4"/>
    <x v="689"/>
    <s v="tquadrikr@opensource.org"/>
    <x v="1"/>
    <s v="Lib"/>
    <s v="M"/>
    <x v="1"/>
    <n v="8.73"/>
    <n v="34.92"/>
    <x v="3"/>
    <x v="0"/>
    <x v="0"/>
  </r>
  <r>
    <s v="UDB-09651-780"/>
    <x v="560"/>
    <s v="90767-92589-LV"/>
    <s v="E-D-0.5"/>
    <n v="2"/>
    <x v="690"/>
    <s v="feshmadeks@umn.edu"/>
    <x v="0"/>
    <s v="Exc"/>
    <s v="D"/>
    <x v="1"/>
    <n v="7.29"/>
    <n v="14.58"/>
    <x v="1"/>
    <x v="2"/>
    <x v="1"/>
  </r>
  <r>
    <s v="EHJ-82097-549"/>
    <x v="561"/>
    <s v="27517-43747-YD"/>
    <s v="R-D-0.2"/>
    <n v="2"/>
    <x v="691"/>
    <s v="moilierkt@paginegialle.it"/>
    <x v="1"/>
    <s v="Rob"/>
    <s v="D"/>
    <x v="3"/>
    <n v="2.6849999999999996"/>
    <n v="5.3699999999999992"/>
    <x v="0"/>
    <x v="2"/>
    <x v="0"/>
  </r>
  <r>
    <s v="ZFR-79447-696"/>
    <x v="562"/>
    <s v="77828-66867-KH"/>
    <s v="R-M-0.5"/>
    <n v="1"/>
    <x v="692"/>
    <s v=""/>
    <x v="0"/>
    <s v="Rob"/>
    <s v="M"/>
    <x v="1"/>
    <n v="5.97"/>
    <n v="5.97"/>
    <x v="0"/>
    <x v="0"/>
    <x v="0"/>
  </r>
  <r>
    <s v="NUU-03893-975"/>
    <x v="563"/>
    <s v="41054-59693-XE"/>
    <s v="L-L-0.5"/>
    <n v="2"/>
    <x v="693"/>
    <s v="vshoebothamkv@redcross.org"/>
    <x v="0"/>
    <s v="Lib"/>
    <s v="L"/>
    <x v="1"/>
    <n v="9.51"/>
    <n v="19.02"/>
    <x v="3"/>
    <x v="1"/>
    <x v="1"/>
  </r>
  <r>
    <s v="GVG-59542-307"/>
    <x v="564"/>
    <s v="26314-66792-VP"/>
    <s v="E-M-1"/>
    <n v="2"/>
    <x v="694"/>
    <s v="bsterkekw@biblegateway.com"/>
    <x v="0"/>
    <s v="Exc"/>
    <s v="M"/>
    <x v="0"/>
    <n v="13.75"/>
    <n v="27.5"/>
    <x v="1"/>
    <x v="0"/>
    <x v="0"/>
  </r>
  <r>
    <s v="YLY-35287-172"/>
    <x v="565"/>
    <s v="69410-04668-MA"/>
    <s v="A-D-0.5"/>
    <n v="5"/>
    <x v="695"/>
    <s v="scaponkx@craigslist.org"/>
    <x v="0"/>
    <s v="Ara"/>
    <s v="D"/>
    <x v="1"/>
    <n v="5.97"/>
    <n v="29.849999999999998"/>
    <x v="2"/>
    <x v="2"/>
    <x v="1"/>
  </r>
  <r>
    <s v="DCI-96254-548"/>
    <x v="566"/>
    <s v="94091-86957-HX"/>
    <s v="A-D-0.2"/>
    <n v="6"/>
    <x v="636"/>
    <s v="jdymokeje@prnewswire.com"/>
    <x v="1"/>
    <s v="Ara"/>
    <s v="D"/>
    <x v="3"/>
    <n v="2.9849999999999999"/>
    <n v="17.91"/>
    <x v="2"/>
    <x v="2"/>
    <x v="1"/>
  </r>
  <r>
    <s v="KHZ-26264-253"/>
    <x v="160"/>
    <s v="24972-55878-KX"/>
    <s v="L-L-0.2"/>
    <n v="6"/>
    <x v="696"/>
    <s v="fconstancekz@ifeng.com"/>
    <x v="0"/>
    <s v="Lib"/>
    <s v="L"/>
    <x v="3"/>
    <n v="4.7549999999999999"/>
    <n v="28.53"/>
    <x v="3"/>
    <x v="1"/>
    <x v="1"/>
  </r>
  <r>
    <s v="AAQ-13644-699"/>
    <x v="567"/>
    <s v="46296-42617-OQ"/>
    <s v="R-D-1"/>
    <n v="4"/>
    <x v="697"/>
    <s v="fsulmanl0@washington.edu"/>
    <x v="0"/>
    <s v="Rob"/>
    <s v="D"/>
    <x v="0"/>
    <n v="8.9499999999999993"/>
    <n v="35.799999999999997"/>
    <x v="0"/>
    <x v="2"/>
    <x v="0"/>
  </r>
  <r>
    <s v="LWL-68108-794"/>
    <x v="568"/>
    <s v="44494-89923-UW"/>
    <s v="A-D-0.5"/>
    <n v="3"/>
    <x v="698"/>
    <s v="dhollymanl1@ibm.com"/>
    <x v="0"/>
    <s v="Ara"/>
    <s v="D"/>
    <x v="1"/>
    <n v="5.97"/>
    <n v="17.91"/>
    <x v="2"/>
    <x v="2"/>
    <x v="0"/>
  </r>
  <r>
    <s v="JQT-14347-517"/>
    <x v="569"/>
    <s v="11621-09964-ID"/>
    <s v="R-D-1"/>
    <n v="1"/>
    <x v="699"/>
    <s v="lnardonil2@hao123.com"/>
    <x v="0"/>
    <s v="Rob"/>
    <s v="D"/>
    <x v="0"/>
    <n v="8.9499999999999993"/>
    <n v="8.9499999999999993"/>
    <x v="0"/>
    <x v="2"/>
    <x v="1"/>
  </r>
  <r>
    <s v="BMM-86471-923"/>
    <x v="570"/>
    <s v="76319-80715-II"/>
    <s v="L-D-2.5"/>
    <n v="1"/>
    <x v="700"/>
    <s v="dyarhaml3@moonfruit.com"/>
    <x v="0"/>
    <s v="Lib"/>
    <s v="D"/>
    <x v="2"/>
    <n v="29.784999999999997"/>
    <n v="29.784999999999997"/>
    <x v="3"/>
    <x v="2"/>
    <x v="0"/>
  </r>
  <r>
    <s v="IXU-67272-326"/>
    <x v="571"/>
    <s v="91654-79216-IC"/>
    <s v="E-L-0.5"/>
    <n v="5"/>
    <x v="701"/>
    <s v="aferreal4@wikia.com"/>
    <x v="0"/>
    <s v="Exc"/>
    <s v="L"/>
    <x v="1"/>
    <n v="8.91"/>
    <n v="44.55"/>
    <x v="1"/>
    <x v="1"/>
    <x v="1"/>
  </r>
  <r>
    <s v="ITE-28312-615"/>
    <x v="139"/>
    <s v="56450-21890-HK"/>
    <s v="E-L-1"/>
    <n v="6"/>
    <x v="702"/>
    <s v="ckendrickl5@webnode.com"/>
    <x v="0"/>
    <s v="Exc"/>
    <s v="L"/>
    <x v="0"/>
    <n v="14.85"/>
    <n v="89.1"/>
    <x v="1"/>
    <x v="1"/>
    <x v="0"/>
  </r>
  <r>
    <s v="ZHQ-30471-635"/>
    <x v="303"/>
    <s v="40600-58915-WZ"/>
    <s v="L-M-0.5"/>
    <n v="5"/>
    <x v="703"/>
    <s v="sdanilchikl6@mit.edu"/>
    <x v="2"/>
    <s v="Lib"/>
    <s v="M"/>
    <x v="1"/>
    <n v="8.73"/>
    <n v="43.650000000000006"/>
    <x v="3"/>
    <x v="0"/>
    <x v="1"/>
  </r>
  <r>
    <s v="LTP-31133-134"/>
    <x v="572"/>
    <s v="66527-94478-PB"/>
    <s v="A-L-0.5"/>
    <n v="3"/>
    <x v="704"/>
    <s v=""/>
    <x v="0"/>
    <s v="Ara"/>
    <s v="L"/>
    <x v="1"/>
    <n v="7.77"/>
    <n v="23.31"/>
    <x v="2"/>
    <x v="1"/>
    <x v="1"/>
  </r>
  <r>
    <s v="ZVQ-26122-859"/>
    <x v="573"/>
    <s v="77154-45038-IH"/>
    <s v="A-L-2.5"/>
    <n v="6"/>
    <x v="705"/>
    <s v="bfolomkinl8@yolasite.com"/>
    <x v="0"/>
    <s v="Ara"/>
    <s v="L"/>
    <x v="2"/>
    <n v="29.784999999999997"/>
    <n v="178.70999999999998"/>
    <x v="2"/>
    <x v="1"/>
    <x v="0"/>
  </r>
  <r>
    <s v="MIU-01481-194"/>
    <x v="574"/>
    <s v="08439-55669-AI"/>
    <s v="R-M-1"/>
    <n v="6"/>
    <x v="706"/>
    <s v="rpursglovel9@biblegateway.com"/>
    <x v="0"/>
    <s v="Rob"/>
    <s v="M"/>
    <x v="0"/>
    <n v="9.9499999999999993"/>
    <n v="59.699999999999996"/>
    <x v="0"/>
    <x v="0"/>
    <x v="0"/>
  </r>
  <r>
    <s v="MIU-01481-194"/>
    <x v="574"/>
    <s v="08439-55669-AI"/>
    <s v="A-L-0.5"/>
    <n v="2"/>
    <x v="706"/>
    <s v="rpursglovel9@biblegateway.com"/>
    <x v="0"/>
    <s v="Ara"/>
    <s v="L"/>
    <x v="1"/>
    <n v="7.77"/>
    <n v="15.54"/>
    <x v="2"/>
    <x v="1"/>
    <x v="0"/>
  </r>
  <r>
    <s v="UEA-72681-629"/>
    <x v="455"/>
    <s v="24972-55878-KX"/>
    <s v="A-L-2.5"/>
    <n v="3"/>
    <x v="696"/>
    <s v="fconstancekz@ifeng.com"/>
    <x v="0"/>
    <s v="Ara"/>
    <s v="L"/>
    <x v="2"/>
    <n v="29.784999999999997"/>
    <n v="89.35499999999999"/>
    <x v="2"/>
    <x v="1"/>
    <x v="1"/>
  </r>
  <r>
    <s v="CVE-15042-481"/>
    <x v="575"/>
    <s v="24972-55878-KX"/>
    <s v="R-L-1"/>
    <n v="2"/>
    <x v="696"/>
    <s v="fconstancekz@ifeng.com"/>
    <x v="0"/>
    <s v="Rob"/>
    <s v="L"/>
    <x v="0"/>
    <n v="11.95"/>
    <n v="23.9"/>
    <x v="0"/>
    <x v="1"/>
    <x v="1"/>
  </r>
  <r>
    <s v="EJA-79176-833"/>
    <x v="576"/>
    <s v="91509-62250-GN"/>
    <s v="R-M-2.5"/>
    <n v="6"/>
    <x v="707"/>
    <s v="deburahld@google.co.jp"/>
    <x v="2"/>
    <s v="Rob"/>
    <s v="M"/>
    <x v="2"/>
    <n v="22.884999999999998"/>
    <n v="137.31"/>
    <x v="0"/>
    <x v="0"/>
    <x v="1"/>
  </r>
  <r>
    <s v="AHQ-40440-522"/>
    <x v="577"/>
    <s v="83833-46106-ZC"/>
    <s v="A-D-1"/>
    <n v="1"/>
    <x v="708"/>
    <s v="mbrimilcombele@cnn.com"/>
    <x v="0"/>
    <s v="Ara"/>
    <s v="D"/>
    <x v="0"/>
    <n v="9.9499999999999993"/>
    <n v="9.9499999999999993"/>
    <x v="2"/>
    <x v="2"/>
    <x v="1"/>
  </r>
  <r>
    <s v="TID-21626-411"/>
    <x v="578"/>
    <s v="19383-33606-PW"/>
    <s v="R-L-0.5"/>
    <n v="3"/>
    <x v="709"/>
    <s v="sbollamlf@list-manage.com"/>
    <x v="0"/>
    <s v="Rob"/>
    <s v="L"/>
    <x v="1"/>
    <n v="7.169999999999999"/>
    <n v="21.509999999999998"/>
    <x v="0"/>
    <x v="1"/>
    <x v="1"/>
  </r>
  <r>
    <s v="RSR-96390-187"/>
    <x v="579"/>
    <s v="67052-76184-CB"/>
    <s v="E-M-1"/>
    <n v="6"/>
    <x v="710"/>
    <s v=""/>
    <x v="0"/>
    <s v="Exc"/>
    <s v="M"/>
    <x v="0"/>
    <n v="13.75"/>
    <n v="82.5"/>
    <x v="1"/>
    <x v="0"/>
    <x v="1"/>
  </r>
  <r>
    <s v="BZE-96093-118"/>
    <x v="91"/>
    <s v="43452-18035-DH"/>
    <s v="L-M-0.2"/>
    <n v="2"/>
    <x v="711"/>
    <s v="afilipczaklh@ning.com"/>
    <x v="1"/>
    <s v="Lib"/>
    <s v="M"/>
    <x v="3"/>
    <n v="4.3650000000000002"/>
    <n v="8.73"/>
    <x v="3"/>
    <x v="0"/>
    <x v="1"/>
  </r>
  <r>
    <s v="LOU-41819-242"/>
    <x v="272"/>
    <s v="88060-50676-MV"/>
    <s v="R-M-1"/>
    <n v="2"/>
    <x v="712"/>
    <s v=""/>
    <x v="0"/>
    <s v="Rob"/>
    <s v="M"/>
    <x v="0"/>
    <n v="9.9499999999999993"/>
    <n v="19.899999999999999"/>
    <x v="0"/>
    <x v="0"/>
    <x v="0"/>
  </r>
  <r>
    <s v="FND-99527-640"/>
    <x v="65"/>
    <s v="89574-96203-EP"/>
    <s v="E-L-0.5"/>
    <n v="2"/>
    <x v="713"/>
    <s v="relnaughlj@comsenz.com"/>
    <x v="0"/>
    <s v="Exc"/>
    <s v="L"/>
    <x v="1"/>
    <n v="8.91"/>
    <n v="17.82"/>
    <x v="1"/>
    <x v="1"/>
    <x v="0"/>
  </r>
  <r>
    <s v="ASG-27179-958"/>
    <x v="580"/>
    <s v="12607-75113-UV"/>
    <s v="A-M-0.5"/>
    <n v="3"/>
    <x v="714"/>
    <s v="jdeehanlk@about.me"/>
    <x v="0"/>
    <s v="Ara"/>
    <s v="M"/>
    <x v="1"/>
    <n v="6.75"/>
    <n v="20.25"/>
    <x v="2"/>
    <x v="0"/>
    <x v="1"/>
  </r>
  <r>
    <s v="YKX-23510-272"/>
    <x v="581"/>
    <s v="56991-05510-PR"/>
    <s v="A-L-2.5"/>
    <n v="2"/>
    <x v="715"/>
    <s v="jedenll@e-recht24.de"/>
    <x v="0"/>
    <s v="Ara"/>
    <s v="L"/>
    <x v="2"/>
    <n v="29.784999999999997"/>
    <n v="59.569999999999993"/>
    <x v="2"/>
    <x v="1"/>
    <x v="1"/>
  </r>
  <r>
    <s v="FSA-98650-921"/>
    <x v="489"/>
    <s v="01841-48191-NL"/>
    <s v="L-L-0.5"/>
    <n v="2"/>
    <x v="716"/>
    <s v="cjewsterlu@moonfruit.com"/>
    <x v="0"/>
    <s v="Lib"/>
    <s v="L"/>
    <x v="1"/>
    <n v="9.51"/>
    <n v="19.02"/>
    <x v="3"/>
    <x v="1"/>
    <x v="0"/>
  </r>
  <r>
    <s v="ZUR-55774-294"/>
    <x v="234"/>
    <s v="33269-10023-CO"/>
    <s v="L-D-1"/>
    <n v="6"/>
    <x v="717"/>
    <s v="usoutherdenln@hao123.com"/>
    <x v="0"/>
    <s v="Lib"/>
    <s v="D"/>
    <x v="0"/>
    <n v="12.95"/>
    <n v="77.699999999999989"/>
    <x v="3"/>
    <x v="2"/>
    <x v="0"/>
  </r>
  <r>
    <s v="FUO-99821-974"/>
    <x v="175"/>
    <s v="31245-81098-PJ"/>
    <s v="E-M-1"/>
    <n v="3"/>
    <x v="718"/>
    <s v=""/>
    <x v="0"/>
    <s v="Exc"/>
    <s v="M"/>
    <x v="0"/>
    <n v="13.75"/>
    <n v="41.25"/>
    <x v="1"/>
    <x v="0"/>
    <x v="1"/>
  </r>
  <r>
    <s v="YVH-19865-819"/>
    <x v="582"/>
    <s v="08946-56610-IH"/>
    <s v="L-L-2.5"/>
    <n v="4"/>
    <x v="719"/>
    <s v="lburtenshawlp@shinystat.com"/>
    <x v="0"/>
    <s v="Lib"/>
    <s v="L"/>
    <x v="2"/>
    <n v="36.454999999999998"/>
    <n v="145.82"/>
    <x v="3"/>
    <x v="1"/>
    <x v="1"/>
  </r>
  <r>
    <s v="NNF-47422-501"/>
    <x v="583"/>
    <s v="20260-32948-EB"/>
    <s v="E-L-0.2"/>
    <n v="6"/>
    <x v="720"/>
    <s v="agregorattilq@vistaprint.com"/>
    <x v="1"/>
    <s v="Exc"/>
    <s v="L"/>
    <x v="3"/>
    <n v="4.4550000000000001"/>
    <n v="26.73"/>
    <x v="1"/>
    <x v="1"/>
    <x v="1"/>
  </r>
  <r>
    <s v="RJI-71409-490"/>
    <x v="548"/>
    <s v="31613-41626-KX"/>
    <s v="L-M-0.5"/>
    <n v="5"/>
    <x v="721"/>
    <s v="ccrosterlr@gov.uk"/>
    <x v="0"/>
    <s v="Lib"/>
    <s v="M"/>
    <x v="1"/>
    <n v="8.73"/>
    <n v="43.650000000000006"/>
    <x v="3"/>
    <x v="0"/>
    <x v="0"/>
  </r>
  <r>
    <s v="UZL-46108-213"/>
    <x v="584"/>
    <s v="75961-20170-RD"/>
    <s v="L-L-1"/>
    <n v="2"/>
    <x v="722"/>
    <s v="gwhiteheadls@hp.com"/>
    <x v="0"/>
    <s v="Lib"/>
    <s v="L"/>
    <x v="0"/>
    <n v="15.85"/>
    <n v="31.7"/>
    <x v="3"/>
    <x v="1"/>
    <x v="1"/>
  </r>
  <r>
    <s v="AOX-44467-109"/>
    <x v="64"/>
    <s v="72524-06410-KD"/>
    <s v="A-D-2.5"/>
    <n v="1"/>
    <x v="723"/>
    <s v="hjodrellelt@samsung.com"/>
    <x v="0"/>
    <s v="Ara"/>
    <s v="D"/>
    <x v="2"/>
    <n v="22.884999999999998"/>
    <n v="22.884999999999998"/>
    <x v="2"/>
    <x v="2"/>
    <x v="1"/>
  </r>
  <r>
    <s v="TZD-67261-174"/>
    <x v="585"/>
    <s v="01841-48191-NL"/>
    <s v="E-D-2.5"/>
    <n v="1"/>
    <x v="716"/>
    <s v="cjewsterlu@moonfruit.com"/>
    <x v="0"/>
    <s v="Exc"/>
    <s v="D"/>
    <x v="2"/>
    <n v="27.945"/>
    <n v="27.945"/>
    <x v="1"/>
    <x v="2"/>
    <x v="0"/>
  </r>
  <r>
    <s v="TBU-64277-625"/>
    <x v="32"/>
    <s v="98918-34330-GY"/>
    <s v="E-M-1"/>
    <n v="6"/>
    <x v="724"/>
    <s v=""/>
    <x v="0"/>
    <s v="Exc"/>
    <s v="M"/>
    <x v="0"/>
    <n v="13.75"/>
    <n v="82.5"/>
    <x v="1"/>
    <x v="0"/>
    <x v="0"/>
  </r>
  <r>
    <s v="TYP-85767-944"/>
    <x v="586"/>
    <s v="51497-50894-WU"/>
    <s v="R-M-2.5"/>
    <n v="2"/>
    <x v="725"/>
    <s v="knottramlw@odnoklassniki.ru"/>
    <x v="1"/>
    <s v="Rob"/>
    <s v="M"/>
    <x v="2"/>
    <n v="22.884999999999998"/>
    <n v="45.769999999999996"/>
    <x v="0"/>
    <x v="0"/>
    <x v="0"/>
  </r>
  <r>
    <s v="GTT-73214-334"/>
    <x v="535"/>
    <s v="98636-90072-YE"/>
    <s v="A-L-1"/>
    <n v="6"/>
    <x v="726"/>
    <s v="nbuneylx@jugem.jp"/>
    <x v="0"/>
    <s v="Ara"/>
    <s v="L"/>
    <x v="0"/>
    <n v="12.95"/>
    <n v="77.699999999999989"/>
    <x v="2"/>
    <x v="1"/>
    <x v="1"/>
  </r>
  <r>
    <s v="WAI-89905-069"/>
    <x v="587"/>
    <s v="47011-57815-HJ"/>
    <s v="A-L-0.5"/>
    <n v="3"/>
    <x v="727"/>
    <s v="smcshealy@photobucket.com"/>
    <x v="0"/>
    <s v="Ara"/>
    <s v="L"/>
    <x v="1"/>
    <n v="7.77"/>
    <n v="23.31"/>
    <x v="2"/>
    <x v="1"/>
    <x v="1"/>
  </r>
  <r>
    <s v="OJL-96844-459"/>
    <x v="393"/>
    <s v="61253-98356-VD"/>
    <s v="L-L-0.2"/>
    <n v="5"/>
    <x v="728"/>
    <s v="khuddartlz@about.com"/>
    <x v="0"/>
    <s v="Lib"/>
    <s v="L"/>
    <x v="3"/>
    <n v="4.7549999999999999"/>
    <n v="23.774999999999999"/>
    <x v="3"/>
    <x v="1"/>
    <x v="0"/>
  </r>
  <r>
    <s v="VGI-33205-360"/>
    <x v="588"/>
    <s v="96762-10814-DA"/>
    <s v="L-M-0.5"/>
    <n v="6"/>
    <x v="729"/>
    <s v="jgippesm0@cloudflare.com"/>
    <x v="2"/>
    <s v="Lib"/>
    <s v="M"/>
    <x v="1"/>
    <n v="8.73"/>
    <n v="52.38"/>
    <x v="3"/>
    <x v="0"/>
    <x v="0"/>
  </r>
  <r>
    <s v="PCA-14081-576"/>
    <x v="15"/>
    <s v="63112-10870-LC"/>
    <s v="R-L-0.2"/>
    <n v="5"/>
    <x v="730"/>
    <s v="lwhittleseem1@e-recht24.de"/>
    <x v="0"/>
    <s v="Rob"/>
    <s v="L"/>
    <x v="3"/>
    <n v="3.5849999999999995"/>
    <n v="17.924999999999997"/>
    <x v="0"/>
    <x v="1"/>
    <x v="1"/>
  </r>
  <r>
    <s v="SCS-67069-962"/>
    <x v="507"/>
    <s v="21403-49423-PD"/>
    <s v="A-L-2.5"/>
    <n v="5"/>
    <x v="731"/>
    <s v="gtrengrovem2@elpais.com"/>
    <x v="0"/>
    <s v="Ara"/>
    <s v="L"/>
    <x v="2"/>
    <n v="29.784999999999997"/>
    <n v="148.92499999999998"/>
    <x v="2"/>
    <x v="1"/>
    <x v="1"/>
  </r>
  <r>
    <s v="BDM-03174-485"/>
    <x v="533"/>
    <s v="29581-13303-VB"/>
    <s v="R-L-0.5"/>
    <n v="4"/>
    <x v="732"/>
    <s v="wcalderom3@stumbleupon.com"/>
    <x v="0"/>
    <s v="Rob"/>
    <s v="L"/>
    <x v="1"/>
    <n v="7.169999999999999"/>
    <n v="28.679999999999996"/>
    <x v="0"/>
    <x v="1"/>
    <x v="1"/>
  </r>
  <r>
    <s v="UJV-32333-364"/>
    <x v="589"/>
    <s v="86110-83695-YS"/>
    <s v="L-L-0.5"/>
    <n v="1"/>
    <x v="733"/>
    <s v=""/>
    <x v="0"/>
    <s v="Lib"/>
    <s v="L"/>
    <x v="1"/>
    <n v="9.51"/>
    <n v="9.51"/>
    <x v="3"/>
    <x v="1"/>
    <x v="1"/>
  </r>
  <r>
    <s v="FLI-11493-954"/>
    <x v="590"/>
    <s v="80454-42225-FT"/>
    <s v="A-L-0.5"/>
    <n v="4"/>
    <x v="734"/>
    <s v="jkennicottm5@yahoo.co.jp"/>
    <x v="0"/>
    <s v="Ara"/>
    <s v="L"/>
    <x v="1"/>
    <n v="7.77"/>
    <n v="31.08"/>
    <x v="2"/>
    <x v="1"/>
    <x v="1"/>
  </r>
  <r>
    <s v="IWL-13117-537"/>
    <x v="457"/>
    <s v="29129-60664-KO"/>
    <s v="R-D-0.2"/>
    <n v="3"/>
    <x v="735"/>
    <s v="gruggenm6@nymag.com"/>
    <x v="0"/>
    <s v="Rob"/>
    <s v="D"/>
    <x v="3"/>
    <n v="2.6849999999999996"/>
    <n v="8.0549999999999997"/>
    <x v="0"/>
    <x v="2"/>
    <x v="0"/>
  </r>
  <r>
    <s v="OAM-76916-748"/>
    <x v="591"/>
    <s v="63025-62939-AN"/>
    <s v="E-D-1"/>
    <n v="3"/>
    <x v="736"/>
    <s v=""/>
    <x v="0"/>
    <s v="Exc"/>
    <s v="D"/>
    <x v="0"/>
    <n v="12.15"/>
    <n v="36.450000000000003"/>
    <x v="1"/>
    <x v="2"/>
    <x v="0"/>
  </r>
  <r>
    <s v="UMB-11223-710"/>
    <x v="592"/>
    <s v="49012-12987-QT"/>
    <s v="R-D-0.2"/>
    <n v="6"/>
    <x v="737"/>
    <s v="mfrightm8@harvard.edu"/>
    <x v="1"/>
    <s v="Rob"/>
    <s v="D"/>
    <x v="3"/>
    <n v="2.6849999999999996"/>
    <n v="16.11"/>
    <x v="0"/>
    <x v="2"/>
    <x v="1"/>
  </r>
  <r>
    <s v="LXR-09892-726"/>
    <x v="402"/>
    <s v="50924-94200-SQ"/>
    <s v="R-D-2.5"/>
    <n v="2"/>
    <x v="738"/>
    <s v="btartem9@aol.com"/>
    <x v="0"/>
    <s v="Rob"/>
    <s v="D"/>
    <x v="2"/>
    <n v="20.584999999999997"/>
    <n v="41.169999999999995"/>
    <x v="0"/>
    <x v="2"/>
    <x v="0"/>
  </r>
  <r>
    <s v="QXX-89943-393"/>
    <x v="593"/>
    <s v="15673-18812-IU"/>
    <s v="R-D-0.2"/>
    <n v="4"/>
    <x v="739"/>
    <s v="ckrzysztofiakma@skyrock.com"/>
    <x v="0"/>
    <s v="Rob"/>
    <s v="D"/>
    <x v="3"/>
    <n v="2.6849999999999996"/>
    <n v="10.739999999999998"/>
    <x v="0"/>
    <x v="2"/>
    <x v="1"/>
  </r>
  <r>
    <s v="WVS-57822-366"/>
    <x v="594"/>
    <s v="52151-75971-YY"/>
    <s v="E-M-2.5"/>
    <n v="4"/>
    <x v="740"/>
    <s v="dpenquetmb@diigo.com"/>
    <x v="0"/>
    <s v="Exc"/>
    <s v="M"/>
    <x v="2"/>
    <n v="31.624999999999996"/>
    <n v="126.49999999999999"/>
    <x v="1"/>
    <x v="0"/>
    <x v="1"/>
  </r>
  <r>
    <s v="CLJ-23403-689"/>
    <x v="77"/>
    <s v="19413-02045-CG"/>
    <s v="R-L-1"/>
    <n v="2"/>
    <x v="741"/>
    <s v=""/>
    <x v="2"/>
    <s v="Rob"/>
    <s v="L"/>
    <x v="0"/>
    <n v="11.95"/>
    <n v="23.9"/>
    <x v="0"/>
    <x v="1"/>
    <x v="1"/>
  </r>
  <r>
    <s v="XNU-83276-288"/>
    <x v="595"/>
    <s v="98185-92775-KT"/>
    <s v="R-M-0.5"/>
    <n v="1"/>
    <x v="742"/>
    <s v=""/>
    <x v="0"/>
    <s v="Rob"/>
    <s v="M"/>
    <x v="1"/>
    <n v="5.97"/>
    <n v="5.97"/>
    <x v="0"/>
    <x v="0"/>
    <x v="1"/>
  </r>
  <r>
    <s v="YOG-94666-679"/>
    <x v="596"/>
    <s v="86991-53901-AT"/>
    <s v="L-D-0.2"/>
    <n v="2"/>
    <x v="743"/>
    <s v=""/>
    <x v="2"/>
    <s v="Lib"/>
    <s v="D"/>
    <x v="3"/>
    <n v="3.8849999999999998"/>
    <n v="7.77"/>
    <x v="3"/>
    <x v="2"/>
    <x v="0"/>
  </r>
  <r>
    <s v="KHG-33953-115"/>
    <x v="514"/>
    <s v="78226-97287-JI"/>
    <s v="L-D-0.5"/>
    <n v="3"/>
    <x v="744"/>
    <s v="kferrettimf@huffingtonpost.com"/>
    <x v="1"/>
    <s v="Lib"/>
    <s v="D"/>
    <x v="1"/>
    <n v="7.77"/>
    <n v="23.31"/>
    <x v="3"/>
    <x v="2"/>
    <x v="1"/>
  </r>
  <r>
    <s v="MHD-95615-696"/>
    <x v="54"/>
    <s v="27930-59250-JT"/>
    <s v="R-L-2.5"/>
    <n v="5"/>
    <x v="745"/>
    <s v=""/>
    <x v="0"/>
    <s v="Rob"/>
    <s v="L"/>
    <x v="2"/>
    <n v="27.484999999999996"/>
    <n v="137.42499999999998"/>
    <x v="0"/>
    <x v="1"/>
    <x v="1"/>
  </r>
  <r>
    <s v="HBH-64794-080"/>
    <x v="597"/>
    <s v="40560-18556-YE"/>
    <s v="R-D-0.2"/>
    <n v="3"/>
    <x v="746"/>
    <s v=""/>
    <x v="0"/>
    <s v="Rob"/>
    <s v="D"/>
    <x v="3"/>
    <n v="2.6849999999999996"/>
    <n v="8.0549999999999997"/>
    <x v="0"/>
    <x v="2"/>
    <x v="0"/>
  </r>
  <r>
    <s v="CNJ-56058-223"/>
    <x v="105"/>
    <s v="40780-22081-LX"/>
    <s v="L-L-0.5"/>
    <n v="3"/>
    <x v="747"/>
    <s v="abalsdonemi@toplist.cz"/>
    <x v="0"/>
    <s v="Lib"/>
    <s v="L"/>
    <x v="1"/>
    <n v="9.51"/>
    <n v="28.53"/>
    <x v="3"/>
    <x v="1"/>
    <x v="1"/>
  </r>
  <r>
    <s v="KHO-27106-786"/>
    <x v="210"/>
    <s v="01603-43789-TN"/>
    <s v="A-M-1"/>
    <n v="6"/>
    <x v="748"/>
    <s v="bromeramj@list-manage.com"/>
    <x v="1"/>
    <s v="Ara"/>
    <s v="M"/>
    <x v="0"/>
    <n v="11.25"/>
    <n v="67.5"/>
    <x v="2"/>
    <x v="0"/>
    <x v="0"/>
  </r>
  <r>
    <s v="KHO-27106-786"/>
    <x v="210"/>
    <s v="01603-43789-TN"/>
    <s v="L-D-2.5"/>
    <n v="6"/>
    <x v="748"/>
    <s v="bromeramj@list-manage.com"/>
    <x v="1"/>
    <s v="Lib"/>
    <s v="D"/>
    <x v="2"/>
    <n v="29.784999999999997"/>
    <n v="178.70999999999998"/>
    <x v="3"/>
    <x v="2"/>
    <x v="0"/>
  </r>
  <r>
    <s v="YAC-50329-982"/>
    <x v="598"/>
    <s v="75419-92838-TI"/>
    <s v="E-M-2.5"/>
    <n v="1"/>
    <x v="749"/>
    <s v="cbrydeml@tuttocitta.it"/>
    <x v="0"/>
    <s v="Exc"/>
    <s v="M"/>
    <x v="2"/>
    <n v="31.624999999999996"/>
    <n v="31.624999999999996"/>
    <x v="1"/>
    <x v="0"/>
    <x v="0"/>
  </r>
  <r>
    <s v="VVL-95291-039"/>
    <x v="360"/>
    <s v="96516-97464-MF"/>
    <s v="E-L-0.2"/>
    <n v="2"/>
    <x v="750"/>
    <s v="senefermm@blog.com"/>
    <x v="0"/>
    <s v="Exc"/>
    <s v="L"/>
    <x v="3"/>
    <n v="4.4550000000000001"/>
    <n v="8.91"/>
    <x v="1"/>
    <x v="1"/>
    <x v="1"/>
  </r>
  <r>
    <s v="VUT-20974-364"/>
    <x v="62"/>
    <s v="90285-56295-PO"/>
    <s v="R-M-0.5"/>
    <n v="6"/>
    <x v="751"/>
    <s v="lhaggerstonemn@independent.co.uk"/>
    <x v="0"/>
    <s v="Rob"/>
    <s v="M"/>
    <x v="1"/>
    <n v="5.97"/>
    <n v="35.82"/>
    <x v="0"/>
    <x v="0"/>
    <x v="1"/>
  </r>
  <r>
    <s v="SFC-34054-213"/>
    <x v="599"/>
    <s v="08100-71102-HQ"/>
    <s v="L-L-0.5"/>
    <n v="4"/>
    <x v="752"/>
    <s v="mgundrymo@omniture.com"/>
    <x v="1"/>
    <s v="Lib"/>
    <s v="L"/>
    <x v="1"/>
    <n v="9.51"/>
    <n v="38.04"/>
    <x v="3"/>
    <x v="1"/>
    <x v="1"/>
  </r>
  <r>
    <s v="UDS-04807-593"/>
    <x v="600"/>
    <s v="84074-28110-OV"/>
    <s v="L-D-0.5"/>
    <n v="2"/>
    <x v="753"/>
    <s v="bwellanmp@cafepress.com"/>
    <x v="0"/>
    <s v="Lib"/>
    <s v="D"/>
    <x v="1"/>
    <n v="7.77"/>
    <n v="15.54"/>
    <x v="3"/>
    <x v="2"/>
    <x v="1"/>
  </r>
  <r>
    <s v="FWE-98471-488"/>
    <x v="601"/>
    <s v="27930-59250-JT"/>
    <s v="L-L-1"/>
    <n v="5"/>
    <x v="745"/>
    <s v=""/>
    <x v="0"/>
    <s v="Lib"/>
    <s v="L"/>
    <x v="0"/>
    <n v="15.85"/>
    <n v="79.25"/>
    <x v="3"/>
    <x v="1"/>
    <x v="1"/>
  </r>
  <r>
    <s v="RAU-17060-674"/>
    <x v="602"/>
    <s v="12747-63766-EU"/>
    <s v="L-L-0.2"/>
    <n v="1"/>
    <x v="754"/>
    <s v="catchesonmr@xinhuanet.com"/>
    <x v="0"/>
    <s v="Lib"/>
    <s v="L"/>
    <x v="3"/>
    <n v="4.7549999999999999"/>
    <n v="4.7549999999999999"/>
    <x v="3"/>
    <x v="1"/>
    <x v="0"/>
  </r>
  <r>
    <s v="AOL-13866-711"/>
    <x v="603"/>
    <s v="83490-88357-LJ"/>
    <s v="E-M-1"/>
    <n v="4"/>
    <x v="755"/>
    <s v="estentonms@google.it"/>
    <x v="0"/>
    <s v="Exc"/>
    <s v="M"/>
    <x v="0"/>
    <n v="13.75"/>
    <n v="55"/>
    <x v="1"/>
    <x v="0"/>
    <x v="0"/>
  </r>
  <r>
    <s v="NOA-79645-377"/>
    <x v="604"/>
    <s v="53729-30320-XZ"/>
    <s v="R-D-0.5"/>
    <n v="5"/>
    <x v="756"/>
    <s v="etrippmt@wp.com"/>
    <x v="0"/>
    <s v="Rob"/>
    <s v="D"/>
    <x v="1"/>
    <n v="5.3699999999999992"/>
    <n v="26.849999999999994"/>
    <x v="0"/>
    <x v="2"/>
    <x v="1"/>
  </r>
  <r>
    <s v="KMS-49214-806"/>
    <x v="605"/>
    <s v="50384-52703-LA"/>
    <s v="E-L-2.5"/>
    <n v="4"/>
    <x v="757"/>
    <s v="lmacmanusmu@imdb.com"/>
    <x v="0"/>
    <s v="Exc"/>
    <s v="L"/>
    <x v="2"/>
    <n v="34.154999999999994"/>
    <n v="136.61999999999998"/>
    <x v="1"/>
    <x v="1"/>
    <x v="1"/>
  </r>
  <r>
    <s v="ABK-08091-531"/>
    <x v="606"/>
    <s v="53864-36201-FG"/>
    <s v="L-L-1"/>
    <n v="3"/>
    <x v="758"/>
    <s v="tbenediktovichmv@ebay.com"/>
    <x v="0"/>
    <s v="Lib"/>
    <s v="L"/>
    <x v="0"/>
    <n v="15.85"/>
    <n v="47.55"/>
    <x v="3"/>
    <x v="1"/>
    <x v="0"/>
  </r>
  <r>
    <s v="GPT-67705-953"/>
    <x v="446"/>
    <s v="70631-33225-MZ"/>
    <s v="A-M-0.2"/>
    <n v="5"/>
    <x v="759"/>
    <s v="cbournermw@chronoengine.com"/>
    <x v="0"/>
    <s v="Ara"/>
    <s v="M"/>
    <x v="3"/>
    <n v="3.375"/>
    <n v="16.875"/>
    <x v="2"/>
    <x v="0"/>
    <x v="0"/>
  </r>
  <r>
    <s v="JNA-21450-177"/>
    <x v="18"/>
    <s v="54798-14109-HC"/>
    <s v="A-D-1"/>
    <n v="3"/>
    <x v="760"/>
    <s v="oskermen3@hatena.ne.jp"/>
    <x v="0"/>
    <s v="Ara"/>
    <s v="D"/>
    <x v="0"/>
    <n v="9.9499999999999993"/>
    <n v="29.849999999999998"/>
    <x v="2"/>
    <x v="2"/>
    <x v="0"/>
  </r>
  <r>
    <s v="MPQ-23421-608"/>
    <x v="180"/>
    <s v="08023-52962-ET"/>
    <s v="E-M-0.5"/>
    <n v="5"/>
    <x v="761"/>
    <s v="kheddanmy@icq.com"/>
    <x v="0"/>
    <s v="Exc"/>
    <s v="M"/>
    <x v="1"/>
    <n v="8.25"/>
    <n v="41.25"/>
    <x v="1"/>
    <x v="0"/>
    <x v="0"/>
  </r>
  <r>
    <s v="NLI-63891-565"/>
    <x v="580"/>
    <s v="41899-00283-VK"/>
    <s v="E-M-0.2"/>
    <n v="5"/>
    <x v="762"/>
    <s v="ichartersmz@abc.net.au"/>
    <x v="0"/>
    <s v="Exc"/>
    <s v="M"/>
    <x v="3"/>
    <n v="4.125"/>
    <n v="20.625"/>
    <x v="1"/>
    <x v="0"/>
    <x v="1"/>
  </r>
  <r>
    <s v="HHF-36647-854"/>
    <x v="453"/>
    <s v="39011-18412-GR"/>
    <s v="A-D-2.5"/>
    <n v="6"/>
    <x v="763"/>
    <s v="aroubertn0@tmall.com"/>
    <x v="0"/>
    <s v="Ara"/>
    <s v="D"/>
    <x v="2"/>
    <n v="22.884999999999998"/>
    <n v="137.31"/>
    <x v="2"/>
    <x v="2"/>
    <x v="0"/>
  </r>
  <r>
    <s v="SBN-16537-046"/>
    <x v="259"/>
    <s v="60255-12579-PZ"/>
    <s v="A-D-0.2"/>
    <n v="1"/>
    <x v="764"/>
    <s v="hmairsn1@so-net.ne.jp"/>
    <x v="0"/>
    <s v="Ara"/>
    <s v="D"/>
    <x v="3"/>
    <n v="2.9849999999999999"/>
    <n v="2.9849999999999999"/>
    <x v="2"/>
    <x v="2"/>
    <x v="1"/>
  </r>
  <r>
    <s v="XZD-44484-632"/>
    <x v="607"/>
    <s v="80541-38332-BP"/>
    <s v="E-M-1"/>
    <n v="2"/>
    <x v="765"/>
    <s v="hrainforthn2@blog.com"/>
    <x v="0"/>
    <s v="Exc"/>
    <s v="M"/>
    <x v="0"/>
    <n v="13.75"/>
    <n v="27.5"/>
    <x v="1"/>
    <x v="0"/>
    <x v="1"/>
  </r>
  <r>
    <s v="XZD-44484-632"/>
    <x v="607"/>
    <s v="80541-38332-BP"/>
    <s v="A-D-0.2"/>
    <n v="2"/>
    <x v="765"/>
    <s v="hrainforthn2@blog.com"/>
    <x v="0"/>
    <s v="Ara"/>
    <s v="D"/>
    <x v="3"/>
    <n v="2.9849999999999999"/>
    <n v="5.97"/>
    <x v="2"/>
    <x v="2"/>
    <x v="1"/>
  </r>
  <r>
    <s v="IKQ-39946-768"/>
    <x v="385"/>
    <s v="72778-50968-UQ"/>
    <s v="R-M-1"/>
    <n v="6"/>
    <x v="766"/>
    <s v="ijespern4@theglobeandmail.com"/>
    <x v="0"/>
    <s v="Rob"/>
    <s v="M"/>
    <x v="0"/>
    <n v="9.9499999999999993"/>
    <n v="59.699999999999996"/>
    <x v="0"/>
    <x v="0"/>
    <x v="1"/>
  </r>
  <r>
    <s v="KMB-95211-174"/>
    <x v="608"/>
    <s v="23941-30203-MO"/>
    <s v="R-D-2.5"/>
    <n v="4"/>
    <x v="767"/>
    <s v="ldwerryhousen5@gravatar.com"/>
    <x v="0"/>
    <s v="Rob"/>
    <s v="D"/>
    <x v="2"/>
    <n v="20.584999999999997"/>
    <n v="82.339999999999989"/>
    <x v="0"/>
    <x v="2"/>
    <x v="0"/>
  </r>
  <r>
    <s v="QWY-99467-368"/>
    <x v="609"/>
    <s v="96434-50068-DZ"/>
    <s v="A-D-2.5"/>
    <n v="1"/>
    <x v="768"/>
    <s v="nbroomern6@examiner.com"/>
    <x v="0"/>
    <s v="Ara"/>
    <s v="D"/>
    <x v="2"/>
    <n v="22.884999999999998"/>
    <n v="22.884999999999998"/>
    <x v="2"/>
    <x v="2"/>
    <x v="1"/>
  </r>
  <r>
    <s v="SRG-76791-614"/>
    <x v="147"/>
    <s v="11729-74102-XB"/>
    <s v="E-L-0.5"/>
    <n v="1"/>
    <x v="769"/>
    <s v="kthoumassonn7@bloglovin.com"/>
    <x v="0"/>
    <s v="Exc"/>
    <s v="L"/>
    <x v="1"/>
    <n v="8.91"/>
    <n v="8.91"/>
    <x v="1"/>
    <x v="1"/>
    <x v="0"/>
  </r>
  <r>
    <s v="VSN-94485-621"/>
    <x v="172"/>
    <s v="88116-12604-TE"/>
    <s v="A-D-0.2"/>
    <n v="4"/>
    <x v="770"/>
    <s v="fhabberghamn8@discovery.com"/>
    <x v="0"/>
    <s v="Ara"/>
    <s v="D"/>
    <x v="3"/>
    <n v="2.9849999999999999"/>
    <n v="11.94"/>
    <x v="2"/>
    <x v="2"/>
    <x v="1"/>
  </r>
  <r>
    <s v="UFZ-24348-219"/>
    <x v="610"/>
    <s v="27930-59250-JT"/>
    <s v="L-M-2.5"/>
    <n v="3"/>
    <x v="745"/>
    <s v=""/>
    <x v="0"/>
    <s v="Lib"/>
    <s v="M"/>
    <x v="2"/>
    <n v="33.464999999999996"/>
    <n v="100.39499999999998"/>
    <x v="3"/>
    <x v="0"/>
    <x v="1"/>
  </r>
  <r>
    <s v="UKS-93055-397"/>
    <x v="611"/>
    <s v="13082-41034-PD"/>
    <s v="A-D-2.5"/>
    <n v="5"/>
    <x v="771"/>
    <s v="ravrashinna@tamu.edu"/>
    <x v="0"/>
    <s v="Ara"/>
    <s v="D"/>
    <x v="2"/>
    <n v="22.884999999999998"/>
    <n v="114.42499999999998"/>
    <x v="2"/>
    <x v="2"/>
    <x v="1"/>
  </r>
  <r>
    <s v="AVH-56062-335"/>
    <x v="612"/>
    <s v="18082-74419-QH"/>
    <s v="E-M-0.5"/>
    <n v="5"/>
    <x v="772"/>
    <s v="mdoidgenb@etsy.com"/>
    <x v="0"/>
    <s v="Exc"/>
    <s v="M"/>
    <x v="1"/>
    <n v="8.25"/>
    <n v="41.25"/>
    <x v="1"/>
    <x v="0"/>
    <x v="1"/>
  </r>
  <r>
    <s v="HGE-19842-613"/>
    <x v="613"/>
    <s v="49401-45041-ZU"/>
    <s v="R-L-0.5"/>
    <n v="4"/>
    <x v="773"/>
    <s v="jedinboronc@reverbnation.com"/>
    <x v="0"/>
    <s v="Rob"/>
    <s v="L"/>
    <x v="1"/>
    <n v="7.169999999999999"/>
    <n v="28.679999999999996"/>
    <x v="0"/>
    <x v="1"/>
    <x v="0"/>
  </r>
  <r>
    <s v="WBA-85905-175"/>
    <x v="611"/>
    <s v="41252-45992-VS"/>
    <s v="L-M-0.2"/>
    <n v="1"/>
    <x v="774"/>
    <s v="ttewelsonnd@cdbaby.com"/>
    <x v="0"/>
    <s v="Lib"/>
    <s v="M"/>
    <x v="3"/>
    <n v="4.3650000000000002"/>
    <n v="4.3650000000000002"/>
    <x v="3"/>
    <x v="0"/>
    <x v="1"/>
  </r>
  <r>
    <s v="DZI-35365-596"/>
    <x v="493"/>
    <s v="54798-14109-HC"/>
    <s v="E-M-0.2"/>
    <n v="2"/>
    <x v="760"/>
    <s v="oskermen3@hatena.ne.jp"/>
    <x v="0"/>
    <s v="Exc"/>
    <s v="M"/>
    <x v="3"/>
    <n v="4.125"/>
    <n v="8.25"/>
    <x v="1"/>
    <x v="0"/>
    <x v="0"/>
  </r>
  <r>
    <s v="XIR-88982-743"/>
    <x v="614"/>
    <s v="00852-54571-WP"/>
    <s v="E-M-0.2"/>
    <n v="2"/>
    <x v="775"/>
    <s v="ddrewittnf@mapquest.com"/>
    <x v="0"/>
    <s v="Exc"/>
    <s v="M"/>
    <x v="3"/>
    <n v="4.125"/>
    <n v="8.25"/>
    <x v="1"/>
    <x v="0"/>
    <x v="0"/>
  </r>
  <r>
    <s v="VUC-72395-865"/>
    <x v="151"/>
    <s v="13321-57602-GK"/>
    <s v="A-D-0.5"/>
    <n v="6"/>
    <x v="776"/>
    <s v="agladhillng@stanford.edu"/>
    <x v="0"/>
    <s v="Ara"/>
    <s v="D"/>
    <x v="1"/>
    <n v="5.97"/>
    <n v="35.82"/>
    <x v="2"/>
    <x v="2"/>
    <x v="0"/>
  </r>
  <r>
    <s v="BQJ-44755-910"/>
    <x v="489"/>
    <s v="75006-89922-VW"/>
    <s v="E-D-2.5"/>
    <n v="6"/>
    <x v="777"/>
    <s v="mlorineznh@whitehouse.gov"/>
    <x v="0"/>
    <s v="Exc"/>
    <s v="D"/>
    <x v="2"/>
    <n v="27.945"/>
    <n v="167.67000000000002"/>
    <x v="1"/>
    <x v="2"/>
    <x v="1"/>
  </r>
  <r>
    <s v="JKC-64636-831"/>
    <x v="615"/>
    <s v="52098-80103-FD"/>
    <s v="A-M-2.5"/>
    <n v="2"/>
    <x v="778"/>
    <s v=""/>
    <x v="0"/>
    <s v="Ara"/>
    <s v="M"/>
    <x v="2"/>
    <n v="25.874999999999996"/>
    <n v="51.749999999999993"/>
    <x v="2"/>
    <x v="0"/>
    <x v="0"/>
  </r>
  <r>
    <s v="ZKI-78561-066"/>
    <x v="616"/>
    <s v="60121-12432-VU"/>
    <s v="A-D-0.2"/>
    <n v="3"/>
    <x v="779"/>
    <s v="mvannj@wikipedia.org"/>
    <x v="0"/>
    <s v="Ara"/>
    <s v="D"/>
    <x v="3"/>
    <n v="2.9849999999999999"/>
    <n v="8.9550000000000001"/>
    <x v="2"/>
    <x v="2"/>
    <x v="0"/>
  </r>
  <r>
    <s v="IMP-12563-728"/>
    <x v="578"/>
    <s v="68346-14810-UA"/>
    <s v="E-L-0.5"/>
    <n v="6"/>
    <x v="780"/>
    <s v=""/>
    <x v="0"/>
    <s v="Exc"/>
    <s v="L"/>
    <x v="1"/>
    <n v="8.91"/>
    <n v="53.46"/>
    <x v="1"/>
    <x v="1"/>
    <x v="1"/>
  </r>
  <r>
    <s v="MZL-81126-390"/>
    <x v="617"/>
    <s v="48464-99723-HK"/>
    <s v="A-L-0.2"/>
    <n v="6"/>
    <x v="781"/>
    <s v="jethelstonnl@creativecommons.org"/>
    <x v="0"/>
    <s v="Ara"/>
    <s v="L"/>
    <x v="3"/>
    <n v="3.8849999999999998"/>
    <n v="23.31"/>
    <x v="2"/>
    <x v="1"/>
    <x v="0"/>
  </r>
  <r>
    <s v="MZL-81126-390"/>
    <x v="617"/>
    <s v="48464-99723-HK"/>
    <s v="A-M-0.2"/>
    <n v="2"/>
    <x v="781"/>
    <s v="jethelstonnl@creativecommons.org"/>
    <x v="0"/>
    <s v="Ara"/>
    <s v="M"/>
    <x v="3"/>
    <n v="3.375"/>
    <n v="6.75"/>
    <x v="2"/>
    <x v="0"/>
    <x v="0"/>
  </r>
  <r>
    <s v="TVF-57766-608"/>
    <x v="155"/>
    <s v="88420-46464-XE"/>
    <s v="L-D-0.5"/>
    <n v="1"/>
    <x v="782"/>
    <s v="peberznn@woothemes.com"/>
    <x v="0"/>
    <s v="Lib"/>
    <s v="D"/>
    <x v="1"/>
    <n v="7.77"/>
    <n v="7.77"/>
    <x v="3"/>
    <x v="2"/>
    <x v="0"/>
  </r>
  <r>
    <s v="RUX-37995-892"/>
    <x v="461"/>
    <s v="37762-09530-MP"/>
    <s v="L-D-2.5"/>
    <n v="4"/>
    <x v="783"/>
    <s v="bgaishno@altervista.org"/>
    <x v="0"/>
    <s v="Lib"/>
    <s v="D"/>
    <x v="2"/>
    <n v="29.784999999999997"/>
    <n v="119.13999999999999"/>
    <x v="3"/>
    <x v="2"/>
    <x v="0"/>
  </r>
  <r>
    <s v="AVK-76526-953"/>
    <x v="87"/>
    <s v="47268-50127-XY"/>
    <s v="A-D-1"/>
    <n v="2"/>
    <x v="784"/>
    <s v="ldantonnp@miitbeian.gov.cn"/>
    <x v="0"/>
    <s v="Ara"/>
    <s v="D"/>
    <x v="0"/>
    <n v="9.9499999999999993"/>
    <n v="19.899999999999999"/>
    <x v="2"/>
    <x v="2"/>
    <x v="1"/>
  </r>
  <r>
    <s v="RIU-02231-623"/>
    <x v="618"/>
    <s v="25544-84179-QC"/>
    <s v="R-L-0.5"/>
    <n v="5"/>
    <x v="785"/>
    <s v="smorrallnq@answers.com"/>
    <x v="0"/>
    <s v="Rob"/>
    <s v="L"/>
    <x v="1"/>
    <n v="7.169999999999999"/>
    <n v="35.849999999999994"/>
    <x v="0"/>
    <x v="1"/>
    <x v="0"/>
  </r>
  <r>
    <s v="WFK-99317-827"/>
    <x v="619"/>
    <s v="32058-76765-ZL"/>
    <s v="L-D-2.5"/>
    <n v="3"/>
    <x v="786"/>
    <s v="dcrownshawnr@photobucket.com"/>
    <x v="0"/>
    <s v="Lib"/>
    <s v="D"/>
    <x v="2"/>
    <n v="29.784999999999997"/>
    <n v="89.35499999999999"/>
    <x v="3"/>
    <x v="2"/>
    <x v="1"/>
  </r>
  <r>
    <s v="SFD-00372-284"/>
    <x v="440"/>
    <s v="54798-14109-HC"/>
    <s v="L-M-0.2"/>
    <n v="2"/>
    <x v="760"/>
    <s v="oskermen3@hatena.ne.jp"/>
    <x v="0"/>
    <s v="Lib"/>
    <s v="M"/>
    <x v="3"/>
    <n v="4.3650000000000002"/>
    <n v="8.73"/>
    <x v="3"/>
    <x v="0"/>
    <x v="0"/>
  </r>
  <r>
    <s v="SXC-62166-515"/>
    <x v="489"/>
    <s v="69171-65646-UC"/>
    <s v="R-L-2.5"/>
    <n v="5"/>
    <x v="787"/>
    <s v="jreddochnt@sun.com"/>
    <x v="0"/>
    <s v="Rob"/>
    <s v="L"/>
    <x v="2"/>
    <n v="27.484999999999996"/>
    <n v="137.42499999999998"/>
    <x v="0"/>
    <x v="1"/>
    <x v="1"/>
  </r>
  <r>
    <s v="YIE-87008-621"/>
    <x v="620"/>
    <s v="22503-52799-MI"/>
    <s v="L-M-0.5"/>
    <n v="4"/>
    <x v="788"/>
    <s v="stitleynu@whitehouse.gov"/>
    <x v="0"/>
    <s v="Lib"/>
    <s v="M"/>
    <x v="1"/>
    <n v="8.73"/>
    <n v="34.92"/>
    <x v="3"/>
    <x v="0"/>
    <x v="1"/>
  </r>
  <r>
    <s v="HRM-94548-288"/>
    <x v="621"/>
    <s v="08934-65581-ZI"/>
    <s v="A-L-2.5"/>
    <n v="6"/>
    <x v="789"/>
    <s v="rsimaonv@simplemachines.org"/>
    <x v="0"/>
    <s v="Ara"/>
    <s v="L"/>
    <x v="2"/>
    <n v="29.784999999999997"/>
    <n v="178.70999999999998"/>
    <x v="2"/>
    <x v="1"/>
    <x v="1"/>
  </r>
  <r>
    <s v="UJG-34731-295"/>
    <x v="374"/>
    <s v="15764-22559-ZT"/>
    <s v="A-M-2.5"/>
    <n v="1"/>
    <x v="790"/>
    <s v=""/>
    <x v="0"/>
    <s v="Ara"/>
    <s v="M"/>
    <x v="2"/>
    <n v="25.874999999999996"/>
    <n v="25.874999999999996"/>
    <x v="2"/>
    <x v="0"/>
    <x v="1"/>
  </r>
  <r>
    <s v="TWD-70988-853"/>
    <x v="345"/>
    <s v="87519-68847-ZG"/>
    <s v="L-D-1"/>
    <n v="6"/>
    <x v="791"/>
    <s v="nchisholmnx@example.com"/>
    <x v="0"/>
    <s v="Lib"/>
    <s v="D"/>
    <x v="0"/>
    <n v="12.95"/>
    <n v="77.699999999999989"/>
    <x v="3"/>
    <x v="2"/>
    <x v="0"/>
  </r>
  <r>
    <s v="CIX-22904-641"/>
    <x v="622"/>
    <s v="78012-56878-UB"/>
    <s v="R-M-1"/>
    <n v="1"/>
    <x v="792"/>
    <s v="goatsny@live.com"/>
    <x v="0"/>
    <s v="Rob"/>
    <s v="M"/>
    <x v="0"/>
    <n v="9.9499999999999993"/>
    <n v="9.9499999999999993"/>
    <x v="0"/>
    <x v="0"/>
    <x v="0"/>
  </r>
  <r>
    <s v="DLV-65840-759"/>
    <x v="623"/>
    <s v="77192-72145-RG"/>
    <s v="L-M-1"/>
    <n v="2"/>
    <x v="793"/>
    <s v="mbirkinnz@java.com"/>
    <x v="0"/>
    <s v="Lib"/>
    <s v="M"/>
    <x v="0"/>
    <n v="14.55"/>
    <n v="29.1"/>
    <x v="3"/>
    <x v="0"/>
    <x v="0"/>
  </r>
  <r>
    <s v="RXN-55491-201"/>
    <x v="354"/>
    <s v="86071-79238-CX"/>
    <s v="R-L-0.2"/>
    <n v="6"/>
    <x v="794"/>
    <s v="rpysono0@constantcontact.com"/>
    <x v="1"/>
    <s v="Rob"/>
    <s v="L"/>
    <x v="3"/>
    <n v="3.5849999999999995"/>
    <n v="21.509999999999998"/>
    <x v="0"/>
    <x v="1"/>
    <x v="1"/>
  </r>
  <r>
    <s v="UHK-63283-868"/>
    <x v="624"/>
    <s v="16809-16936-WF"/>
    <s v="A-M-0.5"/>
    <n v="1"/>
    <x v="795"/>
    <s v="mmacconnechieo9@reuters.com"/>
    <x v="0"/>
    <s v="Ara"/>
    <s v="M"/>
    <x v="1"/>
    <n v="6.75"/>
    <n v="6.75"/>
    <x v="2"/>
    <x v="0"/>
    <x v="0"/>
  </r>
  <r>
    <s v="PJC-31401-893"/>
    <x v="561"/>
    <s v="11212-69985-ZJ"/>
    <s v="A-D-0.5"/>
    <n v="3"/>
    <x v="796"/>
    <s v="rtreachero2@usa.gov"/>
    <x v="1"/>
    <s v="Ara"/>
    <s v="D"/>
    <x v="1"/>
    <n v="5.97"/>
    <n v="17.91"/>
    <x v="2"/>
    <x v="2"/>
    <x v="1"/>
  </r>
  <r>
    <s v="HHO-79903-185"/>
    <x v="42"/>
    <s v="53893-01719-CL"/>
    <s v="A-L-2.5"/>
    <n v="1"/>
    <x v="797"/>
    <s v="bfattorinio3@quantcast.com"/>
    <x v="1"/>
    <s v="Ara"/>
    <s v="L"/>
    <x v="2"/>
    <n v="29.784999999999997"/>
    <n v="29.784999999999997"/>
    <x v="2"/>
    <x v="1"/>
    <x v="0"/>
  </r>
  <r>
    <s v="YWM-07310-594"/>
    <x v="267"/>
    <s v="66028-99867-WJ"/>
    <s v="E-M-0.5"/>
    <n v="5"/>
    <x v="798"/>
    <s v="mpalleskeo4@nyu.edu"/>
    <x v="0"/>
    <s v="Exc"/>
    <s v="M"/>
    <x v="1"/>
    <n v="8.25"/>
    <n v="41.25"/>
    <x v="1"/>
    <x v="0"/>
    <x v="0"/>
  </r>
  <r>
    <s v="FHD-94983-982"/>
    <x v="625"/>
    <s v="62839-56723-CH"/>
    <s v="R-M-0.5"/>
    <n v="3"/>
    <x v="799"/>
    <s v=""/>
    <x v="0"/>
    <s v="Rob"/>
    <s v="M"/>
    <x v="1"/>
    <n v="5.97"/>
    <n v="17.91"/>
    <x v="0"/>
    <x v="0"/>
    <x v="0"/>
  </r>
  <r>
    <s v="WQK-10857-119"/>
    <x v="616"/>
    <s v="96849-52854-CR"/>
    <s v="E-D-0.5"/>
    <n v="1"/>
    <x v="800"/>
    <s v="fantcliffeo6@amazon.co.jp"/>
    <x v="1"/>
    <s v="Exc"/>
    <s v="D"/>
    <x v="1"/>
    <n v="7.29"/>
    <n v="7.29"/>
    <x v="1"/>
    <x v="2"/>
    <x v="0"/>
  </r>
  <r>
    <s v="DXA-50313-073"/>
    <x v="626"/>
    <s v="19755-55847-VW"/>
    <s v="E-L-1"/>
    <n v="2"/>
    <x v="801"/>
    <s v="pmatignono7@harvard.edu"/>
    <x v="2"/>
    <s v="Exc"/>
    <s v="L"/>
    <x v="0"/>
    <n v="14.85"/>
    <n v="29.7"/>
    <x v="1"/>
    <x v="1"/>
    <x v="0"/>
  </r>
  <r>
    <s v="ONW-00560-570"/>
    <x v="52"/>
    <s v="32900-82606-BO"/>
    <s v="A-M-1"/>
    <n v="2"/>
    <x v="802"/>
    <s v="cweondo8@theglobeandmail.com"/>
    <x v="0"/>
    <s v="Ara"/>
    <s v="M"/>
    <x v="0"/>
    <n v="11.25"/>
    <n v="22.5"/>
    <x v="2"/>
    <x v="0"/>
    <x v="1"/>
  </r>
  <r>
    <s v="BRJ-19414-277"/>
    <x v="622"/>
    <s v="16809-16936-WF"/>
    <s v="R-M-0.2"/>
    <n v="4"/>
    <x v="795"/>
    <s v="mmacconnechieo9@reuters.com"/>
    <x v="0"/>
    <s v="Rob"/>
    <s v="M"/>
    <x v="3"/>
    <n v="2.9849999999999999"/>
    <n v="11.94"/>
    <x v="0"/>
    <x v="0"/>
    <x v="0"/>
  </r>
  <r>
    <s v="MIQ-16322-908"/>
    <x v="627"/>
    <s v="20118-28138-QD"/>
    <s v="A-L-1"/>
    <n v="2"/>
    <x v="803"/>
    <s v="jskentelberyoa@paypal.com"/>
    <x v="0"/>
    <s v="Ara"/>
    <s v="L"/>
    <x v="0"/>
    <n v="12.95"/>
    <n v="25.9"/>
    <x v="2"/>
    <x v="1"/>
    <x v="1"/>
  </r>
  <r>
    <s v="MVO-39328-830"/>
    <x v="628"/>
    <s v="84057-45461-AH"/>
    <s v="L-M-0.5"/>
    <n v="5"/>
    <x v="804"/>
    <s v="ocomberob@goo.gl"/>
    <x v="1"/>
    <s v="Lib"/>
    <s v="M"/>
    <x v="1"/>
    <n v="8.73"/>
    <n v="43.650000000000006"/>
    <x v="3"/>
    <x v="0"/>
    <x v="1"/>
  </r>
  <r>
    <s v="MVO-39328-830"/>
    <x v="628"/>
    <s v="84057-45461-AH"/>
    <s v="A-L-0.5"/>
    <n v="6"/>
    <x v="804"/>
    <s v="ocomberob@goo.gl"/>
    <x v="1"/>
    <s v="Ara"/>
    <s v="L"/>
    <x v="1"/>
    <n v="7.77"/>
    <n v="46.62"/>
    <x v="2"/>
    <x v="1"/>
    <x v="1"/>
  </r>
  <r>
    <s v="NTJ-88319-746"/>
    <x v="629"/>
    <s v="90882-88130-KQ"/>
    <s v="L-L-0.5"/>
    <n v="3"/>
    <x v="805"/>
    <s v="ztramelod@netlog.com"/>
    <x v="0"/>
    <s v="Lib"/>
    <s v="L"/>
    <x v="1"/>
    <n v="9.51"/>
    <n v="28.53"/>
    <x v="3"/>
    <x v="1"/>
    <x v="1"/>
  </r>
  <r>
    <s v="LCY-24377-948"/>
    <x v="630"/>
    <s v="21617-79890-DD"/>
    <s v="R-L-2.5"/>
    <n v="1"/>
    <x v="806"/>
    <s v=""/>
    <x v="0"/>
    <s v="Rob"/>
    <s v="L"/>
    <x v="2"/>
    <n v="27.484999999999996"/>
    <n v="27.484999999999996"/>
    <x v="0"/>
    <x v="1"/>
    <x v="0"/>
  </r>
  <r>
    <s v="FWD-85967-769"/>
    <x v="631"/>
    <s v="20256-54689-LO"/>
    <s v="E-D-0.2"/>
    <n v="3"/>
    <x v="807"/>
    <s v=""/>
    <x v="0"/>
    <s v="Exc"/>
    <s v="D"/>
    <x v="3"/>
    <n v="3.645"/>
    <n v="10.935"/>
    <x v="1"/>
    <x v="2"/>
    <x v="1"/>
  </r>
  <r>
    <s v="KTO-53793-109"/>
    <x v="229"/>
    <s v="17572-27091-AA"/>
    <s v="R-L-0.2"/>
    <n v="2"/>
    <x v="808"/>
    <s v="chatfullog@ebay.com"/>
    <x v="0"/>
    <s v="Rob"/>
    <s v="L"/>
    <x v="3"/>
    <n v="3.5849999999999995"/>
    <n v="7.169999999999999"/>
    <x v="0"/>
    <x v="1"/>
    <x v="1"/>
  </r>
  <r>
    <s v="OCK-89033-348"/>
    <x v="632"/>
    <s v="82300-88786-UE"/>
    <s v="A-L-0.2"/>
    <n v="6"/>
    <x v="809"/>
    <s v=""/>
    <x v="0"/>
    <s v="Ara"/>
    <s v="L"/>
    <x v="3"/>
    <n v="3.8849999999999998"/>
    <n v="23.31"/>
    <x v="2"/>
    <x v="1"/>
    <x v="0"/>
  </r>
  <r>
    <s v="GPZ-36017-366"/>
    <x v="633"/>
    <s v="65732-22589-OW"/>
    <s v="A-D-2.5"/>
    <n v="5"/>
    <x v="810"/>
    <s v="kmarrisonoq@dropbox.com"/>
    <x v="0"/>
    <s v="Ara"/>
    <s v="D"/>
    <x v="2"/>
    <n v="22.884999999999998"/>
    <n v="114.42499999999998"/>
    <x v="2"/>
    <x v="2"/>
    <x v="0"/>
  </r>
  <r>
    <s v="BZP-33213-637"/>
    <x v="95"/>
    <s v="77175-09826-SF"/>
    <s v="A-M-2.5"/>
    <n v="3"/>
    <x v="811"/>
    <s v="lagnolooj@pinterest.com"/>
    <x v="0"/>
    <s v="Ara"/>
    <s v="M"/>
    <x v="2"/>
    <n v="25.874999999999996"/>
    <n v="77.624999999999986"/>
    <x v="2"/>
    <x v="0"/>
    <x v="0"/>
  </r>
  <r>
    <s v="WFH-21507-708"/>
    <x v="521"/>
    <s v="07237-32539-NB"/>
    <s v="R-D-0.5"/>
    <n v="1"/>
    <x v="812"/>
    <s v="dkiddyok@fda.gov"/>
    <x v="0"/>
    <s v="Rob"/>
    <s v="D"/>
    <x v="1"/>
    <n v="5.3699999999999992"/>
    <n v="5.3699999999999992"/>
    <x v="0"/>
    <x v="2"/>
    <x v="0"/>
  </r>
  <r>
    <s v="HST-96923-073"/>
    <x v="76"/>
    <s v="54722-76431-EX"/>
    <s v="R-D-2.5"/>
    <n v="6"/>
    <x v="813"/>
    <s v="hpetroulisol@state.tx.us"/>
    <x v="1"/>
    <s v="Rob"/>
    <s v="D"/>
    <x v="2"/>
    <n v="20.584999999999997"/>
    <n v="123.50999999999999"/>
    <x v="0"/>
    <x v="2"/>
    <x v="1"/>
  </r>
  <r>
    <s v="ENN-79947-323"/>
    <x v="634"/>
    <s v="67847-82662-TE"/>
    <s v="L-M-0.5"/>
    <n v="2"/>
    <x v="814"/>
    <s v="mschollom@taobao.com"/>
    <x v="0"/>
    <s v="Lib"/>
    <s v="M"/>
    <x v="1"/>
    <n v="8.73"/>
    <n v="17.46"/>
    <x v="3"/>
    <x v="0"/>
    <x v="1"/>
  </r>
  <r>
    <s v="BHA-47429-889"/>
    <x v="635"/>
    <s v="51114-51191-EW"/>
    <s v="E-L-0.2"/>
    <n v="3"/>
    <x v="815"/>
    <s v="kfersonon@g.co"/>
    <x v="0"/>
    <s v="Exc"/>
    <s v="L"/>
    <x v="3"/>
    <n v="4.4550000000000001"/>
    <n v="13.365"/>
    <x v="1"/>
    <x v="1"/>
    <x v="1"/>
  </r>
  <r>
    <s v="SZY-63017-318"/>
    <x v="636"/>
    <s v="91809-58808-TV"/>
    <s v="A-L-0.2"/>
    <n v="2"/>
    <x v="816"/>
    <s v="bkellowayoo@omniture.com"/>
    <x v="0"/>
    <s v="Ara"/>
    <s v="L"/>
    <x v="3"/>
    <n v="3.8849999999999998"/>
    <n v="7.77"/>
    <x v="2"/>
    <x v="1"/>
    <x v="0"/>
  </r>
  <r>
    <s v="LCU-93317-340"/>
    <x v="637"/>
    <s v="84996-26826-DK"/>
    <s v="R-D-0.2"/>
    <n v="1"/>
    <x v="817"/>
    <s v="soliffeop@yellowbook.com"/>
    <x v="0"/>
    <s v="Rob"/>
    <s v="D"/>
    <x v="3"/>
    <n v="2.6849999999999996"/>
    <n v="2.6849999999999996"/>
    <x v="0"/>
    <x v="2"/>
    <x v="0"/>
  </r>
  <r>
    <s v="UOM-71431-481"/>
    <x v="182"/>
    <s v="65732-22589-OW"/>
    <s v="R-D-2.5"/>
    <n v="1"/>
    <x v="810"/>
    <s v="kmarrisonoq@dropbox.com"/>
    <x v="0"/>
    <s v="Rob"/>
    <s v="D"/>
    <x v="2"/>
    <n v="20.584999999999997"/>
    <n v="20.584999999999997"/>
    <x v="0"/>
    <x v="2"/>
    <x v="0"/>
  </r>
  <r>
    <s v="PJH-42618-877"/>
    <x v="479"/>
    <s v="93676-95250-XJ"/>
    <s v="A-D-2.5"/>
    <n v="5"/>
    <x v="818"/>
    <s v="cdolohuntyor@dailymail.co.uk"/>
    <x v="0"/>
    <s v="Ara"/>
    <s v="D"/>
    <x v="2"/>
    <n v="22.884999999999998"/>
    <n v="114.42499999999998"/>
    <x v="2"/>
    <x v="2"/>
    <x v="0"/>
  </r>
  <r>
    <s v="XED-90333-402"/>
    <x v="638"/>
    <s v="28300-14355-GF"/>
    <s v="E-M-0.2"/>
    <n v="5"/>
    <x v="819"/>
    <s v="pvasilenkoos@addtoany.com"/>
    <x v="2"/>
    <s v="Exc"/>
    <s v="M"/>
    <x v="3"/>
    <n v="4.125"/>
    <n v="20.625"/>
    <x v="1"/>
    <x v="0"/>
    <x v="1"/>
  </r>
  <r>
    <s v="IKK-62234-199"/>
    <x v="639"/>
    <s v="91190-84826-IQ"/>
    <s v="L-L-0.5"/>
    <n v="6"/>
    <x v="820"/>
    <s v="rschankelborgot@ameblo.jp"/>
    <x v="0"/>
    <s v="Lib"/>
    <s v="L"/>
    <x v="1"/>
    <n v="9.51"/>
    <n v="57.06"/>
    <x v="3"/>
    <x v="1"/>
    <x v="0"/>
  </r>
  <r>
    <s v="KAW-95195-329"/>
    <x v="640"/>
    <s v="34570-99384-AF"/>
    <s v="R-D-2.5"/>
    <n v="4"/>
    <x v="821"/>
    <s v=""/>
    <x v="1"/>
    <s v="Rob"/>
    <s v="D"/>
    <x v="2"/>
    <n v="20.584999999999997"/>
    <n v="82.339999999999989"/>
    <x v="0"/>
    <x v="2"/>
    <x v="0"/>
  </r>
  <r>
    <s v="QDO-57268-842"/>
    <x v="612"/>
    <s v="57808-90533-UE"/>
    <s v="E-M-2.5"/>
    <n v="5"/>
    <x v="822"/>
    <s v=""/>
    <x v="0"/>
    <s v="Exc"/>
    <s v="M"/>
    <x v="2"/>
    <n v="31.624999999999996"/>
    <n v="158.12499999999997"/>
    <x v="1"/>
    <x v="0"/>
    <x v="1"/>
  </r>
  <r>
    <s v="IIZ-24416-212"/>
    <x v="641"/>
    <s v="76060-30540-LB"/>
    <s v="R-D-0.5"/>
    <n v="6"/>
    <x v="823"/>
    <s v="bcargenow@geocities.jp"/>
    <x v="0"/>
    <s v="Rob"/>
    <s v="D"/>
    <x v="1"/>
    <n v="5.3699999999999992"/>
    <n v="32.22"/>
    <x v="0"/>
    <x v="2"/>
    <x v="0"/>
  </r>
  <r>
    <s v="AWP-11469-510"/>
    <x v="36"/>
    <s v="76730-63769-ND"/>
    <s v="E-D-1"/>
    <n v="2"/>
    <x v="824"/>
    <s v="rsticklerox@printfriendly.com"/>
    <x v="2"/>
    <s v="Exc"/>
    <s v="D"/>
    <x v="0"/>
    <n v="12.15"/>
    <n v="24.3"/>
    <x v="1"/>
    <x v="2"/>
    <x v="1"/>
  </r>
  <r>
    <s v="KXA-27983-918"/>
    <x v="642"/>
    <s v="96042-27290-EQ"/>
    <s v="R-L-0.5"/>
    <n v="5"/>
    <x v="825"/>
    <s v=""/>
    <x v="0"/>
    <s v="Rob"/>
    <s v="L"/>
    <x v="1"/>
    <n v="7.169999999999999"/>
    <n v="35.849999999999994"/>
    <x v="0"/>
    <x v="1"/>
    <x v="1"/>
  </r>
  <r>
    <s v="VKQ-39009-292"/>
    <x v="219"/>
    <s v="57808-90533-UE"/>
    <s v="L-M-1"/>
    <n v="5"/>
    <x v="822"/>
    <s v=""/>
    <x v="0"/>
    <s v="Lib"/>
    <s v="M"/>
    <x v="0"/>
    <n v="14.55"/>
    <n v="72.75"/>
    <x v="3"/>
    <x v="0"/>
    <x v="1"/>
  </r>
  <r>
    <s v="PDB-98743-282"/>
    <x v="643"/>
    <s v="51940-02669-OR"/>
    <s v="L-L-1"/>
    <n v="3"/>
    <x v="826"/>
    <s v=""/>
    <x v="1"/>
    <s v="Lib"/>
    <s v="L"/>
    <x v="0"/>
    <n v="15.85"/>
    <n v="47.55"/>
    <x v="3"/>
    <x v="1"/>
    <x v="1"/>
  </r>
  <r>
    <s v="SXW-34014-556"/>
    <x v="644"/>
    <s v="99144-98314-GN"/>
    <s v="R-L-0.2"/>
    <n v="1"/>
    <x v="827"/>
    <s v="djevonp1@ibm.com"/>
    <x v="0"/>
    <s v="Rob"/>
    <s v="L"/>
    <x v="3"/>
    <n v="3.5849999999999995"/>
    <n v="3.5849999999999995"/>
    <x v="0"/>
    <x v="1"/>
    <x v="0"/>
  </r>
  <r>
    <s v="QOJ-38788-727"/>
    <x v="136"/>
    <s v="16358-63919-CE"/>
    <s v="E-M-2.5"/>
    <n v="5"/>
    <x v="828"/>
    <s v="hrannerp2@omniture.com"/>
    <x v="0"/>
    <s v="Exc"/>
    <s v="M"/>
    <x v="2"/>
    <n v="31.624999999999996"/>
    <n v="158.12499999999997"/>
    <x v="1"/>
    <x v="0"/>
    <x v="1"/>
  </r>
  <r>
    <s v="TGF-38649-658"/>
    <x v="645"/>
    <s v="67743-54817-UT"/>
    <s v="L-M-0.5"/>
    <n v="2"/>
    <x v="829"/>
    <s v="bimriep3@addtoany.com"/>
    <x v="0"/>
    <s v="Lib"/>
    <s v="M"/>
    <x v="1"/>
    <n v="8.73"/>
    <n v="17.46"/>
    <x v="3"/>
    <x v="0"/>
    <x v="1"/>
  </r>
  <r>
    <s v="EAI-25194-209"/>
    <x v="646"/>
    <s v="44601-51441-BH"/>
    <s v="A-L-2.5"/>
    <n v="5"/>
    <x v="830"/>
    <s v="dsopperp4@eventbrite.com"/>
    <x v="0"/>
    <s v="Ara"/>
    <s v="L"/>
    <x v="2"/>
    <n v="29.784999999999997"/>
    <n v="148.92499999999998"/>
    <x v="2"/>
    <x v="1"/>
    <x v="1"/>
  </r>
  <r>
    <s v="IJK-34441-720"/>
    <x v="647"/>
    <s v="97201-58870-WB"/>
    <s v="A-M-0.5"/>
    <n v="6"/>
    <x v="831"/>
    <s v=""/>
    <x v="0"/>
    <s v="Ara"/>
    <s v="M"/>
    <x v="1"/>
    <n v="6.75"/>
    <n v="40.5"/>
    <x v="2"/>
    <x v="0"/>
    <x v="0"/>
  </r>
  <r>
    <s v="ZMC-00336-619"/>
    <x v="591"/>
    <s v="19849-12926-QF"/>
    <s v="A-M-0.5"/>
    <n v="4"/>
    <x v="832"/>
    <s v="lledgleyp6@de.vu"/>
    <x v="0"/>
    <s v="Ara"/>
    <s v="M"/>
    <x v="1"/>
    <n v="6.75"/>
    <n v="27"/>
    <x v="2"/>
    <x v="0"/>
    <x v="0"/>
  </r>
  <r>
    <s v="UPX-54529-618"/>
    <x v="648"/>
    <s v="40535-56770-UM"/>
    <s v="L-D-1"/>
    <n v="3"/>
    <x v="833"/>
    <s v="tmenaryp7@phoca.cz"/>
    <x v="0"/>
    <s v="Lib"/>
    <s v="D"/>
    <x v="0"/>
    <n v="12.95"/>
    <n v="38.849999999999994"/>
    <x v="3"/>
    <x v="2"/>
    <x v="1"/>
  </r>
  <r>
    <s v="DLX-01059-899"/>
    <x v="191"/>
    <s v="74940-09646-MU"/>
    <s v="R-L-1"/>
    <n v="5"/>
    <x v="834"/>
    <s v="gciccottip8@so-net.ne.jp"/>
    <x v="0"/>
    <s v="Rob"/>
    <s v="L"/>
    <x v="0"/>
    <n v="11.95"/>
    <n v="59.75"/>
    <x v="0"/>
    <x v="1"/>
    <x v="1"/>
  </r>
  <r>
    <s v="MEK-85120-243"/>
    <x v="649"/>
    <s v="06623-54610-HC"/>
    <s v="R-L-0.2"/>
    <n v="3"/>
    <x v="835"/>
    <s v=""/>
    <x v="0"/>
    <s v="Rob"/>
    <s v="L"/>
    <x v="3"/>
    <n v="3.5849999999999995"/>
    <n v="10.754999999999999"/>
    <x v="0"/>
    <x v="1"/>
    <x v="1"/>
  </r>
  <r>
    <s v="NFI-37188-246"/>
    <x v="553"/>
    <s v="89490-75361-AF"/>
    <s v="A-D-2.5"/>
    <n v="4"/>
    <x v="836"/>
    <s v="wjallinpa@pcworld.com"/>
    <x v="0"/>
    <s v="Ara"/>
    <s v="D"/>
    <x v="2"/>
    <n v="22.884999999999998"/>
    <n v="91.539999999999992"/>
    <x v="2"/>
    <x v="2"/>
    <x v="1"/>
  </r>
  <r>
    <s v="BXH-62195-013"/>
    <x v="584"/>
    <s v="94526-79230-GZ"/>
    <s v="A-M-1"/>
    <n v="4"/>
    <x v="837"/>
    <s v="mbogeypb@thetimes.co.uk"/>
    <x v="0"/>
    <s v="Ara"/>
    <s v="M"/>
    <x v="0"/>
    <n v="11.25"/>
    <n v="45"/>
    <x v="2"/>
    <x v="0"/>
    <x v="0"/>
  </r>
  <r>
    <s v="YLK-78851-470"/>
    <x v="650"/>
    <s v="58559-08254-UY"/>
    <s v="R-M-2.5"/>
    <n v="6"/>
    <x v="838"/>
    <s v=""/>
    <x v="0"/>
    <s v="Rob"/>
    <s v="M"/>
    <x v="2"/>
    <n v="22.884999999999998"/>
    <n v="137.31"/>
    <x v="0"/>
    <x v="0"/>
    <x v="0"/>
  </r>
  <r>
    <s v="DXY-76225-633"/>
    <x v="121"/>
    <s v="88574-37083-WX"/>
    <s v="A-M-0.5"/>
    <n v="1"/>
    <x v="839"/>
    <s v="mcobbledickpd@ucsd.edu"/>
    <x v="0"/>
    <s v="Ara"/>
    <s v="M"/>
    <x v="1"/>
    <n v="6.75"/>
    <n v="6.75"/>
    <x v="2"/>
    <x v="0"/>
    <x v="1"/>
  </r>
  <r>
    <s v="UHP-24614-199"/>
    <x v="472"/>
    <s v="67953-79896-AC"/>
    <s v="A-M-1"/>
    <n v="4"/>
    <x v="840"/>
    <s v="alewrype@whitehouse.gov"/>
    <x v="0"/>
    <s v="Ara"/>
    <s v="M"/>
    <x v="0"/>
    <n v="11.25"/>
    <n v="45"/>
    <x v="2"/>
    <x v="0"/>
    <x v="1"/>
  </r>
  <r>
    <s v="HBY-35655-049"/>
    <x v="594"/>
    <s v="69207-93422-CQ"/>
    <s v="E-D-2.5"/>
    <n v="3"/>
    <x v="841"/>
    <s v="ihesselpf@ox.ac.uk"/>
    <x v="0"/>
    <s v="Exc"/>
    <s v="D"/>
    <x v="2"/>
    <n v="27.945"/>
    <n v="83.835000000000008"/>
    <x v="1"/>
    <x v="2"/>
    <x v="0"/>
  </r>
  <r>
    <s v="DCE-22886-861"/>
    <x v="89"/>
    <s v="56060-17602-RG"/>
    <s v="E-D-0.2"/>
    <n v="1"/>
    <x v="842"/>
    <s v=""/>
    <x v="1"/>
    <s v="Exc"/>
    <s v="D"/>
    <x v="3"/>
    <n v="3.645"/>
    <n v="3.645"/>
    <x v="1"/>
    <x v="2"/>
    <x v="0"/>
  </r>
  <r>
    <s v="QTG-93823-843"/>
    <x v="651"/>
    <s v="46859-14212-FI"/>
    <s v="A-M-0.5"/>
    <n v="1"/>
    <x v="843"/>
    <s v="csorrellph@amazon.com"/>
    <x v="2"/>
    <s v="Ara"/>
    <s v="M"/>
    <x v="1"/>
    <n v="6.75"/>
    <n v="6.75"/>
    <x v="2"/>
    <x v="0"/>
    <x v="1"/>
  </r>
  <r>
    <s v="QTG-93823-843"/>
    <x v="651"/>
    <s v="46859-14212-FI"/>
    <s v="E-D-0.5"/>
    <n v="3"/>
    <x v="843"/>
    <s v="csorrellph@amazon.com"/>
    <x v="2"/>
    <s v="Exc"/>
    <s v="D"/>
    <x v="1"/>
    <n v="7.29"/>
    <n v="21.87"/>
    <x v="1"/>
    <x v="2"/>
    <x v="1"/>
  </r>
  <r>
    <s v="WFT-16178-396"/>
    <x v="249"/>
    <s v="33555-01585-RP"/>
    <s v="R-D-0.2"/>
    <n v="5"/>
    <x v="844"/>
    <s v="qheavysidepj@unc.edu"/>
    <x v="0"/>
    <s v="Rob"/>
    <s v="D"/>
    <x v="3"/>
    <n v="2.6849999999999996"/>
    <n v="13.424999999999997"/>
    <x v="0"/>
    <x v="2"/>
    <x v="0"/>
  </r>
  <r>
    <s v="ERC-54560-934"/>
    <x v="652"/>
    <s v="11932-85629-CU"/>
    <s v="R-D-2.5"/>
    <n v="6"/>
    <x v="845"/>
    <s v="hreuvenpk@whitehouse.gov"/>
    <x v="0"/>
    <s v="Rob"/>
    <s v="D"/>
    <x v="2"/>
    <n v="20.584999999999997"/>
    <n v="123.50999999999999"/>
    <x v="0"/>
    <x v="2"/>
    <x v="1"/>
  </r>
  <r>
    <s v="RUK-78200-416"/>
    <x v="653"/>
    <s v="36192-07175-XC"/>
    <s v="L-D-0.2"/>
    <n v="2"/>
    <x v="846"/>
    <s v="mattwoolpl@nba.com"/>
    <x v="0"/>
    <s v="Lib"/>
    <s v="D"/>
    <x v="3"/>
    <n v="3.8849999999999998"/>
    <n v="7.77"/>
    <x v="3"/>
    <x v="2"/>
    <x v="1"/>
  </r>
  <r>
    <s v="KHK-13105-388"/>
    <x v="177"/>
    <s v="46242-54946-ZW"/>
    <s v="A-M-1"/>
    <n v="6"/>
    <x v="847"/>
    <s v=""/>
    <x v="0"/>
    <s v="Ara"/>
    <s v="M"/>
    <x v="0"/>
    <n v="11.25"/>
    <n v="67.5"/>
    <x v="2"/>
    <x v="0"/>
    <x v="0"/>
  </r>
  <r>
    <s v="NJR-03699-189"/>
    <x v="22"/>
    <s v="95152-82155-VQ"/>
    <s v="E-D-2.5"/>
    <n v="1"/>
    <x v="848"/>
    <s v="gwynespn@dagondesign.com"/>
    <x v="0"/>
    <s v="Exc"/>
    <s v="D"/>
    <x v="2"/>
    <n v="27.945"/>
    <n v="27.945"/>
    <x v="1"/>
    <x v="2"/>
    <x v="1"/>
  </r>
  <r>
    <s v="PJV-20427-019"/>
    <x v="508"/>
    <s v="13404-39127-WQ"/>
    <s v="A-L-2.5"/>
    <n v="3"/>
    <x v="849"/>
    <s v="cmaccourtpo@amazon.com"/>
    <x v="0"/>
    <s v="Ara"/>
    <s v="L"/>
    <x v="2"/>
    <n v="29.784999999999997"/>
    <n v="89.35499999999999"/>
    <x v="2"/>
    <x v="1"/>
    <x v="1"/>
  </r>
  <r>
    <s v="UGK-07613-982"/>
    <x v="654"/>
    <s v="57808-90533-UE"/>
    <s v="A-M-0.5"/>
    <n v="3"/>
    <x v="822"/>
    <s v=""/>
    <x v="0"/>
    <s v="Ara"/>
    <s v="M"/>
    <x v="1"/>
    <n v="6.75"/>
    <n v="20.25"/>
    <x v="2"/>
    <x v="0"/>
    <x v="1"/>
  </r>
  <r>
    <s v="OLA-68289-577"/>
    <x v="524"/>
    <s v="40226-52317-IO"/>
    <s v="A-M-0.5"/>
    <n v="5"/>
    <x v="850"/>
    <s v="ewilsonepq@eepurl.com"/>
    <x v="0"/>
    <s v="Ara"/>
    <s v="M"/>
    <x v="1"/>
    <n v="6.75"/>
    <n v="33.75"/>
    <x v="2"/>
    <x v="0"/>
    <x v="0"/>
  </r>
  <r>
    <s v="TNR-84447-052"/>
    <x v="655"/>
    <s v="34419-18068-AG"/>
    <s v="E-D-2.5"/>
    <n v="4"/>
    <x v="851"/>
    <s v="dduffiepr@time.com"/>
    <x v="0"/>
    <s v="Exc"/>
    <s v="D"/>
    <x v="2"/>
    <n v="27.945"/>
    <n v="111.78"/>
    <x v="1"/>
    <x v="2"/>
    <x v="1"/>
  </r>
  <r>
    <s v="FBZ-64200-586"/>
    <x v="523"/>
    <s v="51738-61457-RS"/>
    <s v="E-M-2.5"/>
    <n v="2"/>
    <x v="852"/>
    <s v="mmatiasekps@ucoz.ru"/>
    <x v="0"/>
    <s v="Exc"/>
    <s v="M"/>
    <x v="2"/>
    <n v="31.624999999999996"/>
    <n v="63.249999999999993"/>
    <x v="1"/>
    <x v="0"/>
    <x v="0"/>
  </r>
  <r>
    <s v="OBN-66334-505"/>
    <x v="656"/>
    <s v="86757-52367-ON"/>
    <s v="E-L-0.2"/>
    <n v="2"/>
    <x v="853"/>
    <s v="jcamillopt@shinystat.com"/>
    <x v="0"/>
    <s v="Exc"/>
    <s v="L"/>
    <x v="3"/>
    <n v="4.4550000000000001"/>
    <n v="8.91"/>
    <x v="1"/>
    <x v="1"/>
    <x v="0"/>
  </r>
  <r>
    <s v="NXM-89323-646"/>
    <x v="657"/>
    <s v="28158-93383-CK"/>
    <s v="E-D-1"/>
    <n v="1"/>
    <x v="854"/>
    <s v="kphilbrickpu@cdc.gov"/>
    <x v="0"/>
    <s v="Exc"/>
    <s v="D"/>
    <x v="0"/>
    <n v="12.15"/>
    <n v="12.15"/>
    <x v="1"/>
    <x v="2"/>
    <x v="0"/>
  </r>
  <r>
    <s v="NHI-23264-055"/>
    <x v="658"/>
    <s v="44799-09711-XW"/>
    <s v="A-D-0.5"/>
    <n v="4"/>
    <x v="855"/>
    <s v=""/>
    <x v="0"/>
    <s v="Ara"/>
    <s v="D"/>
    <x v="1"/>
    <n v="5.97"/>
    <n v="23.88"/>
    <x v="2"/>
    <x v="2"/>
    <x v="0"/>
  </r>
  <r>
    <s v="EQH-53569-934"/>
    <x v="659"/>
    <s v="53667-91553-LT"/>
    <s v="E-M-1"/>
    <n v="4"/>
    <x v="856"/>
    <s v="bsillispw@istockphoto.com"/>
    <x v="0"/>
    <s v="Exc"/>
    <s v="M"/>
    <x v="0"/>
    <n v="13.75"/>
    <n v="55"/>
    <x v="1"/>
    <x v="0"/>
    <x v="1"/>
  </r>
  <r>
    <s v="XKK-06692-189"/>
    <x v="558"/>
    <s v="86579-92122-OC"/>
    <s v="R-D-1"/>
    <n v="3"/>
    <x v="857"/>
    <s v=""/>
    <x v="0"/>
    <s v="Rob"/>
    <s v="D"/>
    <x v="0"/>
    <n v="8.9499999999999993"/>
    <n v="26.849999999999998"/>
    <x v="0"/>
    <x v="2"/>
    <x v="0"/>
  </r>
  <r>
    <s v="BYP-16005-016"/>
    <x v="660"/>
    <s v="01474-63436-TP"/>
    <s v="R-M-2.5"/>
    <n v="5"/>
    <x v="858"/>
    <s v="rcuttspy@techcrunch.com"/>
    <x v="0"/>
    <s v="Rob"/>
    <s v="M"/>
    <x v="2"/>
    <n v="22.884999999999998"/>
    <n v="114.42499999999998"/>
    <x v="0"/>
    <x v="0"/>
    <x v="1"/>
  </r>
  <r>
    <s v="LWS-13938-905"/>
    <x v="661"/>
    <s v="90533-82440-EE"/>
    <s v="A-M-2.5"/>
    <n v="6"/>
    <x v="859"/>
    <s v="mdelvespz@nature.com"/>
    <x v="0"/>
    <s v="Ara"/>
    <s v="M"/>
    <x v="2"/>
    <n v="25.874999999999996"/>
    <n v="155.24999999999997"/>
    <x v="2"/>
    <x v="0"/>
    <x v="0"/>
  </r>
  <r>
    <s v="OLH-95722-362"/>
    <x v="662"/>
    <s v="48553-69225-VX"/>
    <s v="L-D-0.5"/>
    <n v="3"/>
    <x v="860"/>
    <s v="dgrittonq0@nydailynews.com"/>
    <x v="0"/>
    <s v="Lib"/>
    <s v="D"/>
    <x v="1"/>
    <n v="7.77"/>
    <n v="23.31"/>
    <x v="3"/>
    <x v="2"/>
    <x v="0"/>
  </r>
  <r>
    <s v="OLH-95722-362"/>
    <x v="662"/>
    <s v="48553-69225-VX"/>
    <s v="R-M-2.5"/>
    <n v="4"/>
    <x v="860"/>
    <s v="dgrittonq0@nydailynews.com"/>
    <x v="0"/>
    <s v="Rob"/>
    <s v="M"/>
    <x v="2"/>
    <n v="22.884999999999998"/>
    <n v="91.539999999999992"/>
    <x v="0"/>
    <x v="0"/>
    <x v="0"/>
  </r>
  <r>
    <s v="KCW-50949-318"/>
    <x v="184"/>
    <s v="52374-27313-IV"/>
    <s v="E-L-1"/>
    <n v="5"/>
    <x v="861"/>
    <s v="dgutq2@umich.edu"/>
    <x v="0"/>
    <s v="Exc"/>
    <s v="L"/>
    <x v="0"/>
    <n v="14.85"/>
    <n v="74.25"/>
    <x v="1"/>
    <x v="1"/>
    <x v="0"/>
  </r>
  <r>
    <s v="JGZ-16947-591"/>
    <x v="663"/>
    <s v="14264-41252-SL"/>
    <s v="L-L-0.2"/>
    <n v="6"/>
    <x v="862"/>
    <s v="wpummeryq3@topsy.com"/>
    <x v="0"/>
    <s v="Lib"/>
    <s v="L"/>
    <x v="3"/>
    <n v="4.7549999999999999"/>
    <n v="28.53"/>
    <x v="3"/>
    <x v="1"/>
    <x v="1"/>
  </r>
  <r>
    <s v="LXS-63326-144"/>
    <x v="334"/>
    <s v="35367-50483-AR"/>
    <s v="R-L-0.5"/>
    <n v="2"/>
    <x v="863"/>
    <s v="gsiudaq4@nytimes.com"/>
    <x v="0"/>
    <s v="Rob"/>
    <s v="L"/>
    <x v="1"/>
    <n v="7.169999999999999"/>
    <n v="14.339999999999998"/>
    <x v="0"/>
    <x v="1"/>
    <x v="0"/>
  </r>
  <r>
    <s v="CZG-86544-655"/>
    <x v="664"/>
    <s v="69443-77665-QW"/>
    <s v="A-L-0.5"/>
    <n v="2"/>
    <x v="864"/>
    <s v="hcrowneq5@wufoo.com"/>
    <x v="1"/>
    <s v="Ara"/>
    <s v="L"/>
    <x v="1"/>
    <n v="7.77"/>
    <n v="15.54"/>
    <x v="2"/>
    <x v="1"/>
    <x v="0"/>
  </r>
  <r>
    <s v="WFV-88138-247"/>
    <x v="24"/>
    <s v="63411-51758-QC"/>
    <s v="R-L-1"/>
    <n v="3"/>
    <x v="865"/>
    <s v="vpawseyq6@tiny.cc"/>
    <x v="0"/>
    <s v="Rob"/>
    <s v="L"/>
    <x v="0"/>
    <n v="11.95"/>
    <n v="35.849999999999994"/>
    <x v="0"/>
    <x v="1"/>
    <x v="1"/>
  </r>
  <r>
    <s v="RFG-28227-288"/>
    <x v="12"/>
    <s v="68605-21835-UF"/>
    <s v="A-L-0.5"/>
    <n v="6"/>
    <x v="866"/>
    <s v="awaterhouseq7@istockphoto.com"/>
    <x v="0"/>
    <s v="Ara"/>
    <s v="L"/>
    <x v="1"/>
    <n v="7.77"/>
    <n v="46.62"/>
    <x v="2"/>
    <x v="1"/>
    <x v="1"/>
  </r>
  <r>
    <s v="QAK-77286-758"/>
    <x v="105"/>
    <s v="34786-30419-XY"/>
    <s v="R-L-0.5"/>
    <n v="5"/>
    <x v="867"/>
    <s v="fhaughianq8@1688.com"/>
    <x v="0"/>
    <s v="Rob"/>
    <s v="L"/>
    <x v="1"/>
    <n v="7.169999999999999"/>
    <n v="35.849999999999994"/>
    <x v="0"/>
    <x v="1"/>
    <x v="1"/>
  </r>
  <r>
    <s v="CZD-56716-840"/>
    <x v="665"/>
    <s v="15456-29250-RU"/>
    <s v="L-D-2.5"/>
    <n v="4"/>
    <x v="868"/>
    <s v=""/>
    <x v="0"/>
    <s v="Lib"/>
    <s v="D"/>
    <x v="2"/>
    <n v="29.784999999999997"/>
    <n v="119.13999999999999"/>
    <x v="3"/>
    <x v="2"/>
    <x v="1"/>
  </r>
  <r>
    <s v="UBI-59229-277"/>
    <x v="44"/>
    <s v="00886-35803-FG"/>
    <s v="L-D-0.5"/>
    <n v="3"/>
    <x v="869"/>
    <s v=""/>
    <x v="0"/>
    <s v="Lib"/>
    <s v="D"/>
    <x v="1"/>
    <n v="7.77"/>
    <n v="23.31"/>
    <x v="3"/>
    <x v="2"/>
    <x v="1"/>
  </r>
  <r>
    <s v="WJJ-37489-898"/>
    <x v="171"/>
    <s v="31599-82152-AD"/>
    <s v="A-M-1"/>
    <n v="1"/>
    <x v="870"/>
    <s v="rfaltinqb@topsy.com"/>
    <x v="1"/>
    <s v="Ara"/>
    <s v="M"/>
    <x v="0"/>
    <n v="11.25"/>
    <n v="11.25"/>
    <x v="2"/>
    <x v="0"/>
    <x v="1"/>
  </r>
  <r>
    <s v="ORX-57454-917"/>
    <x v="328"/>
    <s v="76209-39601-ZR"/>
    <s v="E-D-2.5"/>
    <n v="3"/>
    <x v="871"/>
    <s v="gcheekeqc@sitemeter.com"/>
    <x v="2"/>
    <s v="Exc"/>
    <s v="D"/>
    <x v="2"/>
    <n v="27.945"/>
    <n v="83.835000000000008"/>
    <x v="1"/>
    <x v="2"/>
    <x v="0"/>
  </r>
  <r>
    <s v="GRB-68838-629"/>
    <x v="648"/>
    <s v="15064-65241-HB"/>
    <s v="R-L-2.5"/>
    <n v="4"/>
    <x v="872"/>
    <s v="grattqd@phpbb.com"/>
    <x v="1"/>
    <s v="Rob"/>
    <s v="L"/>
    <x v="2"/>
    <n v="27.484999999999996"/>
    <n v="109.93999999999998"/>
    <x v="0"/>
    <x v="1"/>
    <x v="1"/>
  </r>
  <r>
    <s v="SHT-04865-419"/>
    <x v="666"/>
    <s v="69215-90789-DL"/>
    <s v="R-L-0.2"/>
    <n v="4"/>
    <x v="873"/>
    <s v=""/>
    <x v="0"/>
    <s v="Rob"/>
    <s v="L"/>
    <x v="3"/>
    <n v="3.5849999999999995"/>
    <n v="14.339999999999998"/>
    <x v="0"/>
    <x v="1"/>
    <x v="0"/>
  </r>
  <r>
    <s v="UQI-28177-865"/>
    <x v="577"/>
    <s v="04317-46176-TB"/>
    <s v="R-L-0.2"/>
    <n v="6"/>
    <x v="874"/>
    <s v="ieberleinqf@hc360.com"/>
    <x v="0"/>
    <s v="Rob"/>
    <s v="L"/>
    <x v="3"/>
    <n v="3.5849999999999995"/>
    <n v="21.509999999999998"/>
    <x v="0"/>
    <x v="1"/>
    <x v="1"/>
  </r>
  <r>
    <s v="OIB-13664-879"/>
    <x v="114"/>
    <s v="04713-57765-KR"/>
    <s v="A-M-1"/>
    <n v="2"/>
    <x v="875"/>
    <s v="jdrengqg@uiuc.edu"/>
    <x v="1"/>
    <s v="Ara"/>
    <s v="M"/>
    <x v="0"/>
    <n v="11.25"/>
    <n v="22.5"/>
    <x v="2"/>
    <x v="0"/>
    <x v="0"/>
  </r>
  <r>
    <s v="PJS-30996-485"/>
    <x v="4"/>
    <s v="86579-92122-OC"/>
    <s v="A-L-0.2"/>
    <n v="1"/>
    <x v="857"/>
    <s v=""/>
    <x v="0"/>
    <s v="Ara"/>
    <s v="L"/>
    <x v="3"/>
    <n v="3.8849999999999998"/>
    <n v="3.8849999999999998"/>
    <x v="2"/>
    <x v="1"/>
    <x v="0"/>
  </r>
  <r>
    <s v="HEL-86709-449"/>
    <x v="667"/>
    <s v="86579-92122-OC"/>
    <s v="E-D-2.5"/>
    <n v="1"/>
    <x v="857"/>
    <s v=""/>
    <x v="0"/>
    <s v="Exc"/>
    <s v="D"/>
    <x v="2"/>
    <n v="27.945"/>
    <n v="27.945"/>
    <x v="1"/>
    <x v="2"/>
    <x v="0"/>
  </r>
  <r>
    <s v="NCH-55389-562"/>
    <x v="110"/>
    <s v="86579-92122-OC"/>
    <s v="E-L-2.5"/>
    <n v="5"/>
    <x v="857"/>
    <s v=""/>
    <x v="0"/>
    <s v="Exc"/>
    <s v="L"/>
    <x v="2"/>
    <n v="34.154999999999994"/>
    <n v="170.77499999999998"/>
    <x v="1"/>
    <x v="1"/>
    <x v="0"/>
  </r>
  <r>
    <s v="NCH-55389-562"/>
    <x v="110"/>
    <s v="86579-92122-OC"/>
    <s v="R-L-2.5"/>
    <n v="2"/>
    <x v="857"/>
    <s v=""/>
    <x v="0"/>
    <s v="Rob"/>
    <s v="L"/>
    <x v="2"/>
    <n v="27.484999999999996"/>
    <n v="54.969999999999992"/>
    <x v="0"/>
    <x v="1"/>
    <x v="0"/>
  </r>
  <r>
    <s v="NCH-55389-562"/>
    <x v="110"/>
    <s v="86579-92122-OC"/>
    <s v="E-L-1"/>
    <n v="1"/>
    <x v="857"/>
    <s v=""/>
    <x v="0"/>
    <s v="Exc"/>
    <s v="L"/>
    <x v="0"/>
    <n v="14.85"/>
    <n v="14.85"/>
    <x v="1"/>
    <x v="1"/>
    <x v="0"/>
  </r>
  <r>
    <s v="NCH-55389-562"/>
    <x v="110"/>
    <s v="86579-92122-OC"/>
    <s v="A-L-0.2"/>
    <n v="2"/>
    <x v="857"/>
    <s v=""/>
    <x v="0"/>
    <s v="Ara"/>
    <s v="L"/>
    <x v="3"/>
    <n v="3.8849999999999998"/>
    <n v="7.77"/>
    <x v="2"/>
    <x v="1"/>
    <x v="0"/>
  </r>
  <r>
    <s v="GUG-45603-775"/>
    <x v="668"/>
    <s v="40959-32642-DN"/>
    <s v="L-L-0.2"/>
    <n v="5"/>
    <x v="876"/>
    <s v="rstrathernqn@devhub.com"/>
    <x v="0"/>
    <s v="Lib"/>
    <s v="L"/>
    <x v="3"/>
    <n v="4.7549999999999999"/>
    <n v="23.774999999999999"/>
    <x v="3"/>
    <x v="1"/>
    <x v="0"/>
  </r>
  <r>
    <s v="KJB-98240-098"/>
    <x v="422"/>
    <s v="77746-08153-PM"/>
    <s v="L-L-1"/>
    <n v="5"/>
    <x v="877"/>
    <s v="cmiguelqo@exblog.jp"/>
    <x v="0"/>
    <s v="Lib"/>
    <s v="L"/>
    <x v="0"/>
    <n v="15.85"/>
    <n v="79.25"/>
    <x v="3"/>
    <x v="1"/>
    <x v="0"/>
  </r>
  <r>
    <s v="JMS-48374-462"/>
    <x v="669"/>
    <s v="49667-96708-JL"/>
    <s v="A-D-2.5"/>
    <n v="2"/>
    <x v="878"/>
    <s v=""/>
    <x v="0"/>
    <s v="Ara"/>
    <s v="D"/>
    <x v="2"/>
    <n v="22.884999999999998"/>
    <n v="45.769999999999996"/>
    <x v="2"/>
    <x v="2"/>
    <x v="0"/>
  </r>
  <r>
    <s v="YIT-15877-117"/>
    <x v="670"/>
    <s v="24155-79322-EQ"/>
    <s v="R-D-1"/>
    <n v="1"/>
    <x v="879"/>
    <s v="mrocksqq@exblog.jp"/>
    <x v="1"/>
    <s v="Rob"/>
    <s v="D"/>
    <x v="0"/>
    <n v="8.9499999999999993"/>
    <n v="8.9499999999999993"/>
    <x v="0"/>
    <x v="2"/>
    <x v="0"/>
  </r>
  <r>
    <s v="YVK-82679-655"/>
    <x v="341"/>
    <s v="95342-88311-SF"/>
    <s v="R-M-0.5"/>
    <n v="4"/>
    <x v="880"/>
    <s v="yburrellsqr@vinaora.com"/>
    <x v="0"/>
    <s v="Rob"/>
    <s v="M"/>
    <x v="1"/>
    <n v="5.97"/>
    <n v="23.88"/>
    <x v="0"/>
    <x v="0"/>
    <x v="0"/>
  </r>
  <r>
    <s v="TYH-81940-054"/>
    <x v="671"/>
    <s v="69374-08133-RI"/>
    <s v="E-L-0.2"/>
    <n v="5"/>
    <x v="881"/>
    <s v="cgoodrumqs@goodreads.com"/>
    <x v="0"/>
    <s v="Exc"/>
    <s v="L"/>
    <x v="3"/>
    <n v="4.4550000000000001"/>
    <n v="22.274999999999999"/>
    <x v="1"/>
    <x v="1"/>
    <x v="1"/>
  </r>
  <r>
    <s v="HTY-30660-254"/>
    <x v="672"/>
    <s v="83844-95908-RX"/>
    <s v="R-M-1"/>
    <n v="3"/>
    <x v="882"/>
    <s v="jjefferysqt@blog.com"/>
    <x v="0"/>
    <s v="Rob"/>
    <s v="M"/>
    <x v="0"/>
    <n v="9.9499999999999993"/>
    <n v="29.849999999999998"/>
    <x v="0"/>
    <x v="0"/>
    <x v="0"/>
  </r>
  <r>
    <s v="GPW-43956-761"/>
    <x v="673"/>
    <s v="09667-09231-YM"/>
    <s v="E-L-0.5"/>
    <n v="6"/>
    <x v="883"/>
    <s v="bwardellqu@adobe.com"/>
    <x v="0"/>
    <s v="Exc"/>
    <s v="L"/>
    <x v="1"/>
    <n v="8.91"/>
    <n v="53.46"/>
    <x v="1"/>
    <x v="1"/>
    <x v="0"/>
  </r>
  <r>
    <s v="DWY-56352-412"/>
    <x v="674"/>
    <s v="55427-08059-DF"/>
    <s v="R-D-0.2"/>
    <n v="1"/>
    <x v="884"/>
    <s v="zwalisiakqv@ucsd.edu"/>
    <x v="1"/>
    <s v="Rob"/>
    <s v="D"/>
    <x v="3"/>
    <n v="2.6849999999999996"/>
    <n v="2.6849999999999996"/>
    <x v="0"/>
    <x v="2"/>
    <x v="0"/>
  </r>
  <r>
    <s v="PUH-55647-976"/>
    <x v="675"/>
    <s v="06624-54037-BQ"/>
    <s v="R-M-0.2"/>
    <n v="2"/>
    <x v="885"/>
    <s v="wleopoldqw@blogspot.com"/>
    <x v="0"/>
    <s v="Rob"/>
    <s v="M"/>
    <x v="3"/>
    <n v="2.9849999999999999"/>
    <n v="5.97"/>
    <x v="0"/>
    <x v="0"/>
    <x v="1"/>
  </r>
  <r>
    <s v="DTB-71371-705"/>
    <x v="539"/>
    <s v="48544-90737-AZ"/>
    <s v="L-D-1"/>
    <n v="1"/>
    <x v="886"/>
    <s v="cshaldersqx@cisco.com"/>
    <x v="0"/>
    <s v="Lib"/>
    <s v="D"/>
    <x v="0"/>
    <n v="12.95"/>
    <n v="12.95"/>
    <x v="3"/>
    <x v="2"/>
    <x v="0"/>
  </r>
  <r>
    <s v="ZDC-64769-740"/>
    <x v="676"/>
    <s v="79463-01597-FQ"/>
    <s v="E-M-0.5"/>
    <n v="1"/>
    <x v="887"/>
    <s v=""/>
    <x v="0"/>
    <s v="Exc"/>
    <s v="M"/>
    <x v="1"/>
    <n v="8.25"/>
    <n v="8.25"/>
    <x v="1"/>
    <x v="0"/>
    <x v="1"/>
  </r>
  <r>
    <s v="TED-81959-419"/>
    <x v="677"/>
    <s v="27702-50024-XC"/>
    <s v="A-L-2.5"/>
    <n v="5"/>
    <x v="888"/>
    <s v="nfurberqz@jugem.jp"/>
    <x v="0"/>
    <s v="Ara"/>
    <s v="L"/>
    <x v="2"/>
    <n v="29.784999999999997"/>
    <n v="148.92499999999998"/>
    <x v="2"/>
    <x v="1"/>
    <x v="1"/>
  </r>
  <r>
    <s v="FDO-25756-141"/>
    <x v="629"/>
    <s v="57360-46846-NS"/>
    <s v="A-L-2.5"/>
    <n v="3"/>
    <x v="889"/>
    <s v=""/>
    <x v="1"/>
    <s v="Ara"/>
    <s v="L"/>
    <x v="2"/>
    <n v="29.784999999999997"/>
    <n v="89.35499999999999"/>
    <x v="2"/>
    <x v="1"/>
    <x v="0"/>
  </r>
  <r>
    <s v="HKN-31467-517"/>
    <x v="662"/>
    <s v="84045-66771-SL"/>
    <s v="L-M-1"/>
    <n v="6"/>
    <x v="890"/>
    <s v="ckeaver1@ucoz.com"/>
    <x v="0"/>
    <s v="Lib"/>
    <s v="M"/>
    <x v="0"/>
    <n v="14.55"/>
    <n v="87.300000000000011"/>
    <x v="3"/>
    <x v="0"/>
    <x v="1"/>
  </r>
  <r>
    <s v="POF-29666-012"/>
    <x v="102"/>
    <s v="46885-00260-TL"/>
    <s v="R-D-0.5"/>
    <n v="1"/>
    <x v="891"/>
    <s v="sroseboroughr2@virginia.edu"/>
    <x v="0"/>
    <s v="Rob"/>
    <s v="D"/>
    <x v="1"/>
    <n v="5.3699999999999992"/>
    <n v="5.3699999999999992"/>
    <x v="0"/>
    <x v="2"/>
    <x v="0"/>
  </r>
  <r>
    <s v="IRX-59256-644"/>
    <x v="678"/>
    <s v="96446-62142-EN"/>
    <s v="A-D-0.2"/>
    <n v="3"/>
    <x v="892"/>
    <s v="ckingwellr3@squarespace.com"/>
    <x v="1"/>
    <s v="Ara"/>
    <s v="D"/>
    <x v="3"/>
    <n v="2.9849999999999999"/>
    <n v="8.9550000000000001"/>
    <x v="2"/>
    <x v="2"/>
    <x v="0"/>
  </r>
  <r>
    <s v="LTN-89139-350"/>
    <x v="679"/>
    <s v="07756-71018-GU"/>
    <s v="R-L-2.5"/>
    <n v="5"/>
    <x v="893"/>
    <s v="kcantor4@gmpg.org"/>
    <x v="0"/>
    <s v="Rob"/>
    <s v="L"/>
    <x v="2"/>
    <n v="27.484999999999996"/>
    <n v="137.42499999999998"/>
    <x v="0"/>
    <x v="1"/>
    <x v="0"/>
  </r>
  <r>
    <s v="TXF-79780-017"/>
    <x v="112"/>
    <s v="92048-47813-QB"/>
    <s v="R-L-1"/>
    <n v="5"/>
    <x v="894"/>
    <s v="mblakemorer5@nsw.gov.au"/>
    <x v="0"/>
    <s v="Rob"/>
    <s v="L"/>
    <x v="0"/>
    <n v="11.95"/>
    <n v="59.75"/>
    <x v="0"/>
    <x v="1"/>
    <x v="1"/>
  </r>
  <r>
    <s v="ALM-80762-974"/>
    <x v="55"/>
    <s v="84045-66771-SL"/>
    <s v="A-L-0.5"/>
    <n v="3"/>
    <x v="890"/>
    <s v="ckeaver1@ucoz.com"/>
    <x v="0"/>
    <s v="Ara"/>
    <s v="L"/>
    <x v="1"/>
    <n v="7.77"/>
    <n v="23.31"/>
    <x v="2"/>
    <x v="1"/>
    <x v="1"/>
  </r>
  <r>
    <s v="NXF-15738-707"/>
    <x v="680"/>
    <s v="28699-16256-XV"/>
    <s v="R-D-0.5"/>
    <n v="2"/>
    <x v="895"/>
    <s v=""/>
    <x v="0"/>
    <s v="Rob"/>
    <s v="D"/>
    <x v="1"/>
    <n v="5.3699999999999992"/>
    <n v="10.739999999999998"/>
    <x v="0"/>
    <x v="2"/>
    <x v="1"/>
  </r>
  <r>
    <s v="MVV-19034-198"/>
    <x v="94"/>
    <s v="98476-63654-CG"/>
    <s v="E-D-2.5"/>
    <n v="6"/>
    <x v="896"/>
    <s v=""/>
    <x v="0"/>
    <s v="Exc"/>
    <s v="D"/>
    <x v="2"/>
    <n v="27.945"/>
    <n v="167.67000000000002"/>
    <x v="1"/>
    <x v="2"/>
    <x v="0"/>
  </r>
  <r>
    <s v="KUX-19632-830"/>
    <x v="160"/>
    <s v="55409-07759-YG"/>
    <s v="E-D-0.2"/>
    <n v="6"/>
    <x v="897"/>
    <s v="cbernardotr9@wix.com"/>
    <x v="0"/>
    <s v="Exc"/>
    <s v="D"/>
    <x v="3"/>
    <n v="3.645"/>
    <n v="21.87"/>
    <x v="1"/>
    <x v="2"/>
    <x v="0"/>
  </r>
  <r>
    <s v="SNZ-44595-152"/>
    <x v="681"/>
    <s v="06136-65250-PG"/>
    <s v="R-L-1"/>
    <n v="2"/>
    <x v="898"/>
    <s v="kkemeryra@t.co"/>
    <x v="0"/>
    <s v="Rob"/>
    <s v="L"/>
    <x v="0"/>
    <n v="11.95"/>
    <n v="23.9"/>
    <x v="0"/>
    <x v="1"/>
    <x v="0"/>
  </r>
  <r>
    <s v="GQA-37241-629"/>
    <x v="502"/>
    <s v="08405-33165-BS"/>
    <s v="A-M-0.2"/>
    <n v="2"/>
    <x v="899"/>
    <s v="fparlotrb@forbes.com"/>
    <x v="0"/>
    <s v="Ara"/>
    <s v="M"/>
    <x v="3"/>
    <n v="3.375"/>
    <n v="6.75"/>
    <x v="2"/>
    <x v="0"/>
    <x v="0"/>
  </r>
  <r>
    <s v="WVV-79948-067"/>
    <x v="682"/>
    <s v="66070-30559-WI"/>
    <s v="E-M-2.5"/>
    <n v="1"/>
    <x v="900"/>
    <s v="rcheakrc@tripadvisor.com"/>
    <x v="1"/>
    <s v="Exc"/>
    <s v="M"/>
    <x v="2"/>
    <n v="31.624999999999996"/>
    <n v="31.624999999999996"/>
    <x v="1"/>
    <x v="0"/>
    <x v="0"/>
  </r>
  <r>
    <s v="LHX-81117-166"/>
    <x v="683"/>
    <s v="01282-28364-RZ"/>
    <s v="R-L-1"/>
    <n v="4"/>
    <x v="901"/>
    <s v="kogeneayrd@utexas.edu"/>
    <x v="0"/>
    <s v="Rob"/>
    <s v="L"/>
    <x v="0"/>
    <n v="11.95"/>
    <n v="47.8"/>
    <x v="0"/>
    <x v="1"/>
    <x v="1"/>
  </r>
  <r>
    <s v="GCD-75444-320"/>
    <x v="594"/>
    <s v="51277-93873-RP"/>
    <s v="L-M-2.5"/>
    <n v="1"/>
    <x v="902"/>
    <s v="cayrere@symantec.com"/>
    <x v="0"/>
    <s v="Lib"/>
    <s v="M"/>
    <x v="2"/>
    <n v="33.464999999999996"/>
    <n v="33.464999999999996"/>
    <x v="3"/>
    <x v="0"/>
    <x v="1"/>
  </r>
  <r>
    <s v="SGA-30059-217"/>
    <x v="389"/>
    <s v="84405-83364-DG"/>
    <s v="A-D-0.5"/>
    <n v="5"/>
    <x v="903"/>
    <s v="lkynetonrf@macromedia.com"/>
    <x v="2"/>
    <s v="Ara"/>
    <s v="D"/>
    <x v="1"/>
    <n v="5.97"/>
    <n v="29.849999999999998"/>
    <x v="2"/>
    <x v="2"/>
    <x v="0"/>
  </r>
  <r>
    <s v="GNL-98714-885"/>
    <x v="583"/>
    <s v="83731-53280-YC"/>
    <s v="R-M-1"/>
    <n v="3"/>
    <x v="904"/>
    <s v=""/>
    <x v="2"/>
    <s v="Rob"/>
    <s v="M"/>
    <x v="0"/>
    <n v="9.9499999999999993"/>
    <n v="29.849999999999998"/>
    <x v="0"/>
    <x v="0"/>
    <x v="0"/>
  </r>
  <r>
    <s v="OQA-93249-841"/>
    <x v="647"/>
    <s v="03917-13632-KC"/>
    <s v="A-M-2.5"/>
    <n v="6"/>
    <x v="905"/>
    <s v=""/>
    <x v="0"/>
    <s v="Ara"/>
    <s v="M"/>
    <x v="2"/>
    <n v="25.874999999999996"/>
    <n v="155.24999999999997"/>
    <x v="2"/>
    <x v="0"/>
    <x v="0"/>
  </r>
  <r>
    <s v="DUV-12075-132"/>
    <x v="366"/>
    <s v="62494-09113-RP"/>
    <s v="E-D-0.2"/>
    <n v="5"/>
    <x v="906"/>
    <s v=""/>
    <x v="0"/>
    <s v="Exc"/>
    <s v="D"/>
    <x v="3"/>
    <n v="3.645"/>
    <n v="18.225000000000001"/>
    <x v="1"/>
    <x v="2"/>
    <x v="1"/>
  </r>
  <r>
    <s v="DUV-12075-132"/>
    <x v="366"/>
    <s v="62494-09113-RP"/>
    <s v="L-D-0.5"/>
    <n v="2"/>
    <x v="906"/>
    <s v=""/>
    <x v="0"/>
    <s v="Lib"/>
    <s v="D"/>
    <x v="1"/>
    <n v="7.77"/>
    <n v="15.54"/>
    <x v="3"/>
    <x v="2"/>
    <x v="1"/>
  </r>
  <r>
    <s v="KPO-24942-184"/>
    <x v="684"/>
    <s v="70567-65133-CN"/>
    <s v="L-L-2.5"/>
    <n v="3"/>
    <x v="907"/>
    <s v=""/>
    <x v="1"/>
    <s v="Lib"/>
    <s v="L"/>
    <x v="2"/>
    <n v="36.454999999999998"/>
    <n v="109.36499999999999"/>
    <x v="3"/>
    <x v="1"/>
    <x v="1"/>
  </r>
  <r>
    <s v="SRJ-79353-838"/>
    <x v="506"/>
    <s v="77869-81373-AY"/>
    <s v="A-L-1"/>
    <n v="6"/>
    <x v="908"/>
    <s v=""/>
    <x v="0"/>
    <s v="Ara"/>
    <s v="L"/>
    <x v="0"/>
    <n v="12.95"/>
    <n v="77.699999999999989"/>
    <x v="2"/>
    <x v="1"/>
    <x v="1"/>
  </r>
  <r>
    <s v="XBV-40336-071"/>
    <x v="685"/>
    <s v="38536-98293-JZ"/>
    <s v="A-D-0.2"/>
    <n v="3"/>
    <x v="909"/>
    <s v=""/>
    <x v="1"/>
    <s v="Ara"/>
    <s v="D"/>
    <x v="3"/>
    <n v="2.9849999999999999"/>
    <n v="8.9550000000000001"/>
    <x v="2"/>
    <x v="2"/>
    <x v="1"/>
  </r>
  <r>
    <s v="RLM-96511-467"/>
    <x v="191"/>
    <s v="43014-53743-XK"/>
    <s v="R-L-2.5"/>
    <n v="1"/>
    <x v="910"/>
    <s v="jtewelsonrn@samsung.com"/>
    <x v="0"/>
    <s v="Rob"/>
    <s v="L"/>
    <x v="2"/>
    <n v="27.484999999999996"/>
    <n v="27.484999999999996"/>
    <x v="0"/>
    <x v="1"/>
    <x v="1"/>
  </r>
  <r>
    <s v="AEZ-13242-456"/>
    <x v="686"/>
    <s v="62494-09113-RP"/>
    <s v="R-M-0.5"/>
    <n v="5"/>
    <x v="906"/>
    <s v=""/>
    <x v="0"/>
    <s v="Rob"/>
    <s v="M"/>
    <x v="1"/>
    <n v="5.97"/>
    <n v="29.849999999999998"/>
    <x v="0"/>
    <x v="0"/>
    <x v="1"/>
  </r>
  <r>
    <s v="UME-75640-698"/>
    <x v="687"/>
    <s v="62494-09113-RP"/>
    <s v="A-M-0.5"/>
    <n v="4"/>
    <x v="906"/>
    <s v=""/>
    <x v="0"/>
    <s v="Ara"/>
    <s v="M"/>
    <x v="1"/>
    <n v="6.75"/>
    <n v="27"/>
    <x v="2"/>
    <x v="0"/>
    <x v="1"/>
  </r>
  <r>
    <s v="GJC-66474-557"/>
    <x v="629"/>
    <s v="64965-78386-MY"/>
    <s v="A-D-1"/>
    <n v="1"/>
    <x v="911"/>
    <s v="njennyrq@bigcartel.com"/>
    <x v="0"/>
    <s v="Ara"/>
    <s v="D"/>
    <x v="0"/>
    <n v="9.9499999999999993"/>
    <n v="9.9499999999999993"/>
    <x v="2"/>
    <x v="2"/>
    <x v="1"/>
  </r>
  <r>
    <s v="IRV-20769-219"/>
    <x v="688"/>
    <s v="77131-58092-GE"/>
    <s v="E-M-0.2"/>
    <n v="3"/>
    <x v="912"/>
    <s v=""/>
    <x v="2"/>
    <s v="Exc"/>
    <s v="M"/>
    <x v="3"/>
    <n v="4.125"/>
    <n v="12.375"/>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80E502-1463-428E-9A7B-F98748CDFCBB}" name="TotalSales" cacheId="5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28">
  <location ref="A3:F48" firstHeaderRow="1" firstDataRow="2" firstDataCol="2"/>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numFmtId="170" outline="0" showAll="0" defaultSubtotal="0">
      <items count="4">
        <item x="3"/>
        <item x="1"/>
        <item x="0"/>
        <item x="2"/>
      </items>
    </pivotField>
    <pivotField compact="0" numFmtId="171" outline="0" showAll="0" defaultSubtotal="0"/>
    <pivotField dataField="1" compact="0" numFmtId="171" outline="0" showAll="0" defaultSubtotal="0"/>
    <pivotField axis="axisCol" compact="0" outline="0" showAll="0" defaultSubtotal="0">
      <items count="4">
        <item x="2"/>
        <item x="1"/>
        <item x="3"/>
        <item x="0"/>
      </items>
    </pivotField>
    <pivotField compact="0" outline="0" showAll="0" defaultSubtotal="0">
      <items count="3">
        <item x="2"/>
        <item x="1"/>
        <item x="0"/>
      </items>
    </pivotField>
    <pivotField compact="0" outline="0" subtotalTop="0" showAll="0" defaultSubtotal="0">
      <items count="2">
        <item x="1"/>
        <item x="0"/>
      </items>
    </pivotField>
    <pivotField axis="axisRow" compact="0" outline="0" showAll="0" defaultSubtotal="0">
      <items count="14">
        <item x="0"/>
        <item x="1"/>
        <item x="2"/>
        <item x="3"/>
        <item x="4"/>
        <item x="5"/>
        <item x="6"/>
        <item x="7"/>
        <item x="8"/>
        <item x="9"/>
        <item x="10"/>
        <item x="11"/>
        <item x="12"/>
        <item x="13"/>
      </items>
    </pivotField>
    <pivotField axis="axisRow" compact="0" outline="0" showAll="0" defaultSubtotal="0">
      <items count="6">
        <item x="0"/>
        <item x="1"/>
        <item x="2"/>
        <item x="3"/>
        <item x="4"/>
        <item x="5"/>
      </items>
    </pivotField>
  </pivotFields>
  <rowFields count="2">
    <field x="17"/>
    <field x="16"/>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15" baseItem="1" numFmtId="3"/>
  </dataFields>
  <chartFormats count="8">
    <chartFormat chart="23" format="0" series="1">
      <pivotArea type="data" outline="0" fieldPosition="0">
        <references count="2">
          <reference field="4294967294" count="1" selected="0">
            <x v="0"/>
          </reference>
          <reference field="13" count="1" selected="0">
            <x v="0"/>
          </reference>
        </references>
      </pivotArea>
    </chartFormat>
    <chartFormat chart="23" format="1" series="1">
      <pivotArea type="data" outline="0" fieldPosition="0">
        <references count="2">
          <reference field="4294967294" count="1" selected="0">
            <x v="0"/>
          </reference>
          <reference field="13" count="1" selected="0">
            <x v="1"/>
          </reference>
        </references>
      </pivotArea>
    </chartFormat>
    <chartFormat chart="23" format="2" series="1">
      <pivotArea type="data" outline="0" fieldPosition="0">
        <references count="2">
          <reference field="4294967294" count="1" selected="0">
            <x v="0"/>
          </reference>
          <reference field="13" count="1" selected="0">
            <x v="2"/>
          </reference>
        </references>
      </pivotArea>
    </chartFormat>
    <chartFormat chart="23" format="3" series="1">
      <pivotArea type="data" outline="0" fieldPosition="0">
        <references count="2">
          <reference field="4294967294" count="1" selected="0">
            <x v="0"/>
          </reference>
          <reference field="13" count="1" selected="0">
            <x v="3"/>
          </reference>
        </references>
      </pivotArea>
    </chartFormat>
    <chartFormat chart="27" format="8" series="1">
      <pivotArea type="data" outline="0" fieldPosition="0">
        <references count="2">
          <reference field="4294967294" count="1" selected="0">
            <x v="0"/>
          </reference>
          <reference field="13" count="1" selected="0">
            <x v="0"/>
          </reference>
        </references>
      </pivotArea>
    </chartFormat>
    <chartFormat chart="27" format="9" series="1">
      <pivotArea type="data" outline="0" fieldPosition="0">
        <references count="2">
          <reference field="4294967294" count="1" selected="0">
            <x v="0"/>
          </reference>
          <reference field="13" count="1" selected="0">
            <x v="1"/>
          </reference>
        </references>
      </pivotArea>
    </chartFormat>
    <chartFormat chart="27" format="10" series="1">
      <pivotArea type="data" outline="0" fieldPosition="0">
        <references count="2">
          <reference field="4294967294" count="1" selected="0">
            <x v="0"/>
          </reference>
          <reference field="13" count="1" selected="0">
            <x v="2"/>
          </reference>
        </references>
      </pivotArea>
    </chartFormat>
    <chartFormat chart="27" format="11"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61586F-FB00-41AD-B07E-8569D77C1A35}" name="TotalSales" cacheId="5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4">
  <location ref="A3:B6"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70" outline="0" showAll="0" defaultSubtotal="0">
      <items count="4">
        <item x="3"/>
        <item x="1"/>
        <item x="0"/>
        <item x="2"/>
      </items>
    </pivotField>
    <pivotField compact="0" numFmtId="171" outline="0" showAll="0" defaultSubtotal="0"/>
    <pivotField dataField="1" compact="0" numFmtId="171"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0" baseItem="0" numFmtId="171"/>
  </dataFields>
  <chartFormats count="8">
    <chartFormat chart="30" format="0" series="1">
      <pivotArea type="data" outline="0" fieldPosition="0">
        <references count="1">
          <reference field="4294967294" count="1" selected="0">
            <x v="0"/>
          </reference>
        </references>
      </pivotArea>
    </chartFormat>
    <chartFormat chart="30" format="1">
      <pivotArea type="data" outline="0" fieldPosition="0">
        <references count="2">
          <reference field="4294967294" count="1" selected="0">
            <x v="0"/>
          </reference>
          <reference field="7" count="1" selected="0">
            <x v="2"/>
          </reference>
        </references>
      </pivotArea>
    </chartFormat>
    <chartFormat chart="30" format="2">
      <pivotArea type="data" outline="0" fieldPosition="0">
        <references count="2">
          <reference field="4294967294" count="1" selected="0">
            <x v="0"/>
          </reference>
          <reference field="7" count="1" selected="0">
            <x v="0"/>
          </reference>
        </references>
      </pivotArea>
    </chartFormat>
    <chartFormat chart="30" format="3">
      <pivotArea type="data" outline="0" fieldPosition="0">
        <references count="2">
          <reference field="4294967294" count="1" selected="0">
            <x v="0"/>
          </reference>
          <reference field="7" count="1" selected="0">
            <x v="1"/>
          </reference>
        </references>
      </pivotArea>
    </chartFormat>
    <chartFormat chart="33" format="8" series="1">
      <pivotArea type="data" outline="0" fieldPosition="0">
        <references count="1">
          <reference field="4294967294" count="1" selected="0">
            <x v="0"/>
          </reference>
        </references>
      </pivotArea>
    </chartFormat>
    <chartFormat chart="33" format="9">
      <pivotArea type="data" outline="0" fieldPosition="0">
        <references count="2">
          <reference field="4294967294" count="1" selected="0">
            <x v="0"/>
          </reference>
          <reference field="7" count="1" selected="0">
            <x v="1"/>
          </reference>
        </references>
      </pivotArea>
    </chartFormat>
    <chartFormat chart="33" format="10">
      <pivotArea type="data" outline="0" fieldPosition="0">
        <references count="2">
          <reference field="4294967294" count="1" selected="0">
            <x v="0"/>
          </reference>
          <reference field="7" count="1" selected="0">
            <x v="0"/>
          </reference>
        </references>
      </pivotArea>
    </chartFormat>
    <chartFormat chart="33" format="11">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90D3DFA-A640-4114-A4B6-7DE9CD7D96C5}" name="TotalSales" cacheId="55" applyNumberFormats="0" applyBorderFormats="0" applyFontFormats="0" applyPatternFormats="0" applyAlignmentFormats="0" applyWidthHeightFormats="1" dataCaption="Values" updatedVersion="8" minRefreshableVersion="5" useAutoFormatting="1" rowGrandTotals="0" colGrandTotals="0" itemPrintTitles="1" createdVersion="8" indent="0" compact="0" compactData="0" multipleFieldFilters="0" chartFormat="36">
  <location ref="A3:B8" firstHeaderRow="1" firstDataRow="1" firstDataCol="1"/>
  <pivotFields count="18">
    <pivotField compact="0" outline="0" showAll="0" defaultSubtotal="0"/>
    <pivotField compact="0" numFmtId="166" outline="0" showAll="0" defaultSubtotal="0">
      <items count="689">
        <item x="6"/>
        <item x="578"/>
        <item x="463"/>
        <item x="655"/>
        <item x="420"/>
        <item x="499"/>
        <item x="161"/>
        <item x="149"/>
        <item x="535"/>
        <item x="488"/>
        <item x="673"/>
        <item x="309"/>
        <item x="310"/>
        <item x="336"/>
        <item x="53"/>
        <item x="530"/>
        <item x="496"/>
        <item x="552"/>
        <item x="124"/>
        <item x="603"/>
        <item x="460"/>
        <item x="445"/>
        <item x="21"/>
        <item x="418"/>
        <item x="368"/>
        <item x="240"/>
        <item x="52"/>
        <item x="665"/>
        <item x="267"/>
        <item x="482"/>
        <item x="286"/>
        <item x="315"/>
        <item x="599"/>
        <item x="406"/>
        <item x="325"/>
        <item x="83"/>
        <item x="333"/>
        <item x="533"/>
        <item x="581"/>
        <item x="13"/>
        <item x="588"/>
        <item x="657"/>
        <item x="505"/>
        <item x="102"/>
        <item x="647"/>
        <item x="129"/>
        <item x="303"/>
        <item x="556"/>
        <item x="165"/>
        <item x="96"/>
        <item x="202"/>
        <item x="71"/>
        <item x="360"/>
        <item x="225"/>
        <item x="273"/>
        <item x="29"/>
        <item x="110"/>
        <item x="425"/>
        <item x="605"/>
        <item x="320"/>
        <item x="458"/>
        <item x="335"/>
        <item x="294"/>
        <item x="68"/>
        <item x="253"/>
        <item x="302"/>
        <item x="43"/>
        <item x="375"/>
        <item x="467"/>
        <item x="510"/>
        <item x="34"/>
        <item x="111"/>
        <item x="144"/>
        <item x="274"/>
        <item x="387"/>
        <item x="413"/>
        <item x="198"/>
        <item x="15"/>
        <item x="631"/>
        <item x="619"/>
        <item x="637"/>
        <item x="638"/>
        <item x="620"/>
        <item x="241"/>
        <item x="136"/>
        <item x="266"/>
        <item x="100"/>
        <item x="679"/>
        <item x="39"/>
        <item x="61"/>
        <item x="633"/>
        <item x="564"/>
        <item x="539"/>
        <item x="115"/>
        <item x="394"/>
        <item x="231"/>
        <item x="468"/>
        <item x="529"/>
        <item x="76"/>
        <item x="271"/>
        <item x="574"/>
        <item x="438"/>
        <item x="373"/>
        <item x="569"/>
        <item x="268"/>
        <item x="332"/>
        <item x="627"/>
        <item x="169"/>
        <item x="162"/>
        <item x="437"/>
        <item x="278"/>
        <item x="317"/>
        <item x="288"/>
        <item x="104"/>
        <item x="93"/>
        <item x="550"/>
        <item x="677"/>
        <item x="626"/>
        <item x="238"/>
        <item x="397"/>
        <item x="279"/>
        <item x="0"/>
        <item x="139"/>
        <item x="610"/>
        <item x="621"/>
        <item x="44"/>
        <item x="331"/>
        <item x="73"/>
        <item x="672"/>
        <item x="622"/>
        <item x="650"/>
        <item x="500"/>
        <item x="676"/>
        <item x="378"/>
        <item x="528"/>
        <item x="432"/>
        <item x="475"/>
        <item x="559"/>
        <item x="280"/>
        <item x="474"/>
        <item x="22"/>
        <item x="388"/>
        <item x="687"/>
        <item x="426"/>
        <item x="287"/>
        <item x="59"/>
        <item x="244"/>
        <item x="14"/>
        <item x="354"/>
        <item x="106"/>
        <item x="431"/>
        <item x="256"/>
        <item x="72"/>
        <item x="137"/>
        <item x="179"/>
        <item x="247"/>
        <item x="183"/>
        <item x="38"/>
        <item x="582"/>
        <item x="446"/>
        <item x="276"/>
        <item x="75"/>
        <item x="364"/>
        <item x="405"/>
        <item x="229"/>
        <item x="60"/>
        <item x="258"/>
        <item x="573"/>
        <item x="600"/>
        <item x="345"/>
        <item x="292"/>
        <item x="534"/>
        <item x="356"/>
        <item x="355"/>
        <item x="98"/>
        <item x="554"/>
        <item x="153"/>
        <item x="379"/>
        <item x="466"/>
        <item x="85"/>
        <item x="485"/>
        <item x="265"/>
        <item x="520"/>
        <item x="257"/>
        <item x="184"/>
        <item x="157"/>
        <item x="502"/>
        <item x="191"/>
        <item x="141"/>
        <item x="319"/>
        <item x="371"/>
        <item x="164"/>
        <item x="221"/>
        <item x="563"/>
        <item x="289"/>
        <item x="625"/>
        <item x="67"/>
        <item x="680"/>
        <item x="47"/>
        <item x="297"/>
        <item x="215"/>
        <item x="262"/>
        <item x="671"/>
        <item x="350"/>
        <item x="454"/>
        <item x="54"/>
        <item x="383"/>
        <item x="321"/>
        <item x="227"/>
        <item x="203"/>
        <item x="306"/>
        <item x="298"/>
        <item x="216"/>
        <item x="194"/>
        <item x="206"/>
        <item x="175"/>
        <item x="494"/>
        <item x="281"/>
        <item x="193"/>
        <item x="585"/>
        <item x="489"/>
        <item x="259"/>
        <item x="90"/>
        <item x="498"/>
        <item x="476"/>
        <item x="583"/>
        <item x="155"/>
        <item x="346"/>
        <item x="593"/>
        <item x="459"/>
        <item x="645"/>
        <item x="365"/>
        <item x="158"/>
        <item x="576"/>
        <item x="55"/>
        <item x="525"/>
        <item x="512"/>
        <item x="209"/>
        <item x="166"/>
        <item x="69"/>
        <item x="181"/>
        <item x="419"/>
        <item x="444"/>
        <item x="36"/>
        <item x="74"/>
        <item x="486"/>
        <item x="521"/>
        <item x="477"/>
        <item x="30"/>
        <item x="457"/>
        <item x="212"/>
        <item x="393"/>
        <item x="594"/>
        <item x="95"/>
        <item x="242"/>
        <item x="386"/>
        <item x="449"/>
        <item x="126"/>
        <item x="80"/>
        <item x="10"/>
        <item x="568"/>
        <item x="94"/>
        <item x="296"/>
        <item x="234"/>
        <item x="507"/>
        <item x="277"/>
        <item x="439"/>
        <item x="236"/>
        <item x="207"/>
        <item x="284"/>
        <item x="635"/>
        <item x="401"/>
        <item x="478"/>
        <item x="602"/>
        <item x="199"/>
        <item x="26"/>
        <item x="524"/>
        <item x="84"/>
        <item x="495"/>
        <item x="640"/>
        <item x="372"/>
        <item x="214"/>
        <item x="381"/>
        <item x="130"/>
        <item x="402"/>
        <item x="112"/>
        <item x="174"/>
        <item x="470"/>
        <item x="243"/>
        <item x="440"/>
        <item x="376"/>
        <item x="82"/>
        <item x="416"/>
        <item x="97"/>
        <item x="557"/>
        <item x="117"/>
        <item x="456"/>
        <item x="484"/>
        <item x="133"/>
        <item x="105"/>
        <item x="252"/>
        <item x="304"/>
        <item x="295"/>
        <item x="560"/>
        <item x="542"/>
        <item x="519"/>
        <item x="208"/>
        <item x="128"/>
        <item x="497"/>
        <item x="40"/>
        <item x="642"/>
        <item x="189"/>
        <item x="577"/>
        <item x="392"/>
        <item x="314"/>
        <item x="395"/>
        <item x="255"/>
        <item x="178"/>
        <item x="492"/>
        <item x="132"/>
        <item x="190"/>
        <item x="210"/>
        <item x="134"/>
        <item x="659"/>
        <item x="513"/>
        <item x="688"/>
        <item x="156"/>
        <item x="377"/>
        <item x="313"/>
        <item x="570"/>
        <item x="429"/>
        <item x="20"/>
        <item x="414"/>
        <item x="324"/>
        <item x="63"/>
        <item x="8"/>
        <item x="327"/>
        <item x="606"/>
        <item x="81"/>
        <item x="471"/>
        <item x="88"/>
        <item x="330"/>
        <item x="609"/>
        <item x="348"/>
        <item x="604"/>
        <item x="473"/>
        <item x="469"/>
        <item x="540"/>
        <item x="661"/>
        <item x="545"/>
        <item x="224"/>
        <item x="669"/>
        <item x="400"/>
        <item x="656"/>
        <item x="338"/>
        <item x="46"/>
        <item x="16"/>
        <item x="269"/>
        <item x="86"/>
        <item x="205"/>
        <item x="598"/>
        <item x="186"/>
        <item x="430"/>
        <item x="249"/>
        <item x="145"/>
        <item x="237"/>
        <item x="404"/>
        <item x="571"/>
        <item x="450"/>
        <item x="411"/>
        <item x="116"/>
        <item x="62"/>
        <item x="341"/>
        <item x="515"/>
        <item x="142"/>
        <item x="561"/>
        <item x="239"/>
        <item x="176"/>
        <item x="358"/>
        <item x="682"/>
        <item x="541"/>
        <item x="481"/>
        <item x="17"/>
        <item x="547"/>
        <item x="644"/>
        <item x="353"/>
        <item x="434"/>
        <item x="260"/>
        <item x="663"/>
        <item x="359"/>
        <item x="120"/>
        <item x="28"/>
        <item x="146"/>
        <item x="597"/>
        <item x="123"/>
        <item x="447"/>
        <item x="592"/>
        <item x="596"/>
        <item x="685"/>
        <item x="326"/>
        <item x="674"/>
        <item x="389"/>
        <item x="318"/>
        <item x="362"/>
        <item x="51"/>
        <item x="628"/>
        <item x="415"/>
        <item x="285"/>
        <item x="254"/>
        <item x="87"/>
        <item x="452"/>
        <item x="7"/>
        <item x="544"/>
        <item x="103"/>
        <item x="455"/>
        <item x="108"/>
        <item x="147"/>
        <item x="45"/>
        <item x="385"/>
        <item x="251"/>
        <item x="684"/>
        <item x="562"/>
        <item x="200"/>
        <item x="246"/>
        <item x="516"/>
        <item x="196"/>
        <item x="180"/>
        <item x="78"/>
        <item x="632"/>
        <item x="77"/>
        <item x="448"/>
        <item x="89"/>
        <item x="636"/>
        <item x="171"/>
        <item x="337"/>
        <item x="154"/>
        <item x="527"/>
        <item x="526"/>
        <item x="608"/>
        <item x="32"/>
        <item x="548"/>
        <item x="140"/>
        <item x="187"/>
        <item x="442"/>
        <item x="464"/>
        <item x="630"/>
        <item x="228"/>
        <item x="423"/>
        <item x="490"/>
        <item x="334"/>
        <item x="230"/>
        <item x="427"/>
        <item x="367"/>
        <item x="192"/>
        <item x="170"/>
        <item x="118"/>
        <item x="290"/>
        <item x="522"/>
        <item x="641"/>
        <item x="27"/>
        <item x="399"/>
        <item x="532"/>
        <item x="223"/>
        <item x="299"/>
        <item x="217"/>
        <item x="64"/>
        <item x="1"/>
        <item x="135"/>
        <item x="270"/>
        <item x="138"/>
        <item x="382"/>
        <item x="195"/>
        <item x="316"/>
        <item x="428"/>
        <item x="451"/>
        <item x="361"/>
        <item x="614"/>
        <item x="2"/>
        <item x="307"/>
        <item x="25"/>
        <item x="65"/>
        <item x="160"/>
        <item x="168"/>
        <item x="518"/>
        <item x="66"/>
        <item x="436"/>
        <item x="121"/>
        <item x="660"/>
        <item x="344"/>
        <item x="629"/>
        <item x="3"/>
        <item x="391"/>
        <item x="607"/>
        <item x="339"/>
        <item x="363"/>
        <item x="370"/>
        <item x="352"/>
        <item x="351"/>
        <item x="555"/>
        <item x="282"/>
        <item x="232"/>
        <item x="264"/>
        <item x="398"/>
        <item x="114"/>
        <item x="342"/>
        <item x="328"/>
        <item x="412"/>
        <item x="553"/>
        <item x="301"/>
        <item x="648"/>
        <item x="508"/>
        <item x="19"/>
        <item x="323"/>
        <item x="347"/>
        <item x="441"/>
        <item x="616"/>
        <item x="646"/>
        <item x="24"/>
        <item x="329"/>
        <item x="579"/>
        <item x="479"/>
        <item x="185"/>
        <item x="107"/>
        <item x="283"/>
        <item x="35"/>
        <item x="151"/>
        <item x="390"/>
        <item x="101"/>
        <item x="220"/>
        <item x="501"/>
        <item x="172"/>
        <item x="91"/>
        <item x="465"/>
        <item x="662"/>
        <item x="511"/>
        <item x="197"/>
        <item x="248"/>
        <item x="493"/>
        <item x="343"/>
        <item x="453"/>
        <item x="433"/>
        <item x="653"/>
        <item x="113"/>
        <item x="584"/>
        <item x="159"/>
        <item x="188"/>
        <item x="143"/>
        <item x="618"/>
        <item x="634"/>
        <item x="58"/>
        <item x="612"/>
        <item x="219"/>
        <item x="31"/>
        <item x="443"/>
        <item x="461"/>
        <item x="357"/>
        <item x="250"/>
        <item x="462"/>
        <item x="589"/>
        <item x="380"/>
        <item x="50"/>
        <item x="678"/>
        <item x="580"/>
        <item x="213"/>
        <item x="514"/>
        <item x="79"/>
        <item x="491"/>
        <item x="506"/>
        <item x="131"/>
        <item x="408"/>
        <item x="558"/>
        <item x="322"/>
        <item x="683"/>
        <item x="575"/>
        <item x="204"/>
        <item x="549"/>
        <item x="543"/>
        <item x="651"/>
        <item x="613"/>
        <item x="291"/>
        <item x="487"/>
        <item x="369"/>
        <item x="4"/>
        <item x="643"/>
        <item x="424"/>
        <item x="263"/>
        <item x="572"/>
        <item x="591"/>
        <item x="422"/>
        <item x="37"/>
        <item x="340"/>
        <item x="668"/>
        <item x="537"/>
        <item x="201"/>
        <item x="18"/>
        <item x="658"/>
        <item x="173"/>
        <item x="403"/>
        <item x="538"/>
        <item x="587"/>
        <item x="396"/>
        <item x="49"/>
        <item x="56"/>
        <item x="617"/>
        <item x="503"/>
        <item x="300"/>
        <item x="70"/>
        <item x="546"/>
        <item x="649"/>
        <item x="509"/>
        <item x="122"/>
        <item x="472"/>
        <item x="675"/>
        <item x="150"/>
        <item x="167"/>
        <item x="517"/>
        <item x="182"/>
        <item x="639"/>
        <item x="536"/>
        <item x="11"/>
        <item x="177"/>
        <item x="421"/>
        <item x="670"/>
        <item x="57"/>
        <item x="435"/>
        <item x="409"/>
        <item x="664"/>
        <item x="624"/>
        <item x="222"/>
        <item x="127"/>
        <item x="483"/>
        <item x="233"/>
        <item x="480"/>
        <item x="226"/>
        <item x="686"/>
        <item x="305"/>
        <item x="407"/>
        <item x="308"/>
        <item x="504"/>
        <item x="125"/>
        <item x="245"/>
        <item x="163"/>
        <item x="5"/>
        <item x="211"/>
        <item x="666"/>
        <item x="565"/>
        <item x="311"/>
        <item x="374"/>
        <item x="652"/>
        <item x="623"/>
        <item x="595"/>
        <item x="567"/>
        <item x="531"/>
        <item x="417"/>
        <item x="366"/>
        <item x="12"/>
        <item x="152"/>
        <item x="667"/>
        <item x="410"/>
        <item x="109"/>
        <item x="235"/>
        <item x="566"/>
        <item x="99"/>
        <item x="261"/>
        <item x="349"/>
        <item x="312"/>
        <item x="293"/>
        <item x="9"/>
        <item x="615"/>
        <item x="33"/>
        <item x="92"/>
        <item x="590"/>
        <item x="523"/>
        <item x="611"/>
        <item x="272"/>
        <item x="551"/>
        <item x="119"/>
        <item x="48"/>
        <item x="601"/>
        <item x="384"/>
        <item x="654"/>
        <item x="586"/>
        <item x="23"/>
        <item x="148"/>
        <item x="218"/>
        <item x="275"/>
        <item x="681"/>
        <item x="41"/>
        <item x="42"/>
      </items>
    </pivotField>
    <pivotField compact="0" outline="0" showAll="0" defaultSubtotal="0"/>
    <pivotField compact="0" outline="0" showAll="0" defaultSubtotal="0"/>
    <pivotField compact="0" outline="0" showAll="0" defaultSubtotal="0"/>
    <pivotField axis="axisRow" compact="0" outline="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sortType="ascending" defaultSubtotal="0">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numFmtId="170" outline="0" showAll="0" defaultSubtotal="0">
      <items count="4">
        <item x="3"/>
        <item x="1"/>
        <item x="0"/>
        <item x="2"/>
      </items>
    </pivotField>
    <pivotField compact="0" numFmtId="171" outline="0" showAll="0" defaultSubtotal="0"/>
    <pivotField dataField="1" compact="0" numFmtId="171" outline="0" showAll="0" defaultSubtotal="0"/>
    <pivotField compact="0" outline="0" showAll="0" defaultSubtotal="0"/>
    <pivotField compact="0" outline="0" showAll="0" defaultSubtotal="0">
      <items count="3">
        <item x="2"/>
        <item x="1"/>
        <item x="0"/>
      </items>
    </pivotField>
    <pivotField compact="0" outline="0" subtotalTop="0" showAll="0" defaultSubtotal="0">
      <items count="2">
        <item x="1"/>
        <item x="0"/>
      </items>
    </pivotField>
    <pivotField compact="0" outline="0" showAll="0" defaultSubtotal="0">
      <items count="14">
        <item x="0"/>
        <item x="1"/>
        <item x="2"/>
        <item x="3"/>
        <item x="4"/>
        <item x="5"/>
        <item x="6"/>
        <item x="7"/>
        <item x="8"/>
        <item x="9"/>
        <item x="10"/>
        <item x="11"/>
        <item x="12"/>
        <item x="13"/>
      </items>
    </pivotField>
    <pivotField compact="0" outline="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0" baseItem="0" numFmtId="171"/>
  </dataFields>
  <chartFormats count="4">
    <chartFormat chart="26" format="9"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 chart="34" format="9"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3E32369B-F041-477E-A64A-6A2730DFB39D}" sourceName="Size">
  <pivotTables>
    <pivotTable tabId="18" name="TotalSales"/>
    <pivotTable tabId="19" name="TotalSales"/>
    <pivotTable tabId="20" name="TotalSales"/>
  </pivotTables>
  <data>
    <tabular pivotCacheId="173025230">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FD834557-64C5-4B83-956C-4258144A0F9C}" sourceName="Roast Type Name">
  <pivotTables>
    <pivotTable tabId="18" name="TotalSales"/>
    <pivotTable tabId="19" name="TotalSales"/>
    <pivotTable tabId="20" name="TotalSales"/>
  </pivotTables>
  <data>
    <tabular pivotCacheId="173025230">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C045FF6C-5410-477B-8B5B-9ADE5762D7D3}" sourceName="Loyalty Card">
  <pivotTables>
    <pivotTable tabId="18" name="TotalSales"/>
    <pivotTable tabId="19" name="TotalSales"/>
    <pivotTable tabId="20" name="TotalSales"/>
  </pivotTables>
  <data>
    <tabular pivotCacheId="173025230">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051B46E2-1E38-42A7-8B6A-F312EA80DF48}" cache="Slicer_Size" caption="Size" columnCount="2" style="Purple Slicer" rowHeight="241300"/>
  <slicer name="Roast Type Name" xr10:uid="{E85D695A-6679-42E4-A84C-411B03E1E7A4}" cache="Slicer_Roast_Type_Name" caption="Roast Type Name" columnCount="3" style="Purple Slicer" rowHeight="241300"/>
  <slicer name="Loyalty Card" xr10:uid="{4601A483-C79E-4A64-ADB9-C0C0B3308254}" cache="Slicer_Loyalty_Card" caption="Loyalty Card" style="Purple Slic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99911C-95D1-4776-A657-D5263B3AE222}" name="Orders" displayName="Orders" ref="A1:P1001" totalsRowShown="0" headerRowDxfId="6">
  <autoFilter ref="A1:P1001" xr:uid="{5599911C-95D1-4776-A657-D5263B3AE222}"/>
  <tableColumns count="16">
    <tableColumn id="1" xr3:uid="{D1E9EE02-14ED-4130-9739-6991DCDFA612}" name="Order ID" dataDxfId="15"/>
    <tableColumn id="2" xr3:uid="{5772D1B7-C15D-4CAA-935F-9B2BB709E4B0}" name="Order Date" dataDxfId="14"/>
    <tableColumn id="3" xr3:uid="{C9CBD903-E0AE-4D3F-A172-44BF96AD1DDF}" name="Customer ID" dataDxfId="13"/>
    <tableColumn id="4" xr3:uid="{BD8340BB-4F8D-4FA5-B739-8B30F0873404}" name="Product ID"/>
    <tableColumn id="5" xr3:uid="{FA70DCCD-DF9D-4ED3-8832-278907F7EE29}" name="Quantity" dataDxfId="12"/>
    <tableColumn id="6" xr3:uid="{F7EC74DA-0729-442A-853B-E6892DAAA5DE}" name="Customer Name" dataDxfId="11">
      <calculatedColumnFormula>_xlfn.XLOOKUP(C2,customers!$A$1:$A$1001,customers!$B$1:$B$1001,,0)</calculatedColumnFormula>
    </tableColumn>
    <tableColumn id="7" xr3:uid="{733EAE37-5775-489C-ADF7-1950C775AB1D}" name="Email" dataDxfId="10">
      <calculatedColumnFormula>IF(_xlfn.XLOOKUP(C2,customers!$A$1:$A$1001,customers!$C$1:$C$1001,,0)=0,"",_xlfn.XLOOKUP(C2,customers!$A$1:$A$1001,customers!$C$1:$C$1001,,0))</calculatedColumnFormula>
    </tableColumn>
    <tableColumn id="8" xr3:uid="{CEEB6798-72A9-45D4-A80E-FAF8DFD0529C}" name="Country" dataDxfId="9">
      <calculatedColumnFormula>_xlfn.XLOOKUP(C2,customers!$A$1:$A$1001,customers!$G$1:$G$1001,,0)</calculatedColumnFormula>
    </tableColumn>
    <tableColumn id="9" xr3:uid="{1E52D742-FCE9-4D69-B06D-9C7C91619A4B}" name="Coffee Type">
      <calculatedColumnFormula>INDEX(products!$A$1:$G$49,MATCH(orders!$D2,products!$A$1:$A$49,0),MATCH(orders!I$1,products!$A$1:$G$1,0))</calculatedColumnFormula>
    </tableColumn>
    <tableColumn id="10" xr3:uid="{059D91AD-52A4-4E14-81C5-E4F5FAFCCB2C}" name="Roast Type">
      <calculatedColumnFormula>INDEX(products!$A$1:$G$49,MATCH(orders!$D2,products!$A$1:$A$49,0),MATCH(orders!J$1,products!$A$1:$G$1,0))</calculatedColumnFormula>
    </tableColumn>
    <tableColumn id="11" xr3:uid="{8C1122E1-D411-4CE3-930A-63D84B680878}" name="Size" dataDxfId="0">
      <calculatedColumnFormula>INDEX(products!$A$1:$G$49,MATCH(orders!$D2,products!$A$1:$A$49,0),MATCH(orders!K$1,products!$A$1:$G$1,0))</calculatedColumnFormula>
    </tableColumn>
    <tableColumn id="12" xr3:uid="{56BF4AED-BD3A-423E-8B9D-B7760BC35070}" name="Unit Price" dataDxfId="8">
      <calculatedColumnFormula>INDEX(products!$A$1:$G$49,MATCH(orders!$D2,products!$A$1:$A$49,0),MATCH(orders!L$1,products!$A$1:$G$1,0))</calculatedColumnFormula>
    </tableColumn>
    <tableColumn id="13" xr3:uid="{227652C8-C996-40F6-BA5D-ADCFB914628E}" name="Sales" dataDxfId="7">
      <calculatedColumnFormula>L2*E2</calculatedColumnFormula>
    </tableColumn>
    <tableColumn id="14" xr3:uid="{4F710A99-D2F9-4DE8-A87D-34417539AC40}" name="Coffee Type Name">
      <calculatedColumnFormula array="1">_xlfn.IFS(I2="Rob","Robusta",I2="Exc","Excelsa",I2="Ara","Arabica",I2="Lib","Liberica")</calculatedColumnFormula>
    </tableColumn>
    <tableColumn id="15" xr3:uid="{472FA027-B09A-4918-B539-3401A2BED64D}" name="Roast Type Name">
      <calculatedColumnFormula array="1">_xlfn.IFS(J2="M","Medium",J2="L","Large",J2="D","Dark")</calculatedColumnFormula>
    </tableColumn>
    <tableColumn id="16" xr3:uid="{C7C0A3FE-FE97-484A-89A2-5BE8C9CB1C13}" name="Loyalty Card" dataDxfId="3">
      <calculatedColumnFormula>_xlfn.XLOOKUP(Orders[[#This Row],[Customer ID]],customers!$A$1:$A$1001,customers!$I$1:$I$1001,,0)</calculatedColumnFormula>
    </tableColumn>
  </tableColumns>
  <tableStyleInfo name="TableStyleLight13"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CEDF0AC2-D2A4-4E5F-8B3C-2472EDC6BCA1}" sourceName="Order Date">
  <pivotTables>
    <pivotTable tabId="18" name="TotalSales"/>
    <pivotTable tabId="19" name="TotalSales"/>
    <pivotTable tabId="20" name="TotalSales"/>
  </pivotTables>
  <state minimalRefreshVersion="6" lastRefreshVersion="6" pivotCacheId="173025230"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44BDCE07-DEDC-4BCA-A969-02BAA3E1C29C}" cache="NativeTimeline_Order_Date" caption="Order Date" level="2" selectionLevel="2" scrollPosition="2019-01-01T00:00:00" style="Purple Timeline Style"/>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3A6957-4F71-4D44-9E8C-2FCAEC080A13}">
  <dimension ref="AC1:AC17"/>
  <sheetViews>
    <sheetView showGridLines="0" showRowColHeaders="0" tabSelected="1" zoomScaleNormal="100" workbookViewId="0">
      <selection activeCell="AC20" sqref="AC20"/>
    </sheetView>
  </sheetViews>
  <sheetFormatPr defaultRowHeight="14.5" x14ac:dyDescent="0.35"/>
  <cols>
    <col min="1" max="1" width="1.6328125" customWidth="1"/>
    <col min="16" max="16" width="1.6328125" customWidth="1"/>
    <col min="19" max="19" width="3.6328125" customWidth="1"/>
    <col min="23" max="23" width="2.6328125" customWidth="1"/>
  </cols>
  <sheetData>
    <row r="1" customFormat="1" ht="5" customHeight="1" x14ac:dyDescent="0.35"/>
    <row r="6" ht="5" customHeight="1" x14ac:dyDescent="0.35"/>
    <row r="17" spans="29:29" ht="5" customHeight="1" x14ac:dyDescent="0.35">
      <c r="AC17" t="s">
        <v>6221</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288C6-0BC9-405E-9809-2C3CA7A2C97F}">
  <dimension ref="A3:F48"/>
  <sheetViews>
    <sheetView topLeftCell="D1" workbookViewId="0">
      <selection activeCell="AB18" sqref="AB18"/>
    </sheetView>
  </sheetViews>
  <sheetFormatPr defaultRowHeight="14.5" x14ac:dyDescent="0.35"/>
  <cols>
    <col min="1" max="1" width="12.36328125" bestFit="1" customWidth="1"/>
    <col min="2" max="2" width="20.90625" bestFit="1" customWidth="1"/>
    <col min="3" max="3" width="18.453125" bestFit="1" customWidth="1"/>
    <col min="4" max="4" width="6.81640625" bestFit="1" customWidth="1"/>
    <col min="5" max="5" width="7.1796875" bestFit="1" customWidth="1"/>
    <col min="6" max="6" width="7.7265625" bestFit="1" customWidth="1"/>
  </cols>
  <sheetData>
    <row r="3" spans="1:6" x14ac:dyDescent="0.35">
      <c r="A3" s="5" t="s">
        <v>6220</v>
      </c>
      <c r="C3" s="5" t="s">
        <v>6197</v>
      </c>
    </row>
    <row r="4" spans="1:6" x14ac:dyDescent="0.35">
      <c r="A4" s="5" t="s">
        <v>6214</v>
      </c>
      <c r="B4" s="5" t="s">
        <v>6215</v>
      </c>
      <c r="C4" t="s">
        <v>6216</v>
      </c>
      <c r="D4" t="s">
        <v>6217</v>
      </c>
      <c r="E4" t="s">
        <v>6218</v>
      </c>
      <c r="F4" t="s">
        <v>6219</v>
      </c>
    </row>
    <row r="5" spans="1:6" x14ac:dyDescent="0.35">
      <c r="A5" t="s">
        <v>6198</v>
      </c>
      <c r="B5" t="s">
        <v>6202</v>
      </c>
      <c r="C5" s="6">
        <v>186.85499999999999</v>
      </c>
      <c r="D5" s="6">
        <v>305.97000000000003</v>
      </c>
      <c r="E5" s="6">
        <v>213.15999999999997</v>
      </c>
      <c r="F5" s="6">
        <v>123</v>
      </c>
    </row>
    <row r="6" spans="1:6" x14ac:dyDescent="0.35">
      <c r="B6" t="s">
        <v>6203</v>
      </c>
      <c r="C6" s="6">
        <v>251.96499999999997</v>
      </c>
      <c r="D6" s="6">
        <v>129.46</v>
      </c>
      <c r="E6" s="6">
        <v>434.03999999999996</v>
      </c>
      <c r="F6" s="6">
        <v>171.93999999999997</v>
      </c>
    </row>
    <row r="7" spans="1:6" x14ac:dyDescent="0.35">
      <c r="B7" t="s">
        <v>6204</v>
      </c>
      <c r="C7" s="6">
        <v>224.94499999999999</v>
      </c>
      <c r="D7" s="6">
        <v>349.12</v>
      </c>
      <c r="E7" s="6">
        <v>321.04000000000002</v>
      </c>
      <c r="F7" s="6">
        <v>126.035</v>
      </c>
    </row>
    <row r="8" spans="1:6" x14ac:dyDescent="0.35">
      <c r="B8" t="s">
        <v>6205</v>
      </c>
      <c r="C8" s="6">
        <v>307.12</v>
      </c>
      <c r="D8" s="6">
        <v>681.07499999999993</v>
      </c>
      <c r="E8" s="6">
        <v>533.70499999999993</v>
      </c>
      <c r="F8" s="6">
        <v>158.85</v>
      </c>
    </row>
    <row r="9" spans="1:6" x14ac:dyDescent="0.35">
      <c r="B9" t="s">
        <v>6206</v>
      </c>
      <c r="C9" s="6">
        <v>53.664999999999992</v>
      </c>
      <c r="D9" s="6">
        <v>83.025000000000006</v>
      </c>
      <c r="E9" s="6">
        <v>193.83499999999998</v>
      </c>
      <c r="F9" s="6">
        <v>68.039999999999992</v>
      </c>
    </row>
    <row r="10" spans="1:6" x14ac:dyDescent="0.35">
      <c r="B10" t="s">
        <v>6207</v>
      </c>
      <c r="C10" s="6">
        <v>163.01999999999998</v>
      </c>
      <c r="D10" s="6">
        <v>678.3599999999999</v>
      </c>
      <c r="E10" s="6">
        <v>171.04500000000002</v>
      </c>
      <c r="F10" s="6">
        <v>372.255</v>
      </c>
    </row>
    <row r="11" spans="1:6" x14ac:dyDescent="0.35">
      <c r="B11" t="s">
        <v>6208</v>
      </c>
      <c r="C11" s="6">
        <v>345.02</v>
      </c>
      <c r="D11" s="6">
        <v>273.86999999999995</v>
      </c>
      <c r="E11" s="6">
        <v>184.12999999999997</v>
      </c>
      <c r="F11" s="6">
        <v>201.11499999999998</v>
      </c>
    </row>
    <row r="12" spans="1:6" x14ac:dyDescent="0.35">
      <c r="B12" t="s">
        <v>6209</v>
      </c>
      <c r="C12" s="6">
        <v>334.89</v>
      </c>
      <c r="D12" s="6">
        <v>70.95</v>
      </c>
      <c r="E12" s="6">
        <v>134.23000000000002</v>
      </c>
      <c r="F12" s="6">
        <v>166.27499999999998</v>
      </c>
    </row>
    <row r="13" spans="1:6" x14ac:dyDescent="0.35">
      <c r="B13" t="s">
        <v>6210</v>
      </c>
      <c r="C13" s="6">
        <v>178.70999999999998</v>
      </c>
      <c r="D13" s="6">
        <v>166.1</v>
      </c>
      <c r="E13" s="6">
        <v>439.30999999999995</v>
      </c>
      <c r="F13" s="6">
        <v>492.9</v>
      </c>
    </row>
    <row r="14" spans="1:6" x14ac:dyDescent="0.35">
      <c r="B14" t="s">
        <v>6211</v>
      </c>
      <c r="C14" s="6">
        <v>301.98500000000001</v>
      </c>
      <c r="D14" s="6">
        <v>153.76499999999999</v>
      </c>
      <c r="E14" s="6">
        <v>215.55499999999998</v>
      </c>
      <c r="F14" s="6">
        <v>213.66499999999999</v>
      </c>
    </row>
    <row r="15" spans="1:6" x14ac:dyDescent="0.35">
      <c r="B15" t="s">
        <v>6212</v>
      </c>
      <c r="C15" s="6">
        <v>312.83499999999998</v>
      </c>
      <c r="D15" s="6">
        <v>63.249999999999993</v>
      </c>
      <c r="E15" s="6">
        <v>350.89500000000004</v>
      </c>
      <c r="F15" s="6">
        <v>96.405000000000001</v>
      </c>
    </row>
    <row r="16" spans="1:6" x14ac:dyDescent="0.35">
      <c r="B16" t="s">
        <v>6213</v>
      </c>
      <c r="C16" s="6">
        <v>265.62</v>
      </c>
      <c r="D16" s="6">
        <v>526.51499999999987</v>
      </c>
      <c r="E16" s="6">
        <v>187.06</v>
      </c>
      <c r="F16" s="6">
        <v>210.58999999999997</v>
      </c>
    </row>
    <row r="17" spans="1:6" x14ac:dyDescent="0.35">
      <c r="A17" t="s">
        <v>6199</v>
      </c>
      <c r="B17" t="s">
        <v>6202</v>
      </c>
      <c r="C17" s="6">
        <v>47.25</v>
      </c>
      <c r="D17" s="6">
        <v>65.805000000000007</v>
      </c>
      <c r="E17" s="6">
        <v>274.67500000000001</v>
      </c>
      <c r="F17" s="6">
        <v>179.22</v>
      </c>
    </row>
    <row r="18" spans="1:6" x14ac:dyDescent="0.35">
      <c r="B18" t="s">
        <v>6203</v>
      </c>
      <c r="C18" s="6">
        <v>745.44999999999993</v>
      </c>
      <c r="D18" s="6">
        <v>428.88499999999999</v>
      </c>
      <c r="E18" s="6">
        <v>194.17499999999998</v>
      </c>
      <c r="F18" s="6">
        <v>429.82999999999993</v>
      </c>
    </row>
    <row r="19" spans="1:6" x14ac:dyDescent="0.35">
      <c r="B19" t="s">
        <v>6204</v>
      </c>
      <c r="C19" s="6">
        <v>130.47</v>
      </c>
      <c r="D19" s="6">
        <v>271.48500000000001</v>
      </c>
      <c r="E19" s="6">
        <v>281.20499999999998</v>
      </c>
      <c r="F19" s="6">
        <v>231.63000000000002</v>
      </c>
    </row>
    <row r="20" spans="1:6" x14ac:dyDescent="0.35">
      <c r="B20" t="s">
        <v>6205</v>
      </c>
      <c r="C20" s="6">
        <v>27</v>
      </c>
      <c r="D20" s="6">
        <v>347.26</v>
      </c>
      <c r="E20" s="6">
        <v>147.51</v>
      </c>
      <c r="F20" s="6">
        <v>240.04</v>
      </c>
    </row>
    <row r="21" spans="1:6" x14ac:dyDescent="0.35">
      <c r="B21" t="s">
        <v>6206</v>
      </c>
      <c r="C21" s="6">
        <v>255.11499999999995</v>
      </c>
      <c r="D21" s="6">
        <v>541.73</v>
      </c>
      <c r="E21" s="6">
        <v>83.43</v>
      </c>
      <c r="F21" s="6">
        <v>59.079999999999991</v>
      </c>
    </row>
    <row r="22" spans="1:6" x14ac:dyDescent="0.35">
      <c r="B22" t="s">
        <v>6207</v>
      </c>
      <c r="C22" s="6">
        <v>584.78999999999985</v>
      </c>
      <c r="D22" s="6">
        <v>357.42999999999995</v>
      </c>
      <c r="E22" s="6">
        <v>355.34</v>
      </c>
      <c r="F22" s="6">
        <v>140.88</v>
      </c>
    </row>
    <row r="23" spans="1:6" x14ac:dyDescent="0.35">
      <c r="B23" t="s">
        <v>6208</v>
      </c>
      <c r="C23" s="6">
        <v>430.62</v>
      </c>
      <c r="D23" s="6">
        <v>227.42500000000001</v>
      </c>
      <c r="E23" s="6">
        <v>236.315</v>
      </c>
      <c r="F23" s="6">
        <v>414.58499999999992</v>
      </c>
    </row>
    <row r="24" spans="1:6" x14ac:dyDescent="0.35">
      <c r="B24" t="s">
        <v>6209</v>
      </c>
      <c r="C24" s="6">
        <v>22.5</v>
      </c>
      <c r="D24" s="6">
        <v>77.72</v>
      </c>
      <c r="E24" s="6">
        <v>60.5</v>
      </c>
      <c r="F24" s="6">
        <v>139.67999999999998</v>
      </c>
    </row>
    <row r="25" spans="1:6" x14ac:dyDescent="0.35">
      <c r="B25" t="s">
        <v>6210</v>
      </c>
      <c r="C25" s="6">
        <v>126.14999999999999</v>
      </c>
      <c r="D25" s="6">
        <v>195.11</v>
      </c>
      <c r="E25" s="6">
        <v>89.13</v>
      </c>
      <c r="F25" s="6">
        <v>302.65999999999997</v>
      </c>
    </row>
    <row r="26" spans="1:6" x14ac:dyDescent="0.35">
      <c r="B26" t="s">
        <v>6211</v>
      </c>
      <c r="C26" s="6">
        <v>376.03</v>
      </c>
      <c r="D26" s="6">
        <v>523.24</v>
      </c>
      <c r="E26" s="6">
        <v>440.96499999999997</v>
      </c>
      <c r="F26" s="6">
        <v>174.46999999999997</v>
      </c>
    </row>
    <row r="27" spans="1:6" x14ac:dyDescent="0.35">
      <c r="B27" t="s">
        <v>6212</v>
      </c>
      <c r="C27" s="6">
        <v>515.17999999999995</v>
      </c>
      <c r="D27" s="6">
        <v>142.56</v>
      </c>
      <c r="E27" s="6">
        <v>347.03999999999996</v>
      </c>
      <c r="F27" s="6">
        <v>104.08499999999999</v>
      </c>
    </row>
    <row r="28" spans="1:6" x14ac:dyDescent="0.35">
      <c r="B28" t="s">
        <v>6213</v>
      </c>
      <c r="C28" s="6">
        <v>95.859999999999985</v>
      </c>
      <c r="D28" s="6">
        <v>484.76</v>
      </c>
      <c r="E28" s="6">
        <v>94.17</v>
      </c>
      <c r="F28" s="6">
        <v>77.10499999999999</v>
      </c>
    </row>
    <row r="29" spans="1:6" x14ac:dyDescent="0.35">
      <c r="A29" t="s">
        <v>6200</v>
      </c>
      <c r="B29" t="s">
        <v>6202</v>
      </c>
      <c r="C29" s="6">
        <v>258.34500000000003</v>
      </c>
      <c r="D29" s="6">
        <v>139.625</v>
      </c>
      <c r="E29" s="6">
        <v>279.52000000000004</v>
      </c>
      <c r="F29" s="6">
        <v>160.19499999999999</v>
      </c>
    </row>
    <row r="30" spans="1:6" x14ac:dyDescent="0.35">
      <c r="B30" t="s">
        <v>6203</v>
      </c>
      <c r="C30" s="6">
        <v>342.2</v>
      </c>
      <c r="D30" s="6">
        <v>284.24999999999994</v>
      </c>
      <c r="E30" s="6">
        <v>251.83</v>
      </c>
      <c r="F30" s="6">
        <v>80.550000000000011</v>
      </c>
    </row>
    <row r="31" spans="1:6" x14ac:dyDescent="0.35">
      <c r="B31" t="s">
        <v>6204</v>
      </c>
      <c r="C31" s="6">
        <v>418.30499999999989</v>
      </c>
      <c r="D31" s="6">
        <v>468.125</v>
      </c>
      <c r="E31" s="6">
        <v>405.05500000000006</v>
      </c>
      <c r="F31" s="6">
        <v>253.15499999999997</v>
      </c>
    </row>
    <row r="32" spans="1:6" x14ac:dyDescent="0.35">
      <c r="B32" t="s">
        <v>6205</v>
      </c>
      <c r="C32" s="6">
        <v>102.32999999999998</v>
      </c>
      <c r="D32" s="6">
        <v>242.14000000000001</v>
      </c>
      <c r="E32" s="6">
        <v>554.875</v>
      </c>
      <c r="F32" s="6">
        <v>106.23999999999998</v>
      </c>
    </row>
    <row r="33" spans="1:6" x14ac:dyDescent="0.35">
      <c r="B33" t="s">
        <v>6206</v>
      </c>
      <c r="C33" s="6">
        <v>234.71999999999997</v>
      </c>
      <c r="D33" s="6">
        <v>133.08000000000001</v>
      </c>
      <c r="E33" s="6">
        <v>267.2</v>
      </c>
      <c r="F33" s="6">
        <v>272.68999999999994</v>
      </c>
    </row>
    <row r="34" spans="1:6" x14ac:dyDescent="0.35">
      <c r="B34" t="s">
        <v>6207</v>
      </c>
      <c r="C34" s="6">
        <v>430.39</v>
      </c>
      <c r="D34" s="6">
        <v>136.20500000000001</v>
      </c>
      <c r="E34" s="6">
        <v>209.6</v>
      </c>
      <c r="F34" s="6">
        <v>88.334999999999994</v>
      </c>
    </row>
    <row r="35" spans="1:6" x14ac:dyDescent="0.35">
      <c r="B35" t="s">
        <v>6208</v>
      </c>
      <c r="C35" s="6">
        <v>109.005</v>
      </c>
      <c r="D35" s="6">
        <v>393.57499999999999</v>
      </c>
      <c r="E35" s="6">
        <v>61.034999999999997</v>
      </c>
      <c r="F35" s="6">
        <v>199.48999999999998</v>
      </c>
    </row>
    <row r="36" spans="1:6" x14ac:dyDescent="0.35">
      <c r="B36" t="s">
        <v>6209</v>
      </c>
      <c r="C36" s="6">
        <v>287.52499999999998</v>
      </c>
      <c r="D36" s="6">
        <v>288.67</v>
      </c>
      <c r="E36" s="6">
        <v>125.58</v>
      </c>
      <c r="F36" s="6">
        <v>374.13499999999999</v>
      </c>
    </row>
    <row r="37" spans="1:6" x14ac:dyDescent="0.35">
      <c r="B37" t="s">
        <v>6210</v>
      </c>
      <c r="C37" s="6">
        <v>840.92999999999984</v>
      </c>
      <c r="D37" s="6">
        <v>409.875</v>
      </c>
      <c r="E37" s="6">
        <v>171.32999999999998</v>
      </c>
      <c r="F37" s="6">
        <v>221.43999999999997</v>
      </c>
    </row>
    <row r="38" spans="1:6" x14ac:dyDescent="0.35">
      <c r="B38" t="s">
        <v>6211</v>
      </c>
      <c r="C38" s="6">
        <v>299.07</v>
      </c>
      <c r="D38" s="6">
        <v>260.32499999999999</v>
      </c>
      <c r="E38" s="6">
        <v>584.64</v>
      </c>
      <c r="F38" s="6">
        <v>256.36500000000001</v>
      </c>
    </row>
    <row r="39" spans="1:6" x14ac:dyDescent="0.35">
      <c r="B39" t="s">
        <v>6212</v>
      </c>
      <c r="C39" s="6">
        <v>323.32499999999999</v>
      </c>
      <c r="D39" s="6">
        <v>565.57000000000005</v>
      </c>
      <c r="E39" s="6">
        <v>537.80999999999995</v>
      </c>
      <c r="F39" s="6">
        <v>189.47499999999999</v>
      </c>
    </row>
    <row r="40" spans="1:6" x14ac:dyDescent="0.35">
      <c r="B40" t="s">
        <v>6213</v>
      </c>
      <c r="C40" s="6">
        <v>399.48499999999996</v>
      </c>
      <c r="D40" s="6">
        <v>148.19999999999999</v>
      </c>
      <c r="E40" s="6">
        <v>388.21999999999997</v>
      </c>
      <c r="F40" s="6">
        <v>212.07499999999999</v>
      </c>
    </row>
    <row r="41" spans="1:6" x14ac:dyDescent="0.35">
      <c r="A41" t="s">
        <v>6201</v>
      </c>
      <c r="B41" t="s">
        <v>6202</v>
      </c>
      <c r="C41" s="6">
        <v>112.69499999999999</v>
      </c>
      <c r="D41" s="6">
        <v>166.32</v>
      </c>
      <c r="E41" s="6">
        <v>843.71499999999992</v>
      </c>
      <c r="F41" s="6">
        <v>146.685</v>
      </c>
    </row>
    <row r="42" spans="1:6" x14ac:dyDescent="0.35">
      <c r="B42" t="s">
        <v>6203</v>
      </c>
      <c r="C42" s="6">
        <v>114.87999999999998</v>
      </c>
      <c r="D42" s="6">
        <v>133.815</v>
      </c>
      <c r="E42" s="6">
        <v>91.175000000000011</v>
      </c>
      <c r="F42" s="6">
        <v>53.759999999999991</v>
      </c>
    </row>
    <row r="43" spans="1:6" x14ac:dyDescent="0.35">
      <c r="B43" t="s">
        <v>6204</v>
      </c>
      <c r="C43" s="6">
        <v>277.76</v>
      </c>
      <c r="D43" s="6">
        <v>175.41</v>
      </c>
      <c r="E43" s="6">
        <v>462.50999999999993</v>
      </c>
      <c r="F43" s="6">
        <v>399.52499999999998</v>
      </c>
    </row>
    <row r="44" spans="1:6" x14ac:dyDescent="0.35">
      <c r="B44" t="s">
        <v>6205</v>
      </c>
      <c r="C44" s="6">
        <v>197.89499999999998</v>
      </c>
      <c r="D44" s="6">
        <v>289.755</v>
      </c>
      <c r="E44" s="6">
        <v>88.545000000000002</v>
      </c>
      <c r="F44" s="6">
        <v>200.25499999999997</v>
      </c>
    </row>
    <row r="45" spans="1:6" x14ac:dyDescent="0.35">
      <c r="B45" t="s">
        <v>6206</v>
      </c>
      <c r="C45" s="6">
        <v>193.11499999999998</v>
      </c>
      <c r="D45" s="6">
        <v>212.49499999999998</v>
      </c>
      <c r="E45" s="6">
        <v>292.29000000000002</v>
      </c>
      <c r="F45" s="6">
        <v>304.46999999999997</v>
      </c>
    </row>
    <row r="46" spans="1:6" x14ac:dyDescent="0.35">
      <c r="B46" t="s">
        <v>6207</v>
      </c>
      <c r="C46" s="6">
        <v>179.79</v>
      </c>
      <c r="D46" s="6">
        <v>426.2</v>
      </c>
      <c r="E46" s="6">
        <v>170.08999999999997</v>
      </c>
      <c r="F46" s="6">
        <v>379.31</v>
      </c>
    </row>
    <row r="47" spans="1:6" x14ac:dyDescent="0.35">
      <c r="B47" t="s">
        <v>6208</v>
      </c>
      <c r="C47" s="6">
        <v>247.28999999999996</v>
      </c>
      <c r="D47" s="6">
        <v>246.685</v>
      </c>
      <c r="E47" s="6">
        <v>271.05499999999995</v>
      </c>
      <c r="F47" s="6">
        <v>141.69999999999999</v>
      </c>
    </row>
    <row r="48" spans="1:6" x14ac:dyDescent="0.35">
      <c r="B48" t="s">
        <v>6209</v>
      </c>
      <c r="C48" s="6">
        <v>116.39499999999998</v>
      </c>
      <c r="D48" s="6">
        <v>41.25</v>
      </c>
      <c r="E48" s="6">
        <v>15.54</v>
      </c>
      <c r="F48" s="6">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3D0BC-3A85-4575-999F-CD4821A7619E}">
  <dimension ref="A3:B6"/>
  <sheetViews>
    <sheetView workbookViewId="0">
      <selection activeCell="D24" sqref="D24"/>
    </sheetView>
  </sheetViews>
  <sheetFormatPr defaultRowHeight="14.5" x14ac:dyDescent="0.35"/>
  <cols>
    <col min="1" max="1" width="14.1796875" bestFit="1" customWidth="1"/>
    <col min="2" max="2" width="11.26953125" bestFit="1" customWidth="1"/>
    <col min="3" max="3" width="6.81640625" bestFit="1" customWidth="1"/>
    <col min="4" max="4" width="7.1796875" bestFit="1" customWidth="1"/>
    <col min="5" max="6" width="7.7265625" bestFit="1" customWidth="1"/>
  </cols>
  <sheetData>
    <row r="3" spans="1:2" x14ac:dyDescent="0.35">
      <c r="A3" s="5" t="s">
        <v>7</v>
      </c>
      <c r="B3" t="s">
        <v>6220</v>
      </c>
    </row>
    <row r="4" spans="1:2" x14ac:dyDescent="0.35">
      <c r="A4" t="s">
        <v>28</v>
      </c>
      <c r="B4" s="4">
        <v>2798.5050000000001</v>
      </c>
    </row>
    <row r="5" spans="1:2" x14ac:dyDescent="0.35">
      <c r="A5" t="s">
        <v>318</v>
      </c>
      <c r="B5" s="4">
        <v>6696.8649999999989</v>
      </c>
    </row>
    <row r="6" spans="1:2" x14ac:dyDescent="0.35">
      <c r="A6" t="s">
        <v>19</v>
      </c>
      <c r="B6" s="4">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817C0-BF42-4E41-B0E2-757197F8F579}">
  <dimension ref="A3:B8"/>
  <sheetViews>
    <sheetView workbookViewId="0">
      <selection activeCell="C20" sqref="C20"/>
    </sheetView>
  </sheetViews>
  <sheetFormatPr defaultRowHeight="14.5" x14ac:dyDescent="0.35"/>
  <cols>
    <col min="1" max="1" width="16.7265625" bestFit="1" customWidth="1"/>
    <col min="2" max="2" width="11.26953125" bestFit="1" customWidth="1"/>
    <col min="3" max="3" width="6.81640625" bestFit="1" customWidth="1"/>
    <col min="4" max="4" width="7.1796875" bestFit="1" customWidth="1"/>
    <col min="5" max="6" width="7.7265625" bestFit="1" customWidth="1"/>
  </cols>
  <sheetData>
    <row r="3" spans="1:2" x14ac:dyDescent="0.35">
      <c r="A3" s="5" t="s">
        <v>4</v>
      </c>
      <c r="B3" t="s">
        <v>6220</v>
      </c>
    </row>
    <row r="4" spans="1:2" x14ac:dyDescent="0.35">
      <c r="A4" t="s">
        <v>3753</v>
      </c>
      <c r="B4" s="4">
        <v>278.01</v>
      </c>
    </row>
    <row r="5" spans="1:2" x14ac:dyDescent="0.35">
      <c r="A5" t="s">
        <v>1598</v>
      </c>
      <c r="B5" s="4">
        <v>281.67499999999995</v>
      </c>
    </row>
    <row r="6" spans="1:2" x14ac:dyDescent="0.35">
      <c r="A6" t="s">
        <v>2587</v>
      </c>
      <c r="B6" s="4">
        <v>289.11</v>
      </c>
    </row>
    <row r="7" spans="1:2" x14ac:dyDescent="0.35">
      <c r="A7" t="s">
        <v>5765</v>
      </c>
      <c r="B7" s="4">
        <v>307.04499999999996</v>
      </c>
    </row>
    <row r="8" spans="1:2" x14ac:dyDescent="0.35">
      <c r="A8" t="s">
        <v>5114</v>
      </c>
      <c r="B8" s="4">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G1" zoomScale="115" zoomScaleNormal="115" workbookViewId="0">
      <selection activeCell="K2" sqref="K2:K1001"/>
    </sheetView>
  </sheetViews>
  <sheetFormatPr defaultRowHeight="14.5" x14ac:dyDescent="0.35"/>
  <cols>
    <col min="1" max="1" width="15.1796875" bestFit="1" customWidth="1"/>
    <col min="2" max="2" width="11.7265625" customWidth="1"/>
    <col min="3" max="3" width="16" bestFit="1" customWidth="1"/>
    <col min="4" max="4" width="11.08984375" customWidth="1"/>
    <col min="5" max="5" width="9.6328125" customWidth="1"/>
    <col min="6" max="6" width="22.1796875" bestFit="1" customWidth="1"/>
    <col min="7" max="7" width="36.1796875" bestFit="1" customWidth="1"/>
    <col min="8" max="8" width="14.1796875" bestFit="1" customWidth="1"/>
    <col min="9" max="9" width="12.26953125" customWidth="1"/>
    <col min="10" max="10" width="11.453125" customWidth="1"/>
    <col min="11" max="11" width="5.7265625" customWidth="1"/>
    <col min="12" max="12" width="10.453125" customWidth="1"/>
    <col min="13" max="13" width="8.6328125" bestFit="1" customWidth="1"/>
    <col min="14" max="14" width="17.54296875" customWidth="1"/>
    <col min="15" max="15" width="16.7265625" customWidth="1"/>
    <col min="16" max="16" width="13.36328125" bestFit="1" customWidth="1"/>
  </cols>
  <sheetData>
    <row r="1" spans="1:16" x14ac:dyDescent="0.35">
      <c r="A1" s="2" t="s">
        <v>0</v>
      </c>
      <c r="B1" s="2" t="s">
        <v>1</v>
      </c>
      <c r="C1" s="2" t="s">
        <v>3</v>
      </c>
      <c r="D1" s="2" t="s">
        <v>11</v>
      </c>
      <c r="E1" s="2" t="s">
        <v>14</v>
      </c>
      <c r="F1" s="2" t="s">
        <v>4</v>
      </c>
      <c r="G1" s="2" t="s">
        <v>2</v>
      </c>
      <c r="H1" s="2" t="s">
        <v>7</v>
      </c>
      <c r="I1" s="2" t="s">
        <v>9</v>
      </c>
      <c r="J1" s="2" t="s">
        <v>10</v>
      </c>
      <c r="K1" s="2" t="s">
        <v>12</v>
      </c>
      <c r="L1" s="2" t="s">
        <v>13</v>
      </c>
      <c r="M1" s="2" t="s">
        <v>15</v>
      </c>
      <c r="N1" s="2" t="s">
        <v>6197</v>
      </c>
      <c r="O1" s="2" t="s">
        <v>6196</v>
      </c>
      <c r="P1" s="2" t="s">
        <v>6189</v>
      </c>
    </row>
    <row r="2" spans="1:16" x14ac:dyDescent="0.35">
      <c r="A2" s="2" t="s">
        <v>490</v>
      </c>
      <c r="B2" s="3">
        <v>43713</v>
      </c>
      <c r="C2" s="2" t="s">
        <v>491</v>
      </c>
      <c r="D2" t="s">
        <v>6138</v>
      </c>
      <c r="E2" s="2">
        <v>2</v>
      </c>
      <c r="F2" s="2" t="str">
        <f>_xlfn.XLOOKUP(C2,customers!$A$1:$A$1001,customers!$B$1:$B$1001,,0)</f>
        <v>Aloisia Allner</v>
      </c>
      <c r="G2" s="2" t="str">
        <f>IF(_xlfn.XLOOKUP(C2,customers!$A$1:$A$1001,customers!$C$1:$C$1001,,0)=0,"",_xlfn.XLOOKUP(C2,customers!$A$1:$A$1001,customers!$C$1:$C$1001,,0))</f>
        <v>aallner0@lulu.com</v>
      </c>
      <c r="H2" s="2" t="str">
        <f>_xlfn.XLOOKUP(C2,customers!$A$1:$A$1001,customers!$G$1:$G$1001,,0)</f>
        <v>United States</v>
      </c>
      <c r="I2" t="str">
        <f>INDEX(products!$A$1:$G$49,MATCH(orders!$D2,products!$A$1:$A$49,0),MATCH(orders!I$1,products!$A$1:$G$1,0))</f>
        <v>Rob</v>
      </c>
      <c r="J2" t="str">
        <f>INDEX(products!$A$1:$G$49,MATCH(orders!$D2,products!$A$1:$A$49,0),MATCH(orders!J$1,products!$A$1:$G$1,0))</f>
        <v>M</v>
      </c>
      <c r="K2" s="7">
        <f>INDEX(products!$A$1:$G$49,MATCH(orders!$D2,products!$A$1:$A$49,0),MATCH(orders!K$1,products!$A$1:$G$1,0))</f>
        <v>1</v>
      </c>
      <c r="L2" s="4">
        <f>INDEX(products!$A$1:$G$49,MATCH(orders!$D2,products!$A$1:$A$49,0),MATCH(orders!L$1,products!$A$1:$G$1,0))</f>
        <v>9.9499999999999993</v>
      </c>
      <c r="M2" s="4">
        <f>L2*E2</f>
        <v>19.899999999999999</v>
      </c>
      <c r="N2" t="str" cm="1">
        <f t="array" ref="N2">_xlfn.IFS(I2="Rob","Robusta",I2="Exc","Excelsa",I2="Ara","Arabica",I2="Lib","Liberica")</f>
        <v>Robusta</v>
      </c>
      <c r="O2" t="str" cm="1">
        <f t="array" ref="O2">_xlfn.IFS(J2="M","Medium",J2="L","Large",J2="D","Dark")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_xlfn.XLOOKUP(C3,customers!$A$1:$A$1001,customers!$B$1:$B$1001,,0)</f>
        <v>Aloisia Allner</v>
      </c>
      <c r="G3" s="2" t="str">
        <f>IF(_xlfn.XLOOKUP(C3,customers!$A$1:$A$1001,customers!$C$1:$C$1001,,0)=0,"",_xlfn.XLOOKUP(C3,customers!$A$1:$A$1001,customers!$C$1:$C$1001,,0))</f>
        <v>aallner0@lulu.com</v>
      </c>
      <c r="H3" s="2" t="str">
        <f>_xlfn.XLOOKUP(C3,customers!$A$1:$A$1001,customers!$G$1:$G$1001,,0)</f>
        <v>United States</v>
      </c>
      <c r="I3" t="str">
        <f>INDEX(products!$A$1:$G$49,MATCH(orders!$D3,products!$A$1:$A$49,0),MATCH(orders!I$1,products!$A$1:$G$1,0))</f>
        <v>Exc</v>
      </c>
      <c r="J3" t="str">
        <f>INDEX(products!$A$1:$G$49,MATCH(orders!$D3,products!$A$1:$A$49,0),MATCH(orders!J$1,products!$A$1:$G$1,0))</f>
        <v>M</v>
      </c>
      <c r="K3" s="7">
        <f>INDEX(products!$A$1:$G$49,MATCH(orders!$D3,products!$A$1:$A$49,0),MATCH(orders!K$1,products!$A$1:$G$1,0))</f>
        <v>0.5</v>
      </c>
      <c r="L3" s="4">
        <f>INDEX(products!$A$1:$G$49,MATCH(orders!$D3,products!$A$1:$A$49,0),MATCH(orders!L$1,products!$A$1:$G$1,0))</f>
        <v>8.25</v>
      </c>
      <c r="M3" s="4">
        <f t="shared" ref="M3:M66" si="0">L3*E3</f>
        <v>41.25</v>
      </c>
      <c r="N3" t="str" cm="1">
        <f t="array" ref="N3">_xlfn.IFS(I3="Rob","Robusta",I3="Exc","Excelsa",I3="Ara","Arabica",I3="Lib","Liberica")</f>
        <v>Excelsa</v>
      </c>
      <c r="O3" t="str" cm="1">
        <f t="array" ref="O3">_xlfn.IFS(J3="M","Medium",J3="L","Large",J3="D","Dark")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_xlfn.XLOOKUP(C4,customers!$A$1:$A$1001,customers!$B$1:$B$1001,,0)</f>
        <v>Jami Redholes</v>
      </c>
      <c r="G4" s="2" t="str">
        <f>IF(_xlfn.XLOOKUP(C4,customers!$A$1:$A$1001,customers!$C$1:$C$1001,,0)=0,"",_xlfn.XLOOKUP(C4,customers!$A$1:$A$1001,customers!$C$1:$C$1001,,0))</f>
        <v>jredholes2@tmall.com</v>
      </c>
      <c r="H4" s="2" t="str">
        <f>_xlfn.XLOOKUP(C4,customers!$A$1:$A$1001,customers!$G$1:$G$1001,,0)</f>
        <v>United States</v>
      </c>
      <c r="I4" t="str">
        <f>INDEX(products!$A$1:$G$49,MATCH(orders!$D4,products!$A$1:$A$49,0),MATCH(orders!I$1,products!$A$1:$G$1,0))</f>
        <v>Ara</v>
      </c>
      <c r="J4" t="str">
        <f>INDEX(products!$A$1:$G$49,MATCH(orders!$D4,products!$A$1:$A$49,0),MATCH(orders!J$1,products!$A$1:$G$1,0))</f>
        <v>L</v>
      </c>
      <c r="K4" s="7">
        <f>INDEX(products!$A$1:$G$49,MATCH(orders!$D4,products!$A$1:$A$49,0),MATCH(orders!K$1,products!$A$1:$G$1,0))</f>
        <v>1</v>
      </c>
      <c r="L4" s="4">
        <f>INDEX(products!$A$1:$G$49,MATCH(orders!$D4,products!$A$1:$A$49,0),MATCH(orders!L$1,products!$A$1:$G$1,0))</f>
        <v>12.95</v>
      </c>
      <c r="M4" s="4">
        <f t="shared" si="0"/>
        <v>12.95</v>
      </c>
      <c r="N4" t="str" cm="1">
        <f t="array" ref="N4">_xlfn.IFS(I4="Rob","Robusta",I4="Exc","Excelsa",I4="Ara","Arabica",I4="Lib","Liberica")</f>
        <v>Arabica</v>
      </c>
      <c r="O4" t="str" cm="1">
        <f t="array" ref="O4">_xlfn.IFS(J4="M","Medium",J4="L","Large",J4="D","Dark")</f>
        <v>Large</v>
      </c>
      <c r="P4" t="str">
        <f>_xlfn.XLOOKUP(Orders[[#This Row],[Customer ID]],customers!$A$1:$A$1001,customers!$I$1:$I$1001,,0)</f>
        <v>Yes</v>
      </c>
    </row>
    <row r="5" spans="1:16" x14ac:dyDescent="0.35">
      <c r="A5" s="2" t="s">
        <v>512</v>
      </c>
      <c r="B5" s="3">
        <v>44392</v>
      </c>
      <c r="C5" s="2" t="s">
        <v>513</v>
      </c>
      <c r="D5" t="s">
        <v>6141</v>
      </c>
      <c r="E5" s="2">
        <v>2</v>
      </c>
      <c r="F5" s="2" t="str">
        <f>_xlfn.XLOOKUP(C5,customers!$A$1:$A$1001,customers!$B$1:$B$1001,,0)</f>
        <v>Christoffer O' Shea</v>
      </c>
      <c r="G5" s="2" t="str">
        <f>IF(_xlfn.XLOOKUP(C5,customers!$A$1:$A$1001,customers!$C$1:$C$1001,,0)=0,"",_xlfn.XLOOKUP(C5,customers!$A$1:$A$1001,customers!$C$1:$C$1001,,0))</f>
        <v/>
      </c>
      <c r="H5" s="2" t="str">
        <f>_xlfn.XLOOKUP(C5,customers!$A$1:$A$1001,customers!$G$1:$G$1001,,0)</f>
        <v>Ireland</v>
      </c>
      <c r="I5" t="str">
        <f>INDEX(products!$A$1:$G$49,MATCH(orders!$D5,products!$A$1:$A$49,0),MATCH(orders!I$1,products!$A$1:$G$1,0))</f>
        <v>Exc</v>
      </c>
      <c r="J5" t="str">
        <f>INDEX(products!$A$1:$G$49,MATCH(orders!$D5,products!$A$1:$A$49,0),MATCH(orders!J$1,products!$A$1:$G$1,0))</f>
        <v>M</v>
      </c>
      <c r="K5" s="7">
        <f>INDEX(products!$A$1:$G$49,MATCH(orders!$D5,products!$A$1:$A$49,0),MATCH(orders!K$1,products!$A$1:$G$1,0))</f>
        <v>1</v>
      </c>
      <c r="L5" s="4">
        <f>INDEX(products!$A$1:$G$49,MATCH(orders!$D5,products!$A$1:$A$49,0),MATCH(orders!L$1,products!$A$1:$G$1,0))</f>
        <v>13.75</v>
      </c>
      <c r="M5" s="4">
        <f t="shared" si="0"/>
        <v>27.5</v>
      </c>
      <c r="N5" t="str" cm="1">
        <f t="array" ref="N5">_xlfn.IFS(I5="Rob","Robusta",I5="Exc","Excelsa",I5="Ara","Arabica",I5="Lib","Liberica")</f>
        <v>Excelsa</v>
      </c>
      <c r="O5" t="str" cm="1">
        <f t="array" ref="O5">_xlfn.IFS(J5="M","Medium",J5="L","Large",J5="D","Dark")</f>
        <v>Medium</v>
      </c>
      <c r="P5" t="str">
        <f>_xlfn.XLOOKUP(Orders[[#This Row],[Customer ID]],customers!$A$1:$A$1001,customers!$I$1:$I$1001,,0)</f>
        <v>No</v>
      </c>
    </row>
    <row r="6" spans="1:16" x14ac:dyDescent="0.35">
      <c r="A6" s="2" t="s">
        <v>512</v>
      </c>
      <c r="B6" s="3">
        <v>44392</v>
      </c>
      <c r="C6" s="2" t="s">
        <v>513</v>
      </c>
      <c r="D6" t="s">
        <v>6142</v>
      </c>
      <c r="E6" s="2">
        <v>2</v>
      </c>
      <c r="F6" s="2" t="str">
        <f>_xlfn.XLOOKUP(C6,customers!$A$1:$A$1001,customers!$B$1:$B$1001,,0)</f>
        <v>Christoffer O' Shea</v>
      </c>
      <c r="G6" s="2" t="str">
        <f>IF(_xlfn.XLOOKUP(C6,customers!$A$1:$A$1001,customers!$C$1:$C$1001,,0)=0,"",_xlfn.XLOOKUP(C6,customers!$A$1:$A$1001,customers!$C$1:$C$1001,,0))</f>
        <v/>
      </c>
      <c r="H6" s="2" t="str">
        <f>_xlfn.XLOOKUP(C6,customers!$A$1:$A$1001,customers!$G$1:$G$1001,,0)</f>
        <v>Ireland</v>
      </c>
      <c r="I6" t="str">
        <f>INDEX(products!$A$1:$G$49,MATCH(orders!$D6,products!$A$1:$A$49,0),MATCH(orders!I$1,products!$A$1:$G$1,0))</f>
        <v>Rob</v>
      </c>
      <c r="J6" t="str">
        <f>INDEX(products!$A$1:$G$49,MATCH(orders!$D6,products!$A$1:$A$49,0),MATCH(orders!J$1,products!$A$1:$G$1,0))</f>
        <v>L</v>
      </c>
      <c r="K6" s="7">
        <f>INDEX(products!$A$1:$G$49,MATCH(orders!$D6,products!$A$1:$A$49,0),MATCH(orders!K$1,products!$A$1:$G$1,0))</f>
        <v>2.5</v>
      </c>
      <c r="L6" s="4">
        <f>INDEX(products!$A$1:$G$49,MATCH(orders!$D6,products!$A$1:$A$49,0),MATCH(orders!L$1,products!$A$1:$G$1,0))</f>
        <v>27.484999999999996</v>
      </c>
      <c r="M6" s="4">
        <f t="shared" si="0"/>
        <v>54.969999999999992</v>
      </c>
      <c r="N6" t="str" cm="1">
        <f t="array" ref="N6">_xlfn.IFS(I6="Rob","Robusta",I6="Exc","Excelsa",I6="Ara","Arabica",I6="Lib","Liberica")</f>
        <v>Robusta</v>
      </c>
      <c r="O6" t="str" cm="1">
        <f t="array" ref="O6">_xlfn.IFS(J6="M","Medium",J6="L","Large",J6="D","Dark")</f>
        <v>Large</v>
      </c>
      <c r="P6" t="str">
        <f>_xlfn.XLOOKUP(Orders[[#This Row],[Customer ID]],customers!$A$1:$A$1001,customers!$I$1:$I$1001,,0)</f>
        <v>No</v>
      </c>
    </row>
    <row r="7" spans="1:16" x14ac:dyDescent="0.35">
      <c r="A7" s="2" t="s">
        <v>519</v>
      </c>
      <c r="B7" s="3">
        <v>44412</v>
      </c>
      <c r="C7" s="2" t="s">
        <v>520</v>
      </c>
      <c r="D7" t="s">
        <v>6143</v>
      </c>
      <c r="E7" s="2">
        <v>3</v>
      </c>
      <c r="F7" s="2" t="str">
        <f>_xlfn.XLOOKUP(C7,customers!$A$1:$A$1001,customers!$B$1:$B$1001,,0)</f>
        <v>Beryle Cottier</v>
      </c>
      <c r="G7" s="2" t="str">
        <f>IF(_xlfn.XLOOKUP(C7,customers!$A$1:$A$1001,customers!$C$1:$C$1001,,0)=0,"",_xlfn.XLOOKUP(C7,customers!$A$1:$A$1001,customers!$C$1:$C$1001,,0))</f>
        <v/>
      </c>
      <c r="H7" s="2" t="str">
        <f>_xlfn.XLOOKUP(C7,customers!$A$1:$A$1001,customers!$G$1:$G$1001,,0)</f>
        <v>United States</v>
      </c>
      <c r="I7" t="str">
        <f>INDEX(products!$A$1:$G$49,MATCH(orders!$D7,products!$A$1:$A$49,0),MATCH(orders!I$1,products!$A$1:$G$1,0))</f>
        <v>Lib</v>
      </c>
      <c r="J7" t="str">
        <f>INDEX(products!$A$1:$G$49,MATCH(orders!$D7,products!$A$1:$A$49,0),MATCH(orders!J$1,products!$A$1:$G$1,0))</f>
        <v>D</v>
      </c>
      <c r="K7" s="7">
        <f>INDEX(products!$A$1:$G$49,MATCH(orders!$D7,products!$A$1:$A$49,0),MATCH(orders!K$1,products!$A$1:$G$1,0))</f>
        <v>1</v>
      </c>
      <c r="L7" s="4">
        <f>INDEX(products!$A$1:$G$49,MATCH(orders!$D7,products!$A$1:$A$49,0),MATCH(orders!L$1,products!$A$1:$G$1,0))</f>
        <v>12.95</v>
      </c>
      <c r="M7" s="4">
        <f t="shared" si="0"/>
        <v>38.849999999999994</v>
      </c>
      <c r="N7" t="str" cm="1">
        <f t="array" ref="N7">_xlfn.IFS(I7="Rob","Robusta",I7="Exc","Excelsa",I7="Ara","Arabica",I7="Lib","Liberica")</f>
        <v>Liberica</v>
      </c>
      <c r="O7" t="str" cm="1">
        <f t="array" ref="O7">_xlfn.IFS(J7="M","Medium",J7="L","Large",J7="D","Dark")</f>
        <v>Dark</v>
      </c>
      <c r="P7" t="str">
        <f>_xlfn.XLOOKUP(Orders[[#This Row],[Customer ID]],customers!$A$1:$A$1001,customers!$I$1:$I$1001,,0)</f>
        <v>No</v>
      </c>
    </row>
    <row r="8" spans="1:16" x14ac:dyDescent="0.35">
      <c r="A8" s="2" t="s">
        <v>524</v>
      </c>
      <c r="B8" s="3">
        <v>44582</v>
      </c>
      <c r="C8" s="2" t="s">
        <v>525</v>
      </c>
      <c r="D8" t="s">
        <v>6144</v>
      </c>
      <c r="E8" s="2">
        <v>3</v>
      </c>
      <c r="F8" s="2" t="str">
        <f>_xlfn.XLOOKUP(C8,customers!$A$1:$A$1001,customers!$B$1:$B$1001,,0)</f>
        <v>Shaylynn Lobe</v>
      </c>
      <c r="G8" s="2" t="str">
        <f>IF(_xlfn.XLOOKUP(C8,customers!$A$1:$A$1001,customers!$C$1:$C$1001,,0)=0,"",_xlfn.XLOOKUP(C8,customers!$A$1:$A$1001,customers!$C$1:$C$1001,,0))</f>
        <v>slobe6@nifty.com</v>
      </c>
      <c r="H8" s="2" t="str">
        <f>_xlfn.XLOOKUP(C8,customers!$A$1:$A$1001,customers!$G$1:$G$1001,,0)</f>
        <v>United States</v>
      </c>
      <c r="I8" t="str">
        <f>INDEX(products!$A$1:$G$49,MATCH(orders!$D8,products!$A$1:$A$49,0),MATCH(orders!I$1,products!$A$1:$G$1,0))</f>
        <v>Exc</v>
      </c>
      <c r="J8" t="str">
        <f>INDEX(products!$A$1:$G$49,MATCH(orders!$D8,products!$A$1:$A$49,0),MATCH(orders!J$1,products!$A$1:$G$1,0))</f>
        <v>D</v>
      </c>
      <c r="K8" s="7">
        <f>INDEX(products!$A$1:$G$49,MATCH(orders!$D8,products!$A$1:$A$49,0),MATCH(orders!K$1,products!$A$1:$G$1,0))</f>
        <v>0.5</v>
      </c>
      <c r="L8" s="4">
        <f>INDEX(products!$A$1:$G$49,MATCH(orders!$D8,products!$A$1:$A$49,0),MATCH(orders!L$1,products!$A$1:$G$1,0))</f>
        <v>7.29</v>
      </c>
      <c r="M8" s="4">
        <f t="shared" si="0"/>
        <v>21.87</v>
      </c>
      <c r="N8" t="str" cm="1">
        <f t="array" ref="N8">_xlfn.IFS(I8="Rob","Robusta",I8="Exc","Excelsa",I8="Ara","Arabica",I8="Lib","Liberica")</f>
        <v>Excelsa</v>
      </c>
      <c r="O8" t="str" cm="1">
        <f t="array" ref="O8">_xlfn.IFS(J8="M","Medium",J8="L","Large",J8="D","Dark")</f>
        <v>Dark</v>
      </c>
      <c r="P8" t="str">
        <f>_xlfn.XLOOKUP(Orders[[#This Row],[Customer ID]],customers!$A$1:$A$1001,customers!$I$1:$I$1001,,0)</f>
        <v>Yes</v>
      </c>
    </row>
    <row r="9" spans="1:16" x14ac:dyDescent="0.35">
      <c r="A9" s="2" t="s">
        <v>530</v>
      </c>
      <c r="B9" s="3">
        <v>44701</v>
      </c>
      <c r="C9" s="2" t="s">
        <v>531</v>
      </c>
      <c r="D9" t="s">
        <v>6145</v>
      </c>
      <c r="E9" s="2">
        <v>1</v>
      </c>
      <c r="F9" s="2" t="str">
        <f>_xlfn.XLOOKUP(C9,customers!$A$1:$A$1001,customers!$B$1:$B$1001,,0)</f>
        <v>Melvin Wharfe</v>
      </c>
      <c r="G9" s="2" t="str">
        <f>IF(_xlfn.XLOOKUP(C9,customers!$A$1:$A$1001,customers!$C$1:$C$1001,,0)=0,"",_xlfn.XLOOKUP(C9,customers!$A$1:$A$1001,customers!$C$1:$C$1001,,0))</f>
        <v/>
      </c>
      <c r="H9" s="2" t="str">
        <f>_xlfn.XLOOKUP(C9,customers!$A$1:$A$1001,customers!$G$1:$G$1001,,0)</f>
        <v>Ireland</v>
      </c>
      <c r="I9" t="str">
        <f>INDEX(products!$A$1:$G$49,MATCH(orders!$D9,products!$A$1:$A$49,0),MATCH(orders!I$1,products!$A$1:$G$1,0))</f>
        <v>Lib</v>
      </c>
      <c r="J9" t="str">
        <f>INDEX(products!$A$1:$G$49,MATCH(orders!$D9,products!$A$1:$A$49,0),MATCH(orders!J$1,products!$A$1:$G$1,0))</f>
        <v>L</v>
      </c>
      <c r="K9" s="7">
        <f>INDEX(products!$A$1:$G$49,MATCH(orders!$D9,products!$A$1:$A$49,0),MATCH(orders!K$1,products!$A$1:$G$1,0))</f>
        <v>0.2</v>
      </c>
      <c r="L9" s="4">
        <f>INDEX(products!$A$1:$G$49,MATCH(orders!$D9,products!$A$1:$A$49,0),MATCH(orders!L$1,products!$A$1:$G$1,0))</f>
        <v>4.7549999999999999</v>
      </c>
      <c r="M9" s="4">
        <f t="shared" si="0"/>
        <v>4.7549999999999999</v>
      </c>
      <c r="N9" t="str" cm="1">
        <f t="array" ref="N9">_xlfn.IFS(I9="Rob","Robusta",I9="Exc","Excelsa",I9="Ara","Arabica",I9="Lib","Liberica")</f>
        <v>Liberica</v>
      </c>
      <c r="O9" t="str" cm="1">
        <f t="array" ref="O9">_xlfn.IFS(J9="M","Medium",J9="L","Large",J9="D","Dark")</f>
        <v>Large</v>
      </c>
      <c r="P9" t="str">
        <f>_xlfn.XLOOKUP(Orders[[#This Row],[Customer ID]],customers!$A$1:$A$1001,customers!$I$1:$I$1001,,0)</f>
        <v>Yes</v>
      </c>
    </row>
    <row r="10" spans="1:16" x14ac:dyDescent="0.35">
      <c r="A10" s="2" t="s">
        <v>535</v>
      </c>
      <c r="B10" s="3">
        <v>43467</v>
      </c>
      <c r="C10" s="2" t="s">
        <v>536</v>
      </c>
      <c r="D10" t="s">
        <v>6146</v>
      </c>
      <c r="E10" s="2">
        <v>3</v>
      </c>
      <c r="F10" s="2" t="str">
        <f>_xlfn.XLOOKUP(C10,customers!$A$1:$A$1001,customers!$B$1:$B$1001,,0)</f>
        <v>Guthrey Petracci</v>
      </c>
      <c r="G10" s="2" t="str">
        <f>IF(_xlfn.XLOOKUP(C10,customers!$A$1:$A$1001,customers!$C$1:$C$1001,,0)=0,"",_xlfn.XLOOKUP(C10,customers!$A$1:$A$1001,customers!$C$1:$C$1001,,0))</f>
        <v>gpetracci8@livejournal.com</v>
      </c>
      <c r="H10" s="2" t="str">
        <f>_xlfn.XLOOKUP(C10,customers!$A$1:$A$1001,customers!$G$1:$G$1001,,0)</f>
        <v>United States</v>
      </c>
      <c r="I10" t="str">
        <f>INDEX(products!$A$1:$G$49,MATCH(orders!$D10,products!$A$1:$A$49,0),MATCH(orders!I$1,products!$A$1:$G$1,0))</f>
        <v>Rob</v>
      </c>
      <c r="J10" t="str">
        <f>INDEX(products!$A$1:$G$49,MATCH(orders!$D10,products!$A$1:$A$49,0),MATCH(orders!J$1,products!$A$1:$G$1,0))</f>
        <v>M</v>
      </c>
      <c r="K10" s="7">
        <f>INDEX(products!$A$1:$G$49,MATCH(orders!$D10,products!$A$1:$A$49,0),MATCH(orders!K$1,products!$A$1:$G$1,0))</f>
        <v>0.5</v>
      </c>
      <c r="L10" s="4">
        <f>INDEX(products!$A$1:$G$49,MATCH(orders!$D10,products!$A$1:$A$49,0),MATCH(orders!L$1,products!$A$1:$G$1,0))</f>
        <v>5.97</v>
      </c>
      <c r="M10" s="4">
        <f t="shared" si="0"/>
        <v>17.91</v>
      </c>
      <c r="N10" t="str" cm="1">
        <f t="array" ref="N10">_xlfn.IFS(I10="Rob","Robusta",I10="Exc","Excelsa",I10="Ara","Arabica",I10="Lib","Liberica")</f>
        <v>Robusta</v>
      </c>
      <c r="O10" t="str" cm="1">
        <f t="array" ref="O10">_xlfn.IFS(J10="M","Medium",J10="L","Large",J10="D","Dark")</f>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_xlfn.XLOOKUP(C11,customers!$A$1:$A$1001,customers!$B$1:$B$1001,,0)</f>
        <v>Rodger Raven</v>
      </c>
      <c r="G11" s="2" t="str">
        <f>IF(_xlfn.XLOOKUP(C11,customers!$A$1:$A$1001,customers!$C$1:$C$1001,,0)=0,"",_xlfn.XLOOKUP(C11,customers!$A$1:$A$1001,customers!$C$1:$C$1001,,0))</f>
        <v>rraven9@ed.gov</v>
      </c>
      <c r="H11" s="2" t="str">
        <f>_xlfn.XLOOKUP(C11,customers!$A$1:$A$1001,customers!$G$1:$G$1001,,0)</f>
        <v>United States</v>
      </c>
      <c r="I11" t="str">
        <f>INDEX(products!$A$1:$G$49,MATCH(orders!$D11,products!$A$1:$A$49,0),MATCH(orders!I$1,products!$A$1:$G$1,0))</f>
        <v>Rob</v>
      </c>
      <c r="J11" t="str">
        <f>INDEX(products!$A$1:$G$49,MATCH(orders!$D11,products!$A$1:$A$49,0),MATCH(orders!J$1,products!$A$1:$G$1,0))</f>
        <v>M</v>
      </c>
      <c r="K11" s="7">
        <f>INDEX(products!$A$1:$G$49,MATCH(orders!$D11,products!$A$1:$A$49,0),MATCH(orders!K$1,products!$A$1:$G$1,0))</f>
        <v>0.5</v>
      </c>
      <c r="L11" s="4">
        <f>INDEX(products!$A$1:$G$49,MATCH(orders!$D11,products!$A$1:$A$49,0),MATCH(orders!L$1,products!$A$1:$G$1,0))</f>
        <v>5.97</v>
      </c>
      <c r="M11" s="4">
        <f t="shared" si="0"/>
        <v>5.97</v>
      </c>
      <c r="N11" t="str" cm="1">
        <f t="array" ref="N11">_xlfn.IFS(I11="Rob","Robusta",I11="Exc","Excelsa",I11="Ara","Arabica",I11="Lib","Liberica")</f>
        <v>Robusta</v>
      </c>
      <c r="O11" t="str" cm="1">
        <f t="array" ref="O11">_xlfn.IFS(J11="M","Medium",J11="L","Large",J11="D","Dark")</f>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_xlfn.XLOOKUP(C12,customers!$A$1:$A$1001,customers!$B$1:$B$1001,,0)</f>
        <v>Ferrell Ferber</v>
      </c>
      <c r="G12" s="2" t="str">
        <f>IF(_xlfn.XLOOKUP(C12,customers!$A$1:$A$1001,customers!$C$1:$C$1001,,0)=0,"",_xlfn.XLOOKUP(C12,customers!$A$1:$A$1001,customers!$C$1:$C$1001,,0))</f>
        <v>fferbera@businesswire.com</v>
      </c>
      <c r="H12" s="2" t="str">
        <f>_xlfn.XLOOKUP(C12,customers!$A$1:$A$1001,customers!$G$1:$G$1001,,0)</f>
        <v>United States</v>
      </c>
      <c r="I12" t="str">
        <f>INDEX(products!$A$1:$G$49,MATCH(orders!$D12,products!$A$1:$A$49,0),MATCH(orders!I$1,products!$A$1:$G$1,0))</f>
        <v>Ara</v>
      </c>
      <c r="J12" t="str">
        <f>INDEX(products!$A$1:$G$49,MATCH(orders!$D12,products!$A$1:$A$49,0),MATCH(orders!J$1,products!$A$1:$G$1,0))</f>
        <v>D</v>
      </c>
      <c r="K12" s="7">
        <f>INDEX(products!$A$1:$G$49,MATCH(orders!$D12,products!$A$1:$A$49,0),MATCH(orders!K$1,products!$A$1:$G$1,0))</f>
        <v>1</v>
      </c>
      <c r="L12" s="4">
        <f>INDEX(products!$A$1:$G$49,MATCH(orders!$D12,products!$A$1:$A$49,0),MATCH(orders!L$1,products!$A$1:$G$1,0))</f>
        <v>9.9499999999999993</v>
      </c>
      <c r="M12" s="4">
        <f t="shared" si="0"/>
        <v>39.799999999999997</v>
      </c>
      <c r="N12" t="str" cm="1">
        <f t="array" ref="N12">_xlfn.IFS(I12="Rob","Robusta",I12="Exc","Excelsa",I12="Ara","Arabica",I12="Lib","Liberica")</f>
        <v>Arabica</v>
      </c>
      <c r="O12" t="str" cm="1">
        <f t="array" ref="O12">_xlfn.IFS(J12="M","Medium",J12="L","Large",J12="D","Dark")</f>
        <v>Dark</v>
      </c>
      <c r="P12" t="str">
        <f>_xlfn.XLOOKUP(Orders[[#This Row],[Customer ID]],customers!$A$1:$A$1001,customers!$I$1:$I$1001,,0)</f>
        <v>No</v>
      </c>
    </row>
    <row r="13" spans="1:16" x14ac:dyDescent="0.35">
      <c r="A13" s="2" t="s">
        <v>553</v>
      </c>
      <c r="B13" s="3">
        <v>44132</v>
      </c>
      <c r="C13" s="2" t="s">
        <v>554</v>
      </c>
      <c r="D13" t="s">
        <v>6148</v>
      </c>
      <c r="E13" s="2">
        <v>5</v>
      </c>
      <c r="F13" s="2" t="str">
        <f>_xlfn.XLOOKUP(C13,customers!$A$1:$A$1001,customers!$B$1:$B$1001,,0)</f>
        <v>Duky Phizackerly</v>
      </c>
      <c r="G13" s="2" t="str">
        <f>IF(_xlfn.XLOOKUP(C13,customers!$A$1:$A$1001,customers!$C$1:$C$1001,,0)=0,"",_xlfn.XLOOKUP(C13,customers!$A$1:$A$1001,customers!$C$1:$C$1001,,0))</f>
        <v>dphizackerlyb@utexas.edu</v>
      </c>
      <c r="H13" s="2" t="str">
        <f>_xlfn.XLOOKUP(C13,customers!$A$1:$A$1001,customers!$G$1:$G$1001,,0)</f>
        <v>United States</v>
      </c>
      <c r="I13" t="str">
        <f>INDEX(products!$A$1:$G$49,MATCH(orders!$D13,products!$A$1:$A$49,0),MATCH(orders!I$1,products!$A$1:$G$1,0))</f>
        <v>Exc</v>
      </c>
      <c r="J13" t="str">
        <f>INDEX(products!$A$1:$G$49,MATCH(orders!$D13,products!$A$1:$A$49,0),MATCH(orders!J$1,products!$A$1:$G$1,0))</f>
        <v>L</v>
      </c>
      <c r="K13" s="7">
        <f>INDEX(products!$A$1:$G$49,MATCH(orders!$D13,products!$A$1:$A$49,0),MATCH(orders!K$1,products!$A$1:$G$1,0))</f>
        <v>2.5</v>
      </c>
      <c r="L13" s="4">
        <f>INDEX(products!$A$1:$G$49,MATCH(orders!$D13,products!$A$1:$A$49,0),MATCH(orders!L$1,products!$A$1:$G$1,0))</f>
        <v>34.154999999999994</v>
      </c>
      <c r="M13" s="4">
        <f t="shared" si="0"/>
        <v>170.77499999999998</v>
      </c>
      <c r="N13" t="str" cm="1">
        <f t="array" ref="N13">_xlfn.IFS(I13="Rob","Robusta",I13="Exc","Excelsa",I13="Ara","Arabica",I13="Lib","Liberica")</f>
        <v>Excelsa</v>
      </c>
      <c r="O13" t="str" cm="1">
        <f t="array" ref="O13">_xlfn.IFS(J13="M","Medium",J13="L","Large",J13="D","Dark")</f>
        <v>Large</v>
      </c>
      <c r="P13" t="str">
        <f>_xlfn.XLOOKUP(Orders[[#This Row],[Customer ID]],customers!$A$1:$A$1001,customers!$I$1:$I$1001,,0)</f>
        <v>Yes</v>
      </c>
    </row>
    <row r="14" spans="1:16" x14ac:dyDescent="0.35">
      <c r="A14" s="2" t="s">
        <v>559</v>
      </c>
      <c r="B14" s="3">
        <v>44744</v>
      </c>
      <c r="C14" s="2" t="s">
        <v>560</v>
      </c>
      <c r="D14" t="s">
        <v>6138</v>
      </c>
      <c r="E14" s="2">
        <v>5</v>
      </c>
      <c r="F14" s="2" t="str">
        <f>_xlfn.XLOOKUP(C14,customers!$A$1:$A$1001,customers!$B$1:$B$1001,,0)</f>
        <v>Rosaleen Scholar</v>
      </c>
      <c r="G14" s="2" t="str">
        <f>IF(_xlfn.XLOOKUP(C14,customers!$A$1:$A$1001,customers!$C$1:$C$1001,,0)=0,"",_xlfn.XLOOKUP(C14,customers!$A$1:$A$1001,customers!$C$1:$C$1001,,0))</f>
        <v>rscholarc@nyu.edu</v>
      </c>
      <c r="H14" s="2" t="str">
        <f>_xlfn.XLOOKUP(C14,customers!$A$1:$A$1001,customers!$G$1:$G$1001,,0)</f>
        <v>United States</v>
      </c>
      <c r="I14" t="str">
        <f>INDEX(products!$A$1:$G$49,MATCH(orders!$D14,products!$A$1:$A$49,0),MATCH(orders!I$1,products!$A$1:$G$1,0))</f>
        <v>Rob</v>
      </c>
      <c r="J14" t="str">
        <f>INDEX(products!$A$1:$G$49,MATCH(orders!$D14,products!$A$1:$A$49,0),MATCH(orders!J$1,products!$A$1:$G$1,0))</f>
        <v>M</v>
      </c>
      <c r="K14" s="7">
        <f>INDEX(products!$A$1:$G$49,MATCH(orders!$D14,products!$A$1:$A$49,0),MATCH(orders!K$1,products!$A$1:$G$1,0))</f>
        <v>1</v>
      </c>
      <c r="L14" s="4">
        <f>INDEX(products!$A$1:$G$49,MATCH(orders!$D14,products!$A$1:$A$49,0),MATCH(orders!L$1,products!$A$1:$G$1,0))</f>
        <v>9.9499999999999993</v>
      </c>
      <c r="M14" s="4">
        <f t="shared" si="0"/>
        <v>49.75</v>
      </c>
      <c r="N14" t="str" cm="1">
        <f t="array" ref="N14">_xlfn.IFS(I14="Rob","Robusta",I14="Exc","Excelsa",I14="Ara","Arabica",I14="Lib","Liberica")</f>
        <v>Robusta</v>
      </c>
      <c r="O14" t="str" cm="1">
        <f t="array" ref="O14">_xlfn.IFS(J14="M","Medium",J14="L","Large",J14="D","Dark")</f>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_xlfn.XLOOKUP(C15,customers!$A$1:$A$1001,customers!$B$1:$B$1001,,0)</f>
        <v>Terence Vanyutin</v>
      </c>
      <c r="G15" s="2" t="str">
        <f>IF(_xlfn.XLOOKUP(C15,customers!$A$1:$A$1001,customers!$C$1:$C$1001,,0)=0,"",_xlfn.XLOOKUP(C15,customers!$A$1:$A$1001,customers!$C$1:$C$1001,,0))</f>
        <v>tvanyutind@wix.com</v>
      </c>
      <c r="H15" s="2" t="str">
        <f>_xlfn.XLOOKUP(C15,customers!$A$1:$A$1001,customers!$G$1:$G$1001,,0)</f>
        <v>United States</v>
      </c>
      <c r="I15" t="str">
        <f>INDEX(products!$A$1:$G$49,MATCH(orders!$D15,products!$A$1:$A$49,0),MATCH(orders!I$1,products!$A$1:$G$1,0))</f>
        <v>Rob</v>
      </c>
      <c r="J15" t="str">
        <f>INDEX(products!$A$1:$G$49,MATCH(orders!$D15,products!$A$1:$A$49,0),MATCH(orders!J$1,products!$A$1:$G$1,0))</f>
        <v>D</v>
      </c>
      <c r="K15" s="7">
        <f>INDEX(products!$A$1:$G$49,MATCH(orders!$D15,products!$A$1:$A$49,0),MATCH(orders!K$1,products!$A$1:$G$1,0))</f>
        <v>2.5</v>
      </c>
      <c r="L15" s="4">
        <f>INDEX(products!$A$1:$G$49,MATCH(orders!$D15,products!$A$1:$A$49,0),MATCH(orders!L$1,products!$A$1:$G$1,0))</f>
        <v>20.584999999999997</v>
      </c>
      <c r="M15" s="4">
        <f t="shared" si="0"/>
        <v>41.169999999999995</v>
      </c>
      <c r="N15" t="str" cm="1">
        <f t="array" ref="N15">_xlfn.IFS(I15="Rob","Robusta",I15="Exc","Excelsa",I15="Ara","Arabica",I15="Lib","Liberica")</f>
        <v>Robusta</v>
      </c>
      <c r="O15" t="str" cm="1">
        <f t="array" ref="O15">_xlfn.IFS(J15="M","Medium",J15="L","Large",J15="D","Dark")</f>
        <v>Dark</v>
      </c>
      <c r="P15" t="str">
        <f>_xlfn.XLOOKUP(Orders[[#This Row],[Customer ID]],customers!$A$1:$A$1001,customers!$I$1:$I$1001,,0)</f>
        <v>No</v>
      </c>
    </row>
    <row r="16" spans="1:16" x14ac:dyDescent="0.35">
      <c r="A16" s="2" t="s">
        <v>570</v>
      </c>
      <c r="B16" s="3">
        <v>44656</v>
      </c>
      <c r="C16" s="2" t="s">
        <v>571</v>
      </c>
      <c r="D16" t="s">
        <v>6150</v>
      </c>
      <c r="E16" s="2">
        <v>3</v>
      </c>
      <c r="F16" s="2" t="str">
        <f>_xlfn.XLOOKUP(C16,customers!$A$1:$A$1001,customers!$B$1:$B$1001,,0)</f>
        <v>Patrice Trobe</v>
      </c>
      <c r="G16" s="2" t="str">
        <f>IF(_xlfn.XLOOKUP(C16,customers!$A$1:$A$1001,customers!$C$1:$C$1001,,0)=0,"",_xlfn.XLOOKUP(C16,customers!$A$1:$A$1001,customers!$C$1:$C$1001,,0))</f>
        <v>ptrobee@wunderground.com</v>
      </c>
      <c r="H16" s="2" t="str">
        <f>_xlfn.XLOOKUP(C16,customers!$A$1:$A$1001,customers!$G$1:$G$1001,,0)</f>
        <v>United States</v>
      </c>
      <c r="I16" t="str">
        <f>INDEX(products!$A$1:$G$49,MATCH(orders!$D16,products!$A$1:$A$49,0),MATCH(orders!I$1,products!$A$1:$G$1,0))</f>
        <v>Lib</v>
      </c>
      <c r="J16" t="str">
        <f>INDEX(products!$A$1:$G$49,MATCH(orders!$D16,products!$A$1:$A$49,0),MATCH(orders!J$1,products!$A$1:$G$1,0))</f>
        <v>D</v>
      </c>
      <c r="K16" s="7">
        <f>INDEX(products!$A$1:$G$49,MATCH(orders!$D16,products!$A$1:$A$49,0),MATCH(orders!K$1,products!$A$1:$G$1,0))</f>
        <v>0.2</v>
      </c>
      <c r="L16" s="4">
        <f>INDEX(products!$A$1:$G$49,MATCH(orders!$D16,products!$A$1:$A$49,0),MATCH(orders!L$1,products!$A$1:$G$1,0))</f>
        <v>3.8849999999999998</v>
      </c>
      <c r="M16" s="4">
        <f t="shared" si="0"/>
        <v>11.654999999999999</v>
      </c>
      <c r="N16" t="str" cm="1">
        <f t="array" ref="N16">_xlfn.IFS(I16="Rob","Robusta",I16="Exc","Excelsa",I16="Ara","Arabica",I16="Lib","Liberica")</f>
        <v>Liberica</v>
      </c>
      <c r="O16" t="str" cm="1">
        <f t="array" ref="O16">_xlfn.IFS(J16="M","Medium",J16="L","Large",J16="D","Dark")</f>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_xlfn.XLOOKUP(C17,customers!$A$1:$A$1001,customers!$B$1:$B$1001,,0)</f>
        <v>Llywellyn Oscroft</v>
      </c>
      <c r="G17" s="2" t="str">
        <f>IF(_xlfn.XLOOKUP(C17,customers!$A$1:$A$1001,customers!$C$1:$C$1001,,0)=0,"",_xlfn.XLOOKUP(C17,customers!$A$1:$A$1001,customers!$C$1:$C$1001,,0))</f>
        <v>loscroftf@ebay.co.uk</v>
      </c>
      <c r="H17" s="2" t="str">
        <f>_xlfn.XLOOKUP(C17,customers!$A$1:$A$1001,customers!$G$1:$G$1001,,0)</f>
        <v>United States</v>
      </c>
      <c r="I17" t="str">
        <f>INDEX(products!$A$1:$G$49,MATCH(orders!$D17,products!$A$1:$A$49,0),MATCH(orders!I$1,products!$A$1:$G$1,0))</f>
        <v>Rob</v>
      </c>
      <c r="J17" t="str">
        <f>INDEX(products!$A$1:$G$49,MATCH(orders!$D17,products!$A$1:$A$49,0),MATCH(orders!J$1,products!$A$1:$G$1,0))</f>
        <v>M</v>
      </c>
      <c r="K17" s="7">
        <f>INDEX(products!$A$1:$G$49,MATCH(orders!$D17,products!$A$1:$A$49,0),MATCH(orders!K$1,products!$A$1:$G$1,0))</f>
        <v>2.5</v>
      </c>
      <c r="L17" s="4">
        <f>INDEX(products!$A$1:$G$49,MATCH(orders!$D17,products!$A$1:$A$49,0),MATCH(orders!L$1,products!$A$1:$G$1,0))</f>
        <v>22.884999999999998</v>
      </c>
      <c r="M17" s="4">
        <f t="shared" si="0"/>
        <v>114.42499999999998</v>
      </c>
      <c r="N17" t="str" cm="1">
        <f t="array" ref="N17">_xlfn.IFS(I17="Rob","Robusta",I17="Exc","Excelsa",I17="Ara","Arabica",I17="Lib","Liberica")</f>
        <v>Robusta</v>
      </c>
      <c r="O17" t="str" cm="1">
        <f t="array" ref="O17">_xlfn.IFS(J17="M","Medium",J17="L","Large",J17="D","Dark")</f>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_xlfn.XLOOKUP(C18,customers!$A$1:$A$1001,customers!$B$1:$B$1001,,0)</f>
        <v>Minni Alabaster</v>
      </c>
      <c r="G18" s="2" t="str">
        <f>IF(_xlfn.XLOOKUP(C18,customers!$A$1:$A$1001,customers!$C$1:$C$1001,,0)=0,"",_xlfn.XLOOKUP(C18,customers!$A$1:$A$1001,customers!$C$1:$C$1001,,0))</f>
        <v>malabasterg@hexun.com</v>
      </c>
      <c r="H18" s="2" t="str">
        <f>_xlfn.XLOOKUP(C18,customers!$A$1:$A$1001,customers!$G$1:$G$1001,,0)</f>
        <v>United States</v>
      </c>
      <c r="I18" t="str">
        <f>INDEX(products!$A$1:$G$49,MATCH(orders!$D18,products!$A$1:$A$49,0),MATCH(orders!I$1,products!$A$1:$G$1,0))</f>
        <v>Ara</v>
      </c>
      <c r="J18" t="str">
        <f>INDEX(products!$A$1:$G$49,MATCH(orders!$D18,products!$A$1:$A$49,0),MATCH(orders!J$1,products!$A$1:$G$1,0))</f>
        <v>M</v>
      </c>
      <c r="K18" s="7">
        <f>INDEX(products!$A$1:$G$49,MATCH(orders!$D18,products!$A$1:$A$49,0),MATCH(orders!K$1,products!$A$1:$G$1,0))</f>
        <v>0.2</v>
      </c>
      <c r="L18" s="4">
        <f>INDEX(products!$A$1:$G$49,MATCH(orders!$D18,products!$A$1:$A$49,0),MATCH(orders!L$1,products!$A$1:$G$1,0))</f>
        <v>3.375</v>
      </c>
      <c r="M18" s="4">
        <f t="shared" si="0"/>
        <v>20.25</v>
      </c>
      <c r="N18" t="str" cm="1">
        <f t="array" ref="N18">_xlfn.IFS(I18="Rob","Robusta",I18="Exc","Excelsa",I18="Ara","Arabica",I18="Lib","Liberica")</f>
        <v>Arabica</v>
      </c>
      <c r="O18" t="str" cm="1">
        <f t="array" ref="O18">_xlfn.IFS(J18="M","Medium",J18="L","Large",J18="D","Dark")</f>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_xlfn.XLOOKUP(C19,customers!$A$1:$A$1001,customers!$B$1:$B$1001,,0)</f>
        <v>Rhianon Broxup</v>
      </c>
      <c r="G19" s="2" t="str">
        <f>IF(_xlfn.XLOOKUP(C19,customers!$A$1:$A$1001,customers!$C$1:$C$1001,,0)=0,"",_xlfn.XLOOKUP(C19,customers!$A$1:$A$1001,customers!$C$1:$C$1001,,0))</f>
        <v>rbroxuph@jimdo.com</v>
      </c>
      <c r="H19" s="2" t="str">
        <f>_xlfn.XLOOKUP(C19,customers!$A$1:$A$1001,customers!$G$1:$G$1001,,0)</f>
        <v>United States</v>
      </c>
      <c r="I19" t="str">
        <f>INDEX(products!$A$1:$G$49,MATCH(orders!$D19,products!$A$1:$A$49,0),MATCH(orders!I$1,products!$A$1:$G$1,0))</f>
        <v>Ara</v>
      </c>
      <c r="J19" t="str">
        <f>INDEX(products!$A$1:$G$49,MATCH(orders!$D19,products!$A$1:$A$49,0),MATCH(orders!J$1,products!$A$1:$G$1,0))</f>
        <v>L</v>
      </c>
      <c r="K19" s="7">
        <f>INDEX(products!$A$1:$G$49,MATCH(orders!$D19,products!$A$1:$A$49,0),MATCH(orders!K$1,products!$A$1:$G$1,0))</f>
        <v>1</v>
      </c>
      <c r="L19" s="4">
        <f>INDEX(products!$A$1:$G$49,MATCH(orders!$D19,products!$A$1:$A$49,0),MATCH(orders!L$1,products!$A$1:$G$1,0))</f>
        <v>12.95</v>
      </c>
      <c r="M19" s="4">
        <f t="shared" si="0"/>
        <v>77.699999999999989</v>
      </c>
      <c r="N19" t="str" cm="1">
        <f t="array" ref="N19">_xlfn.IFS(I19="Rob","Robusta",I19="Exc","Excelsa",I19="Ara","Arabica",I19="Lib","Liberica")</f>
        <v>Arabica</v>
      </c>
      <c r="O19" t="str" cm="1">
        <f t="array" ref="O19">_xlfn.IFS(J19="M","Medium",J19="L","Large",J19="D","Dark")</f>
        <v>Large</v>
      </c>
      <c r="P19" t="str">
        <f>_xlfn.XLOOKUP(Orders[[#This Row],[Customer ID]],customers!$A$1:$A$1001,customers!$I$1:$I$1001,,0)</f>
        <v>No</v>
      </c>
    </row>
    <row r="20" spans="1:16" x14ac:dyDescent="0.35">
      <c r="A20" s="2" t="s">
        <v>593</v>
      </c>
      <c r="B20" s="3">
        <v>43629</v>
      </c>
      <c r="C20" s="2" t="s">
        <v>594</v>
      </c>
      <c r="D20" t="s">
        <v>6149</v>
      </c>
      <c r="E20" s="2">
        <v>4</v>
      </c>
      <c r="F20" s="2" t="str">
        <f>_xlfn.XLOOKUP(C20,customers!$A$1:$A$1001,customers!$B$1:$B$1001,,0)</f>
        <v>Pall Redford</v>
      </c>
      <c r="G20" s="2" t="str">
        <f>IF(_xlfn.XLOOKUP(C20,customers!$A$1:$A$1001,customers!$C$1:$C$1001,,0)=0,"",_xlfn.XLOOKUP(C20,customers!$A$1:$A$1001,customers!$C$1:$C$1001,,0))</f>
        <v>predfordi@ow.ly</v>
      </c>
      <c r="H20" s="2" t="str">
        <f>_xlfn.XLOOKUP(C20,customers!$A$1:$A$1001,customers!$G$1:$G$1001,,0)</f>
        <v>Ireland</v>
      </c>
      <c r="I20" t="str">
        <f>INDEX(products!$A$1:$G$49,MATCH(orders!$D20,products!$A$1:$A$49,0),MATCH(orders!I$1,products!$A$1:$G$1,0))</f>
        <v>Rob</v>
      </c>
      <c r="J20" t="str">
        <f>INDEX(products!$A$1:$G$49,MATCH(orders!$D20,products!$A$1:$A$49,0),MATCH(orders!J$1,products!$A$1:$G$1,0))</f>
        <v>D</v>
      </c>
      <c r="K20" s="7">
        <f>INDEX(products!$A$1:$G$49,MATCH(orders!$D20,products!$A$1:$A$49,0),MATCH(orders!K$1,products!$A$1:$G$1,0))</f>
        <v>2.5</v>
      </c>
      <c r="L20" s="4">
        <f>INDEX(products!$A$1:$G$49,MATCH(orders!$D20,products!$A$1:$A$49,0),MATCH(orders!L$1,products!$A$1:$G$1,0))</f>
        <v>20.584999999999997</v>
      </c>
      <c r="M20" s="4">
        <f t="shared" si="0"/>
        <v>82.339999999999989</v>
      </c>
      <c r="N20" t="str" cm="1">
        <f t="array" ref="N20">_xlfn.IFS(I20="Rob","Robusta",I20="Exc","Excelsa",I20="Ara","Arabica",I20="Lib","Liberica")</f>
        <v>Robusta</v>
      </c>
      <c r="O20" t="str" cm="1">
        <f t="array" ref="O20">_xlfn.IFS(J20="M","Medium",J20="L","Large",J20="D","Dark")</f>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_xlfn.XLOOKUP(C21,customers!$A$1:$A$1001,customers!$B$1:$B$1001,,0)</f>
        <v>Aurea Corradino</v>
      </c>
      <c r="G21" s="2" t="str">
        <f>IF(_xlfn.XLOOKUP(C21,customers!$A$1:$A$1001,customers!$C$1:$C$1001,,0)=0,"",_xlfn.XLOOKUP(C21,customers!$A$1:$A$1001,customers!$C$1:$C$1001,,0))</f>
        <v>acorradinoj@harvard.edu</v>
      </c>
      <c r="H21" s="2" t="str">
        <f>_xlfn.XLOOKUP(C21,customers!$A$1:$A$1001,customers!$G$1:$G$1001,,0)</f>
        <v>United States</v>
      </c>
      <c r="I21" t="str">
        <f>INDEX(products!$A$1:$G$49,MATCH(orders!$D21,products!$A$1:$A$49,0),MATCH(orders!I$1,products!$A$1:$G$1,0))</f>
        <v>Ara</v>
      </c>
      <c r="J21" t="str">
        <f>INDEX(products!$A$1:$G$49,MATCH(orders!$D21,products!$A$1:$A$49,0),MATCH(orders!J$1,products!$A$1:$G$1,0))</f>
        <v>M</v>
      </c>
      <c r="K21" s="7">
        <f>INDEX(products!$A$1:$G$49,MATCH(orders!$D21,products!$A$1:$A$49,0),MATCH(orders!K$1,products!$A$1:$G$1,0))</f>
        <v>0.2</v>
      </c>
      <c r="L21" s="4">
        <f>INDEX(products!$A$1:$G$49,MATCH(orders!$D21,products!$A$1:$A$49,0),MATCH(orders!L$1,products!$A$1:$G$1,0))</f>
        <v>3.375</v>
      </c>
      <c r="M21" s="4">
        <f t="shared" si="0"/>
        <v>16.875</v>
      </c>
      <c r="N21" t="str" cm="1">
        <f t="array" ref="N21">_xlfn.IFS(I21="Rob","Robusta",I21="Exc","Excelsa",I21="Ara","Arabica",I21="Lib","Liberica")</f>
        <v>Arabica</v>
      </c>
      <c r="O21" t="str" cm="1">
        <f t="array" ref="O21">_xlfn.IFS(J21="M","Medium",J21="L","Large",J21="D","Dark")</f>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_xlfn.XLOOKUP(C22,customers!$A$1:$A$1001,customers!$B$1:$B$1001,,0)</f>
        <v>Aurea Corradino</v>
      </c>
      <c r="G22" s="2" t="str">
        <f>IF(_xlfn.XLOOKUP(C22,customers!$A$1:$A$1001,customers!$C$1:$C$1001,,0)=0,"",_xlfn.XLOOKUP(C22,customers!$A$1:$A$1001,customers!$C$1:$C$1001,,0))</f>
        <v>acorradinoj@harvard.edu</v>
      </c>
      <c r="H22" s="2" t="str">
        <f>_xlfn.XLOOKUP(C22,customers!$A$1:$A$1001,customers!$G$1:$G$1001,,0)</f>
        <v>United States</v>
      </c>
      <c r="I22" t="str">
        <f>INDEX(products!$A$1:$G$49,MATCH(orders!$D22,products!$A$1:$A$49,0),MATCH(orders!I$1,products!$A$1:$G$1,0))</f>
        <v>Exc</v>
      </c>
      <c r="J22" t="str">
        <f>INDEX(products!$A$1:$G$49,MATCH(orders!$D22,products!$A$1:$A$49,0),MATCH(orders!J$1,products!$A$1:$G$1,0))</f>
        <v>D</v>
      </c>
      <c r="K22" s="7">
        <f>INDEX(products!$A$1:$G$49,MATCH(orders!$D22,products!$A$1:$A$49,0),MATCH(orders!K$1,products!$A$1:$G$1,0))</f>
        <v>0.2</v>
      </c>
      <c r="L22" s="4">
        <f>INDEX(products!$A$1:$G$49,MATCH(orders!$D22,products!$A$1:$A$49,0),MATCH(orders!L$1,products!$A$1:$G$1,0))</f>
        <v>3.645</v>
      </c>
      <c r="M22" s="4">
        <f t="shared" si="0"/>
        <v>14.58</v>
      </c>
      <c r="N22" t="str" cm="1">
        <f t="array" ref="N22">_xlfn.IFS(I22="Rob","Robusta",I22="Exc","Excelsa",I22="Ara","Arabica",I22="Lib","Liberica")</f>
        <v>Excelsa</v>
      </c>
      <c r="O22" t="str" cm="1">
        <f t="array" ref="O22">_xlfn.IFS(J22="M","Medium",J22="L","Large",J22="D","Dark")</f>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_xlfn.XLOOKUP(C23,customers!$A$1:$A$1001,customers!$B$1:$B$1001,,0)</f>
        <v>Avrit Davidowsky</v>
      </c>
      <c r="G23" s="2" t="str">
        <f>IF(_xlfn.XLOOKUP(C23,customers!$A$1:$A$1001,customers!$C$1:$C$1001,,0)=0,"",_xlfn.XLOOKUP(C23,customers!$A$1:$A$1001,customers!$C$1:$C$1001,,0))</f>
        <v>adavidowskyl@netvibes.com</v>
      </c>
      <c r="H23" s="2" t="str">
        <f>_xlfn.XLOOKUP(C23,customers!$A$1:$A$1001,customers!$G$1:$G$1001,,0)</f>
        <v>United States</v>
      </c>
      <c r="I23" t="str">
        <f>INDEX(products!$A$1:$G$49,MATCH(orders!$D23,products!$A$1:$A$49,0),MATCH(orders!I$1,products!$A$1:$G$1,0))</f>
        <v>Ara</v>
      </c>
      <c r="J23" t="str">
        <f>INDEX(products!$A$1:$G$49,MATCH(orders!$D23,products!$A$1:$A$49,0),MATCH(orders!J$1,products!$A$1:$G$1,0))</f>
        <v>D</v>
      </c>
      <c r="K23" s="7">
        <f>INDEX(products!$A$1:$G$49,MATCH(orders!$D23,products!$A$1:$A$49,0),MATCH(orders!K$1,products!$A$1:$G$1,0))</f>
        <v>0.2</v>
      </c>
      <c r="L23" s="4">
        <f>INDEX(products!$A$1:$G$49,MATCH(orders!$D23,products!$A$1:$A$49,0),MATCH(orders!L$1,products!$A$1:$G$1,0))</f>
        <v>2.9849999999999999</v>
      </c>
      <c r="M23" s="4">
        <f t="shared" si="0"/>
        <v>17.91</v>
      </c>
      <c r="N23" t="str" cm="1">
        <f t="array" ref="N23">_xlfn.IFS(I23="Rob","Robusta",I23="Exc","Excelsa",I23="Ara","Arabica",I23="Lib","Liberica")</f>
        <v>Arabica</v>
      </c>
      <c r="O23" t="str" cm="1">
        <f t="array" ref="O23">_xlfn.IFS(J23="M","Medium",J23="L","Large",J23="D","Dark")</f>
        <v>Dark</v>
      </c>
      <c r="P23" t="str">
        <f>_xlfn.XLOOKUP(Orders[[#This Row],[Customer ID]],customers!$A$1:$A$1001,customers!$I$1:$I$1001,,0)</f>
        <v>No</v>
      </c>
    </row>
    <row r="24" spans="1:16" x14ac:dyDescent="0.35">
      <c r="A24" s="2" t="s">
        <v>614</v>
      </c>
      <c r="B24" s="3">
        <v>44218</v>
      </c>
      <c r="C24" s="2" t="s">
        <v>615</v>
      </c>
      <c r="D24" t="s">
        <v>6151</v>
      </c>
      <c r="E24" s="2">
        <v>4</v>
      </c>
      <c r="F24" s="2" t="str">
        <f>_xlfn.XLOOKUP(C24,customers!$A$1:$A$1001,customers!$B$1:$B$1001,,0)</f>
        <v>Annabel Antuk</v>
      </c>
      <c r="G24" s="2" t="str">
        <f>IF(_xlfn.XLOOKUP(C24,customers!$A$1:$A$1001,customers!$C$1:$C$1001,,0)=0,"",_xlfn.XLOOKUP(C24,customers!$A$1:$A$1001,customers!$C$1:$C$1001,,0))</f>
        <v>aantukm@kickstarter.com</v>
      </c>
      <c r="H24" s="2" t="str">
        <f>_xlfn.XLOOKUP(C24,customers!$A$1:$A$1001,customers!$G$1:$G$1001,,0)</f>
        <v>United States</v>
      </c>
      <c r="I24" t="str">
        <f>INDEX(products!$A$1:$G$49,MATCH(orders!$D24,products!$A$1:$A$49,0),MATCH(orders!I$1,products!$A$1:$G$1,0))</f>
        <v>Rob</v>
      </c>
      <c r="J24" t="str">
        <f>INDEX(products!$A$1:$G$49,MATCH(orders!$D24,products!$A$1:$A$49,0),MATCH(orders!J$1,products!$A$1:$G$1,0))</f>
        <v>M</v>
      </c>
      <c r="K24" s="7">
        <f>INDEX(products!$A$1:$G$49,MATCH(orders!$D24,products!$A$1:$A$49,0),MATCH(orders!K$1,products!$A$1:$G$1,0))</f>
        <v>2.5</v>
      </c>
      <c r="L24" s="4">
        <f>INDEX(products!$A$1:$G$49,MATCH(orders!$D24,products!$A$1:$A$49,0),MATCH(orders!L$1,products!$A$1:$G$1,0))</f>
        <v>22.884999999999998</v>
      </c>
      <c r="M24" s="4">
        <f t="shared" si="0"/>
        <v>91.539999999999992</v>
      </c>
      <c r="N24" t="str" cm="1">
        <f t="array" ref="N24">_xlfn.IFS(I24="Rob","Robusta",I24="Exc","Excelsa",I24="Ara","Arabica",I24="Lib","Liberica")</f>
        <v>Robusta</v>
      </c>
      <c r="O24" t="str" cm="1">
        <f t="array" ref="O24">_xlfn.IFS(J24="M","Medium",J24="L","Large",J24="D","Dark")</f>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_xlfn.XLOOKUP(C25,customers!$A$1:$A$1001,customers!$B$1:$B$1001,,0)</f>
        <v>Iorgo Kleinert</v>
      </c>
      <c r="G25" s="2" t="str">
        <f>IF(_xlfn.XLOOKUP(C25,customers!$A$1:$A$1001,customers!$C$1:$C$1001,,0)=0,"",_xlfn.XLOOKUP(C25,customers!$A$1:$A$1001,customers!$C$1:$C$1001,,0))</f>
        <v>ikleinertn@timesonline.co.uk</v>
      </c>
      <c r="H25" s="2" t="str">
        <f>_xlfn.XLOOKUP(C25,customers!$A$1:$A$1001,customers!$G$1:$G$1001,,0)</f>
        <v>United States</v>
      </c>
      <c r="I25" t="str">
        <f>INDEX(products!$A$1:$G$49,MATCH(orders!$D25,products!$A$1:$A$49,0),MATCH(orders!I$1,products!$A$1:$G$1,0))</f>
        <v>Ara</v>
      </c>
      <c r="J25" t="str">
        <f>INDEX(products!$A$1:$G$49,MATCH(orders!$D25,products!$A$1:$A$49,0),MATCH(orders!J$1,products!$A$1:$G$1,0))</f>
        <v>D</v>
      </c>
      <c r="K25" s="7">
        <f>INDEX(products!$A$1:$G$49,MATCH(orders!$D25,products!$A$1:$A$49,0),MATCH(orders!K$1,products!$A$1:$G$1,0))</f>
        <v>0.2</v>
      </c>
      <c r="L25" s="4">
        <f>INDEX(products!$A$1:$G$49,MATCH(orders!$D25,products!$A$1:$A$49,0),MATCH(orders!L$1,products!$A$1:$G$1,0))</f>
        <v>2.9849999999999999</v>
      </c>
      <c r="M25" s="4">
        <f t="shared" si="0"/>
        <v>11.94</v>
      </c>
      <c r="N25" t="str" cm="1">
        <f t="array" ref="N25">_xlfn.IFS(I25="Rob","Robusta",I25="Exc","Excelsa",I25="Ara","Arabica",I25="Lib","Liberica")</f>
        <v>Arabica</v>
      </c>
      <c r="O25" t="str" cm="1">
        <f t="array" ref="O25">_xlfn.IFS(J25="M","Medium",J25="L","Large",J25="D","Dark")</f>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_xlfn.XLOOKUP(C26,customers!$A$1:$A$1001,customers!$B$1:$B$1001,,0)</f>
        <v>Chrisy Blofeld</v>
      </c>
      <c r="G26" s="2" t="str">
        <f>IF(_xlfn.XLOOKUP(C26,customers!$A$1:$A$1001,customers!$C$1:$C$1001,,0)=0,"",_xlfn.XLOOKUP(C26,customers!$A$1:$A$1001,customers!$C$1:$C$1001,,0))</f>
        <v>cblofeldo@amazon.co.uk</v>
      </c>
      <c r="H26" s="2" t="str">
        <f>_xlfn.XLOOKUP(C26,customers!$A$1:$A$1001,customers!$G$1:$G$1001,,0)</f>
        <v>United States</v>
      </c>
      <c r="I26" t="str">
        <f>INDEX(products!$A$1:$G$49,MATCH(orders!$D26,products!$A$1:$A$49,0),MATCH(orders!I$1,products!$A$1:$G$1,0))</f>
        <v>Ara</v>
      </c>
      <c r="J26" t="str">
        <f>INDEX(products!$A$1:$G$49,MATCH(orders!$D26,products!$A$1:$A$49,0),MATCH(orders!J$1,products!$A$1:$G$1,0))</f>
        <v>M</v>
      </c>
      <c r="K26" s="7">
        <f>INDEX(products!$A$1:$G$49,MATCH(orders!$D26,products!$A$1:$A$49,0),MATCH(orders!K$1,products!$A$1:$G$1,0))</f>
        <v>1</v>
      </c>
      <c r="L26" s="4">
        <f>INDEX(products!$A$1:$G$49,MATCH(orders!$D26,products!$A$1:$A$49,0),MATCH(orders!L$1,products!$A$1:$G$1,0))</f>
        <v>11.25</v>
      </c>
      <c r="M26" s="4">
        <f t="shared" si="0"/>
        <v>11.25</v>
      </c>
      <c r="N26" t="str" cm="1">
        <f t="array" ref="N26">_xlfn.IFS(I26="Rob","Robusta",I26="Exc","Excelsa",I26="Ara","Arabica",I26="Lib","Liberica")</f>
        <v>Arabica</v>
      </c>
      <c r="O26" t="str" cm="1">
        <f t="array" ref="O26">_xlfn.IFS(J26="M","Medium",J26="L","Large",J26="D","Dark")</f>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_xlfn.XLOOKUP(C27,customers!$A$1:$A$1001,customers!$B$1:$B$1001,,0)</f>
        <v>Culley Farris</v>
      </c>
      <c r="G27" s="2" t="str">
        <f>IF(_xlfn.XLOOKUP(C27,customers!$A$1:$A$1001,customers!$C$1:$C$1001,,0)=0,"",_xlfn.XLOOKUP(C27,customers!$A$1:$A$1001,customers!$C$1:$C$1001,,0))</f>
        <v/>
      </c>
      <c r="H27" s="2" t="str">
        <f>_xlfn.XLOOKUP(C27,customers!$A$1:$A$1001,customers!$G$1:$G$1001,,0)</f>
        <v>United States</v>
      </c>
      <c r="I27" t="str">
        <f>INDEX(products!$A$1:$G$49,MATCH(orders!$D27,products!$A$1:$A$49,0),MATCH(orders!I$1,products!$A$1:$G$1,0))</f>
        <v>Exc</v>
      </c>
      <c r="J27" t="str">
        <f>INDEX(products!$A$1:$G$49,MATCH(orders!$D27,products!$A$1:$A$49,0),MATCH(orders!J$1,products!$A$1:$G$1,0))</f>
        <v>M</v>
      </c>
      <c r="K27" s="7">
        <f>INDEX(products!$A$1:$G$49,MATCH(orders!$D27,products!$A$1:$A$49,0),MATCH(orders!K$1,products!$A$1:$G$1,0))</f>
        <v>0.2</v>
      </c>
      <c r="L27" s="4">
        <f>INDEX(products!$A$1:$G$49,MATCH(orders!$D27,products!$A$1:$A$49,0),MATCH(orders!L$1,products!$A$1:$G$1,0))</f>
        <v>4.125</v>
      </c>
      <c r="M27" s="4">
        <f t="shared" si="0"/>
        <v>12.375</v>
      </c>
      <c r="N27" t="str" cm="1">
        <f t="array" ref="N27">_xlfn.IFS(I27="Rob","Robusta",I27="Exc","Excelsa",I27="Ara","Arabica",I27="Lib","Liberica")</f>
        <v>Excelsa</v>
      </c>
      <c r="O27" t="str" cm="1">
        <f t="array" ref="O27">_xlfn.IFS(J27="M","Medium",J27="L","Large",J27="D","Dark")</f>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_xlfn.XLOOKUP(C28,customers!$A$1:$A$1001,customers!$B$1:$B$1001,,0)</f>
        <v>Selene Shales</v>
      </c>
      <c r="G28" s="2" t="str">
        <f>IF(_xlfn.XLOOKUP(C28,customers!$A$1:$A$1001,customers!$C$1:$C$1001,,0)=0,"",_xlfn.XLOOKUP(C28,customers!$A$1:$A$1001,customers!$C$1:$C$1001,,0))</f>
        <v>sshalesq@umich.edu</v>
      </c>
      <c r="H28" s="2" t="str">
        <f>_xlfn.XLOOKUP(C28,customers!$A$1:$A$1001,customers!$G$1:$G$1001,,0)</f>
        <v>United States</v>
      </c>
      <c r="I28" t="str">
        <f>INDEX(products!$A$1:$G$49,MATCH(orders!$D28,products!$A$1:$A$49,0),MATCH(orders!I$1,products!$A$1:$G$1,0))</f>
        <v>Ara</v>
      </c>
      <c r="J28" t="str">
        <f>INDEX(products!$A$1:$G$49,MATCH(orders!$D28,products!$A$1:$A$49,0),MATCH(orders!J$1,products!$A$1:$G$1,0))</f>
        <v>M</v>
      </c>
      <c r="K28" s="7">
        <f>INDEX(products!$A$1:$G$49,MATCH(orders!$D28,products!$A$1:$A$49,0),MATCH(orders!K$1,products!$A$1:$G$1,0))</f>
        <v>0.5</v>
      </c>
      <c r="L28" s="4">
        <f>INDEX(products!$A$1:$G$49,MATCH(orders!$D28,products!$A$1:$A$49,0),MATCH(orders!L$1,products!$A$1:$G$1,0))</f>
        <v>6.75</v>
      </c>
      <c r="M28" s="4">
        <f t="shared" si="0"/>
        <v>27</v>
      </c>
      <c r="N28" t="str" cm="1">
        <f t="array" ref="N28">_xlfn.IFS(I28="Rob","Robusta",I28="Exc","Excelsa",I28="Ara","Arabica",I28="Lib","Liberica")</f>
        <v>Arabica</v>
      </c>
      <c r="O28" t="str" cm="1">
        <f t="array" ref="O28">_xlfn.IFS(J28="M","Medium",J28="L","Large",J28="D","Dark")</f>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_xlfn.XLOOKUP(C29,customers!$A$1:$A$1001,customers!$B$1:$B$1001,,0)</f>
        <v>Vivie Danneil</v>
      </c>
      <c r="G29" s="2" t="str">
        <f>IF(_xlfn.XLOOKUP(C29,customers!$A$1:$A$1001,customers!$C$1:$C$1001,,0)=0,"",_xlfn.XLOOKUP(C29,customers!$A$1:$A$1001,customers!$C$1:$C$1001,,0))</f>
        <v>vdanneilr@mtv.com</v>
      </c>
      <c r="H29" s="2" t="str">
        <f>_xlfn.XLOOKUP(C29,customers!$A$1:$A$1001,customers!$G$1:$G$1001,,0)</f>
        <v>Ireland</v>
      </c>
      <c r="I29" t="str">
        <f>INDEX(products!$A$1:$G$49,MATCH(orders!$D29,products!$A$1:$A$49,0),MATCH(orders!I$1,products!$A$1:$G$1,0))</f>
        <v>Ara</v>
      </c>
      <c r="J29" t="str">
        <f>INDEX(products!$A$1:$G$49,MATCH(orders!$D29,products!$A$1:$A$49,0),MATCH(orders!J$1,products!$A$1:$G$1,0))</f>
        <v>M</v>
      </c>
      <c r="K29" s="7">
        <f>INDEX(products!$A$1:$G$49,MATCH(orders!$D29,products!$A$1:$A$49,0),MATCH(orders!K$1,products!$A$1:$G$1,0))</f>
        <v>0.2</v>
      </c>
      <c r="L29" s="4">
        <f>INDEX(products!$A$1:$G$49,MATCH(orders!$D29,products!$A$1:$A$49,0),MATCH(orders!L$1,products!$A$1:$G$1,0))</f>
        <v>3.375</v>
      </c>
      <c r="M29" s="4">
        <f t="shared" si="0"/>
        <v>16.875</v>
      </c>
      <c r="N29" t="str" cm="1">
        <f t="array" ref="N29">_xlfn.IFS(I29="Rob","Robusta",I29="Exc","Excelsa",I29="Ara","Arabica",I29="Lib","Liberica")</f>
        <v>Arabica</v>
      </c>
      <c r="O29" t="str" cm="1">
        <f t="array" ref="O29">_xlfn.IFS(J29="M","Medium",J29="L","Large",J29="D","Dark")</f>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_xlfn.XLOOKUP(C30,customers!$A$1:$A$1001,customers!$B$1:$B$1001,,0)</f>
        <v>Theresita Newbury</v>
      </c>
      <c r="G30" s="2" t="str">
        <f>IF(_xlfn.XLOOKUP(C30,customers!$A$1:$A$1001,customers!$C$1:$C$1001,,0)=0,"",_xlfn.XLOOKUP(C30,customers!$A$1:$A$1001,customers!$C$1:$C$1001,,0))</f>
        <v>tnewburys@usda.gov</v>
      </c>
      <c r="H30" s="2" t="str">
        <f>_xlfn.XLOOKUP(C30,customers!$A$1:$A$1001,customers!$G$1:$G$1001,,0)</f>
        <v>Ireland</v>
      </c>
      <c r="I30" t="str">
        <f>INDEX(products!$A$1:$G$49,MATCH(orders!$D30,products!$A$1:$A$49,0),MATCH(orders!I$1,products!$A$1:$G$1,0))</f>
        <v>Ara</v>
      </c>
      <c r="J30" t="str">
        <f>INDEX(products!$A$1:$G$49,MATCH(orders!$D30,products!$A$1:$A$49,0),MATCH(orders!J$1,products!$A$1:$G$1,0))</f>
        <v>D</v>
      </c>
      <c r="K30" s="7">
        <f>INDEX(products!$A$1:$G$49,MATCH(orders!$D30,products!$A$1:$A$49,0),MATCH(orders!K$1,products!$A$1:$G$1,0))</f>
        <v>0.5</v>
      </c>
      <c r="L30" s="4">
        <f>INDEX(products!$A$1:$G$49,MATCH(orders!$D30,products!$A$1:$A$49,0),MATCH(orders!L$1,products!$A$1:$G$1,0))</f>
        <v>5.97</v>
      </c>
      <c r="M30" s="4">
        <f t="shared" si="0"/>
        <v>17.91</v>
      </c>
      <c r="N30" t="str" cm="1">
        <f t="array" ref="N30">_xlfn.IFS(I30="Rob","Robusta",I30="Exc","Excelsa",I30="Ara","Arabica",I30="Lib","Liberica")</f>
        <v>Arabica</v>
      </c>
      <c r="O30" t="str" cm="1">
        <f t="array" ref="O30">_xlfn.IFS(J30="M","Medium",J30="L","Large",J30="D","Dark")</f>
        <v>Dark</v>
      </c>
      <c r="P30" t="str">
        <f>_xlfn.XLOOKUP(Orders[[#This Row],[Customer ID]],customers!$A$1:$A$1001,customers!$I$1:$I$1001,,0)</f>
        <v>No</v>
      </c>
    </row>
    <row r="31" spans="1:16" x14ac:dyDescent="0.35">
      <c r="A31" s="2" t="s">
        <v>655</v>
      </c>
      <c r="B31" s="3">
        <v>43516</v>
      </c>
      <c r="C31" s="2" t="s">
        <v>656</v>
      </c>
      <c r="D31" t="s">
        <v>6147</v>
      </c>
      <c r="E31" s="2">
        <v>4</v>
      </c>
      <c r="F31" s="2" t="str">
        <f>_xlfn.XLOOKUP(C31,customers!$A$1:$A$1001,customers!$B$1:$B$1001,,0)</f>
        <v>Mozelle Calcutt</v>
      </c>
      <c r="G31" s="2" t="str">
        <f>IF(_xlfn.XLOOKUP(C31,customers!$A$1:$A$1001,customers!$C$1:$C$1001,,0)=0,"",_xlfn.XLOOKUP(C31,customers!$A$1:$A$1001,customers!$C$1:$C$1001,,0))</f>
        <v>mcalcuttt@baidu.com</v>
      </c>
      <c r="H31" s="2" t="str">
        <f>_xlfn.XLOOKUP(C31,customers!$A$1:$A$1001,customers!$G$1:$G$1001,,0)</f>
        <v>Ireland</v>
      </c>
      <c r="I31" t="str">
        <f>INDEX(products!$A$1:$G$49,MATCH(orders!$D31,products!$A$1:$A$49,0),MATCH(orders!I$1,products!$A$1:$G$1,0))</f>
        <v>Ara</v>
      </c>
      <c r="J31" t="str">
        <f>INDEX(products!$A$1:$G$49,MATCH(orders!$D31,products!$A$1:$A$49,0),MATCH(orders!J$1,products!$A$1:$G$1,0))</f>
        <v>D</v>
      </c>
      <c r="K31" s="7">
        <f>INDEX(products!$A$1:$G$49,MATCH(orders!$D31,products!$A$1:$A$49,0),MATCH(orders!K$1,products!$A$1:$G$1,0))</f>
        <v>1</v>
      </c>
      <c r="L31" s="4">
        <f>INDEX(products!$A$1:$G$49,MATCH(orders!$D31,products!$A$1:$A$49,0),MATCH(orders!L$1,products!$A$1:$G$1,0))</f>
        <v>9.9499999999999993</v>
      </c>
      <c r="M31" s="4">
        <f t="shared" si="0"/>
        <v>39.799999999999997</v>
      </c>
      <c r="N31" t="str" cm="1">
        <f t="array" ref="N31">_xlfn.IFS(I31="Rob","Robusta",I31="Exc","Excelsa",I31="Ara","Arabica",I31="Lib","Liberica")</f>
        <v>Arabica</v>
      </c>
      <c r="O31" t="str" cm="1">
        <f t="array" ref="O31">_xlfn.IFS(J31="M","Medium",J31="L","Large",J31="D","Dark")</f>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_xlfn.XLOOKUP(C32,customers!$A$1:$A$1001,customers!$B$1:$B$1001,,0)</f>
        <v>Adrian Swaine</v>
      </c>
      <c r="G32" s="2" t="str">
        <f>IF(_xlfn.XLOOKUP(C32,customers!$A$1:$A$1001,customers!$C$1:$C$1001,,0)=0,"",_xlfn.XLOOKUP(C32,customers!$A$1:$A$1001,customers!$C$1:$C$1001,,0))</f>
        <v/>
      </c>
      <c r="H32" s="2" t="str">
        <f>_xlfn.XLOOKUP(C32,customers!$A$1:$A$1001,customers!$G$1:$G$1001,,0)</f>
        <v>United States</v>
      </c>
      <c r="I32" t="str">
        <f>INDEX(products!$A$1:$G$49,MATCH(orders!$D32,products!$A$1:$A$49,0),MATCH(orders!I$1,products!$A$1:$G$1,0))</f>
        <v>Lib</v>
      </c>
      <c r="J32" t="str">
        <f>INDEX(products!$A$1:$G$49,MATCH(orders!$D32,products!$A$1:$A$49,0),MATCH(orders!J$1,products!$A$1:$G$1,0))</f>
        <v>M</v>
      </c>
      <c r="K32" s="7">
        <f>INDEX(products!$A$1:$G$49,MATCH(orders!$D32,products!$A$1:$A$49,0),MATCH(orders!K$1,products!$A$1:$G$1,0))</f>
        <v>0.2</v>
      </c>
      <c r="L32" s="4">
        <f>INDEX(products!$A$1:$G$49,MATCH(orders!$D32,products!$A$1:$A$49,0),MATCH(orders!L$1,products!$A$1:$G$1,0))</f>
        <v>4.3650000000000002</v>
      </c>
      <c r="M32" s="4">
        <f t="shared" si="0"/>
        <v>21.825000000000003</v>
      </c>
      <c r="N32" t="str" cm="1">
        <f t="array" ref="N32">_xlfn.IFS(I32="Rob","Robusta",I32="Exc","Excelsa",I32="Ara","Arabica",I32="Lib","Liberica")</f>
        <v>Liberica</v>
      </c>
      <c r="O32" t="str" cm="1">
        <f t="array" ref="O32">_xlfn.IFS(J32="M","Medium",J32="L","Large",J32="D","Dark")</f>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_xlfn.XLOOKUP(C33,customers!$A$1:$A$1001,customers!$B$1:$B$1001,,0)</f>
        <v>Adrian Swaine</v>
      </c>
      <c r="G33" s="2" t="str">
        <f>IF(_xlfn.XLOOKUP(C33,customers!$A$1:$A$1001,customers!$C$1:$C$1001,,0)=0,"",_xlfn.XLOOKUP(C33,customers!$A$1:$A$1001,customers!$C$1:$C$1001,,0))</f>
        <v/>
      </c>
      <c r="H33" s="2" t="str">
        <f>_xlfn.XLOOKUP(C33,customers!$A$1:$A$1001,customers!$G$1:$G$1001,,0)</f>
        <v>United States</v>
      </c>
      <c r="I33" t="str">
        <f>INDEX(products!$A$1:$G$49,MATCH(orders!$D33,products!$A$1:$A$49,0),MATCH(orders!I$1,products!$A$1:$G$1,0))</f>
        <v>Ara</v>
      </c>
      <c r="J33" t="str">
        <f>INDEX(products!$A$1:$G$49,MATCH(orders!$D33,products!$A$1:$A$49,0),MATCH(orders!J$1,products!$A$1:$G$1,0))</f>
        <v>D</v>
      </c>
      <c r="K33" s="7">
        <f>INDEX(products!$A$1:$G$49,MATCH(orders!$D33,products!$A$1:$A$49,0),MATCH(orders!K$1,products!$A$1:$G$1,0))</f>
        <v>0.5</v>
      </c>
      <c r="L33" s="4">
        <f>INDEX(products!$A$1:$G$49,MATCH(orders!$D33,products!$A$1:$A$49,0),MATCH(orders!L$1,products!$A$1:$G$1,0))</f>
        <v>5.97</v>
      </c>
      <c r="M33" s="4">
        <f t="shared" si="0"/>
        <v>35.82</v>
      </c>
      <c r="N33" t="str" cm="1">
        <f t="array" ref="N33">_xlfn.IFS(I33="Rob","Robusta",I33="Exc","Excelsa",I33="Ara","Arabica",I33="Lib","Liberica")</f>
        <v>Arabica</v>
      </c>
      <c r="O33" t="str" cm="1">
        <f t="array" ref="O33">_xlfn.IFS(J33="M","Medium",J33="L","Large",J33="D","Dark")</f>
        <v>Dark</v>
      </c>
      <c r="P33" t="str">
        <f>_xlfn.XLOOKUP(Orders[[#This Row],[Customer ID]],customers!$A$1:$A$1001,customers!$I$1:$I$1001,,0)</f>
        <v>No</v>
      </c>
    </row>
    <row r="34" spans="1:16" x14ac:dyDescent="0.35">
      <c r="A34" s="2" t="s">
        <v>661</v>
      </c>
      <c r="B34" s="3">
        <v>44464</v>
      </c>
      <c r="C34" s="2" t="s">
        <v>662</v>
      </c>
      <c r="D34" t="s">
        <v>6160</v>
      </c>
      <c r="E34" s="2">
        <v>6</v>
      </c>
      <c r="F34" s="2" t="str">
        <f>_xlfn.XLOOKUP(C34,customers!$A$1:$A$1001,customers!$B$1:$B$1001,,0)</f>
        <v>Adrian Swaine</v>
      </c>
      <c r="G34" s="2" t="str">
        <f>IF(_xlfn.XLOOKUP(C34,customers!$A$1:$A$1001,customers!$C$1:$C$1001,,0)=0,"",_xlfn.XLOOKUP(C34,customers!$A$1:$A$1001,customers!$C$1:$C$1001,,0))</f>
        <v/>
      </c>
      <c r="H34" s="2" t="str">
        <f>_xlfn.XLOOKUP(C34,customers!$A$1:$A$1001,customers!$G$1:$G$1001,,0)</f>
        <v>United States</v>
      </c>
      <c r="I34" t="str">
        <f>INDEX(products!$A$1:$G$49,MATCH(orders!$D34,products!$A$1:$A$49,0),MATCH(orders!I$1,products!$A$1:$G$1,0))</f>
        <v>Lib</v>
      </c>
      <c r="J34" t="str">
        <f>INDEX(products!$A$1:$G$49,MATCH(orders!$D34,products!$A$1:$A$49,0),MATCH(orders!J$1,products!$A$1:$G$1,0))</f>
        <v>M</v>
      </c>
      <c r="K34" s="7">
        <f>INDEX(products!$A$1:$G$49,MATCH(orders!$D34,products!$A$1:$A$49,0),MATCH(orders!K$1,products!$A$1:$G$1,0))</f>
        <v>0.5</v>
      </c>
      <c r="L34" s="4">
        <f>INDEX(products!$A$1:$G$49,MATCH(orders!$D34,products!$A$1:$A$49,0),MATCH(orders!L$1,products!$A$1:$G$1,0))</f>
        <v>8.73</v>
      </c>
      <c r="M34" s="4">
        <f t="shared" si="0"/>
        <v>52.38</v>
      </c>
      <c r="N34" t="str" cm="1">
        <f t="array" ref="N34">_xlfn.IFS(I34="Rob","Robusta",I34="Exc","Excelsa",I34="Ara","Arabica",I34="Lib","Liberica")</f>
        <v>Liberica</v>
      </c>
      <c r="O34" t="str" cm="1">
        <f t="array" ref="O34">_xlfn.IFS(J34="M","Medium",J34="L","Large",J34="D","Dark")</f>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_xlfn.XLOOKUP(C35,customers!$A$1:$A$1001,customers!$B$1:$B$1001,,0)</f>
        <v>Gallard Gatheral</v>
      </c>
      <c r="G35" s="2" t="str">
        <f>IF(_xlfn.XLOOKUP(C35,customers!$A$1:$A$1001,customers!$C$1:$C$1001,,0)=0,"",_xlfn.XLOOKUP(C35,customers!$A$1:$A$1001,customers!$C$1:$C$1001,,0))</f>
        <v>ggatheralx@123-reg.co.uk</v>
      </c>
      <c r="H35" s="2" t="str">
        <f>_xlfn.XLOOKUP(C35,customers!$A$1:$A$1001,customers!$G$1:$G$1001,,0)</f>
        <v>United States</v>
      </c>
      <c r="I35" t="str">
        <f>INDEX(products!$A$1:$G$49,MATCH(orders!$D35,products!$A$1:$A$49,0),MATCH(orders!I$1,products!$A$1:$G$1,0))</f>
        <v>Lib</v>
      </c>
      <c r="J35" t="str">
        <f>INDEX(products!$A$1:$G$49,MATCH(orders!$D35,products!$A$1:$A$49,0),MATCH(orders!J$1,products!$A$1:$G$1,0))</f>
        <v>L</v>
      </c>
      <c r="K35" s="7">
        <f>INDEX(products!$A$1:$G$49,MATCH(orders!$D35,products!$A$1:$A$49,0),MATCH(orders!K$1,products!$A$1:$G$1,0))</f>
        <v>0.2</v>
      </c>
      <c r="L35" s="4">
        <f>INDEX(products!$A$1:$G$49,MATCH(orders!$D35,products!$A$1:$A$49,0),MATCH(orders!L$1,products!$A$1:$G$1,0))</f>
        <v>4.7549999999999999</v>
      </c>
      <c r="M35" s="4">
        <f t="shared" si="0"/>
        <v>23.774999999999999</v>
      </c>
      <c r="N35" t="str" cm="1">
        <f t="array" ref="N35">_xlfn.IFS(I35="Rob","Robusta",I35="Exc","Excelsa",I35="Ara","Arabica",I35="Lib","Liberica")</f>
        <v>Liberica</v>
      </c>
      <c r="O35" t="str" cm="1">
        <f t="array" ref="O35">_xlfn.IFS(J35="M","Medium",J35="L","Large",J35="D","Dark")</f>
        <v>Large</v>
      </c>
      <c r="P35" t="str">
        <f>_xlfn.XLOOKUP(Orders[[#This Row],[Customer ID]],customers!$A$1:$A$1001,customers!$I$1:$I$1001,,0)</f>
        <v>No</v>
      </c>
    </row>
    <row r="36" spans="1:16" x14ac:dyDescent="0.35">
      <c r="A36" s="2" t="s">
        <v>681</v>
      </c>
      <c r="B36" s="3">
        <v>44011</v>
      </c>
      <c r="C36" s="2" t="s">
        <v>682</v>
      </c>
      <c r="D36" t="s">
        <v>6161</v>
      </c>
      <c r="E36" s="2">
        <v>6</v>
      </c>
      <c r="F36" s="2" t="str">
        <f>_xlfn.XLOOKUP(C36,customers!$A$1:$A$1001,customers!$B$1:$B$1001,,0)</f>
        <v>Una Welberry</v>
      </c>
      <c r="G36" s="2" t="str">
        <f>IF(_xlfn.XLOOKUP(C36,customers!$A$1:$A$1001,customers!$C$1:$C$1001,,0)=0,"",_xlfn.XLOOKUP(C36,customers!$A$1:$A$1001,customers!$C$1:$C$1001,,0))</f>
        <v>uwelberryy@ebay.co.uk</v>
      </c>
      <c r="H36" s="2" t="str">
        <f>_xlfn.XLOOKUP(C36,customers!$A$1:$A$1001,customers!$G$1:$G$1001,,0)</f>
        <v>United Kingdom</v>
      </c>
      <c r="I36" t="str">
        <f>INDEX(products!$A$1:$G$49,MATCH(orders!$D36,products!$A$1:$A$49,0),MATCH(orders!I$1,products!$A$1:$G$1,0))</f>
        <v>Lib</v>
      </c>
      <c r="J36" t="str">
        <f>INDEX(products!$A$1:$G$49,MATCH(orders!$D36,products!$A$1:$A$49,0),MATCH(orders!J$1,products!$A$1:$G$1,0))</f>
        <v>L</v>
      </c>
      <c r="K36" s="7">
        <f>INDEX(products!$A$1:$G$49,MATCH(orders!$D36,products!$A$1:$A$49,0),MATCH(orders!K$1,products!$A$1:$G$1,0))</f>
        <v>0.5</v>
      </c>
      <c r="L36" s="4">
        <f>INDEX(products!$A$1:$G$49,MATCH(orders!$D36,products!$A$1:$A$49,0),MATCH(orders!L$1,products!$A$1:$G$1,0))</f>
        <v>9.51</v>
      </c>
      <c r="M36" s="4">
        <f t="shared" si="0"/>
        <v>57.06</v>
      </c>
      <c r="N36" t="str" cm="1">
        <f t="array" ref="N36">_xlfn.IFS(I36="Rob","Robusta",I36="Exc","Excelsa",I36="Ara","Arabica",I36="Lib","Liberica")</f>
        <v>Liberica</v>
      </c>
      <c r="O36" t="str" cm="1">
        <f t="array" ref="O36">_xlfn.IFS(J36="M","Medium",J36="L","Large",J36="D","Dark")</f>
        <v>Large</v>
      </c>
      <c r="P36" t="str">
        <f>_xlfn.XLOOKUP(Orders[[#This Row],[Customer ID]],customers!$A$1:$A$1001,customers!$I$1:$I$1001,,0)</f>
        <v>Yes</v>
      </c>
    </row>
    <row r="37" spans="1:16" x14ac:dyDescent="0.35">
      <c r="A37" s="2" t="s">
        <v>687</v>
      </c>
      <c r="B37" s="3">
        <v>44348</v>
      </c>
      <c r="C37" s="2" t="s">
        <v>688</v>
      </c>
      <c r="D37" t="s">
        <v>6158</v>
      </c>
      <c r="E37" s="2">
        <v>6</v>
      </c>
      <c r="F37" s="2" t="str">
        <f>_xlfn.XLOOKUP(C37,customers!$A$1:$A$1001,customers!$B$1:$B$1001,,0)</f>
        <v>Faber Eilhart</v>
      </c>
      <c r="G37" s="2" t="str">
        <f>IF(_xlfn.XLOOKUP(C37,customers!$A$1:$A$1001,customers!$C$1:$C$1001,,0)=0,"",_xlfn.XLOOKUP(C37,customers!$A$1:$A$1001,customers!$C$1:$C$1001,,0))</f>
        <v>feilhartz@who.int</v>
      </c>
      <c r="H37" s="2" t="str">
        <f>_xlfn.XLOOKUP(C37,customers!$A$1:$A$1001,customers!$G$1:$G$1001,,0)</f>
        <v>United States</v>
      </c>
      <c r="I37" t="str">
        <f>INDEX(products!$A$1:$G$49,MATCH(orders!$D37,products!$A$1:$A$49,0),MATCH(orders!I$1,products!$A$1:$G$1,0))</f>
        <v>Ara</v>
      </c>
      <c r="J37" t="str">
        <f>INDEX(products!$A$1:$G$49,MATCH(orders!$D37,products!$A$1:$A$49,0),MATCH(orders!J$1,products!$A$1:$G$1,0))</f>
        <v>D</v>
      </c>
      <c r="K37" s="7">
        <f>INDEX(products!$A$1:$G$49,MATCH(orders!$D37,products!$A$1:$A$49,0),MATCH(orders!K$1,products!$A$1:$G$1,0))</f>
        <v>0.5</v>
      </c>
      <c r="L37" s="4">
        <f>INDEX(products!$A$1:$G$49,MATCH(orders!$D37,products!$A$1:$A$49,0),MATCH(orders!L$1,products!$A$1:$G$1,0))</f>
        <v>5.97</v>
      </c>
      <c r="M37" s="4">
        <f t="shared" si="0"/>
        <v>35.82</v>
      </c>
      <c r="N37" t="str" cm="1">
        <f t="array" ref="N37">_xlfn.IFS(I37="Rob","Robusta",I37="Exc","Excelsa",I37="Ara","Arabica",I37="Lib","Liberica")</f>
        <v>Arabica</v>
      </c>
      <c r="O37" t="str" cm="1">
        <f t="array" ref="O37">_xlfn.IFS(J37="M","Medium",J37="L","Large",J37="D","Dark")</f>
        <v>Dark</v>
      </c>
      <c r="P37" t="str">
        <f>_xlfn.XLOOKUP(Orders[[#This Row],[Customer ID]],customers!$A$1:$A$1001,customers!$I$1:$I$1001,,0)</f>
        <v>No</v>
      </c>
    </row>
    <row r="38" spans="1:16" x14ac:dyDescent="0.35">
      <c r="A38" s="2" t="s">
        <v>693</v>
      </c>
      <c r="B38" s="3">
        <v>44233</v>
      </c>
      <c r="C38" s="2" t="s">
        <v>694</v>
      </c>
      <c r="D38" t="s">
        <v>6159</v>
      </c>
      <c r="E38" s="2">
        <v>2</v>
      </c>
      <c r="F38" s="2" t="str">
        <f>_xlfn.XLOOKUP(C38,customers!$A$1:$A$1001,customers!$B$1:$B$1001,,0)</f>
        <v>Zorina Ponting</v>
      </c>
      <c r="G38" s="2" t="str">
        <f>IF(_xlfn.XLOOKUP(C38,customers!$A$1:$A$1001,customers!$C$1:$C$1001,,0)=0,"",_xlfn.XLOOKUP(C38,customers!$A$1:$A$1001,customers!$C$1:$C$1001,,0))</f>
        <v>zponting10@altervista.org</v>
      </c>
      <c r="H38" s="2" t="str">
        <f>_xlfn.XLOOKUP(C38,customers!$A$1:$A$1001,customers!$G$1:$G$1001,,0)</f>
        <v>United States</v>
      </c>
      <c r="I38" t="str">
        <f>INDEX(products!$A$1:$G$49,MATCH(orders!$D38,products!$A$1:$A$49,0),MATCH(orders!I$1,products!$A$1:$G$1,0))</f>
        <v>Lib</v>
      </c>
      <c r="J38" t="str">
        <f>INDEX(products!$A$1:$G$49,MATCH(orders!$D38,products!$A$1:$A$49,0),MATCH(orders!J$1,products!$A$1:$G$1,0))</f>
        <v>M</v>
      </c>
      <c r="K38" s="7">
        <f>INDEX(products!$A$1:$G$49,MATCH(orders!$D38,products!$A$1:$A$49,0),MATCH(orders!K$1,products!$A$1:$G$1,0))</f>
        <v>0.2</v>
      </c>
      <c r="L38" s="4">
        <f>INDEX(products!$A$1:$G$49,MATCH(orders!$D38,products!$A$1:$A$49,0),MATCH(orders!L$1,products!$A$1:$G$1,0))</f>
        <v>4.3650000000000002</v>
      </c>
      <c r="M38" s="4">
        <f t="shared" si="0"/>
        <v>8.73</v>
      </c>
      <c r="N38" t="str" cm="1">
        <f t="array" ref="N38">_xlfn.IFS(I38="Rob","Robusta",I38="Exc","Excelsa",I38="Ara","Arabica",I38="Lib","Liberica")</f>
        <v>Liberica</v>
      </c>
      <c r="O38" t="str" cm="1">
        <f t="array" ref="O38">_xlfn.IFS(J38="M","Medium",J38="L","Large",J38="D","Dark")</f>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_xlfn.XLOOKUP(C39,customers!$A$1:$A$1001,customers!$B$1:$B$1001,,0)</f>
        <v>Silvio Strase</v>
      </c>
      <c r="G39" s="2" t="str">
        <f>IF(_xlfn.XLOOKUP(C39,customers!$A$1:$A$1001,customers!$C$1:$C$1001,,0)=0,"",_xlfn.XLOOKUP(C39,customers!$A$1:$A$1001,customers!$C$1:$C$1001,,0))</f>
        <v>sstrase11@booking.com</v>
      </c>
      <c r="H39" s="2" t="str">
        <f>_xlfn.XLOOKUP(C39,customers!$A$1:$A$1001,customers!$G$1:$G$1001,,0)</f>
        <v>United States</v>
      </c>
      <c r="I39" t="str">
        <f>INDEX(products!$A$1:$G$49,MATCH(orders!$D39,products!$A$1:$A$49,0),MATCH(orders!I$1,products!$A$1:$G$1,0))</f>
        <v>Lib</v>
      </c>
      <c r="J39" t="str">
        <f>INDEX(products!$A$1:$G$49,MATCH(orders!$D39,products!$A$1:$A$49,0),MATCH(orders!J$1,products!$A$1:$G$1,0))</f>
        <v>L</v>
      </c>
      <c r="K39" s="7">
        <f>INDEX(products!$A$1:$G$49,MATCH(orders!$D39,products!$A$1:$A$49,0),MATCH(orders!K$1,products!$A$1:$G$1,0))</f>
        <v>0.5</v>
      </c>
      <c r="L39" s="4">
        <f>INDEX(products!$A$1:$G$49,MATCH(orders!$D39,products!$A$1:$A$49,0),MATCH(orders!L$1,products!$A$1:$G$1,0))</f>
        <v>9.51</v>
      </c>
      <c r="M39" s="4">
        <f t="shared" si="0"/>
        <v>28.53</v>
      </c>
      <c r="N39" t="str" cm="1">
        <f t="array" ref="N39">_xlfn.IFS(I39="Rob","Robusta",I39="Exc","Excelsa",I39="Ara","Arabica",I39="Lib","Liberica")</f>
        <v>Liberica</v>
      </c>
      <c r="O39" t="str" cm="1">
        <f t="array" ref="O39">_xlfn.IFS(J39="M","Medium",J39="L","Large",J39="D","Dark")</f>
        <v>Large</v>
      </c>
      <c r="P39" t="str">
        <f>_xlfn.XLOOKUP(Orders[[#This Row],[Customer ID]],customers!$A$1:$A$1001,customers!$I$1:$I$1001,,0)</f>
        <v>No</v>
      </c>
    </row>
    <row r="40" spans="1:16" x14ac:dyDescent="0.35">
      <c r="A40" s="2" t="s">
        <v>705</v>
      </c>
      <c r="B40" s="3">
        <v>43946</v>
      </c>
      <c r="C40" s="2" t="s">
        <v>706</v>
      </c>
      <c r="D40" t="s">
        <v>6151</v>
      </c>
      <c r="E40" s="2">
        <v>5</v>
      </c>
      <c r="F40" s="2" t="str">
        <f>_xlfn.XLOOKUP(C40,customers!$A$1:$A$1001,customers!$B$1:$B$1001,,0)</f>
        <v>Dorie de la Tremoille</v>
      </c>
      <c r="G40" s="2" t="str">
        <f>IF(_xlfn.XLOOKUP(C40,customers!$A$1:$A$1001,customers!$C$1:$C$1001,,0)=0,"",_xlfn.XLOOKUP(C40,customers!$A$1:$A$1001,customers!$C$1:$C$1001,,0))</f>
        <v>dde12@unesco.org</v>
      </c>
      <c r="H40" s="2" t="str">
        <f>_xlfn.XLOOKUP(C40,customers!$A$1:$A$1001,customers!$G$1:$G$1001,,0)</f>
        <v>United States</v>
      </c>
      <c r="I40" t="str">
        <f>INDEX(products!$A$1:$G$49,MATCH(orders!$D40,products!$A$1:$A$49,0),MATCH(orders!I$1,products!$A$1:$G$1,0))</f>
        <v>Rob</v>
      </c>
      <c r="J40" t="str">
        <f>INDEX(products!$A$1:$G$49,MATCH(orders!$D40,products!$A$1:$A$49,0),MATCH(orders!J$1,products!$A$1:$G$1,0))</f>
        <v>M</v>
      </c>
      <c r="K40" s="7">
        <f>INDEX(products!$A$1:$G$49,MATCH(orders!$D40,products!$A$1:$A$49,0),MATCH(orders!K$1,products!$A$1:$G$1,0))</f>
        <v>2.5</v>
      </c>
      <c r="L40" s="4">
        <f>INDEX(products!$A$1:$G$49,MATCH(orders!$D40,products!$A$1:$A$49,0),MATCH(orders!L$1,products!$A$1:$G$1,0))</f>
        <v>22.884999999999998</v>
      </c>
      <c r="M40" s="4">
        <f t="shared" si="0"/>
        <v>114.42499999999998</v>
      </c>
      <c r="N40" t="str" cm="1">
        <f t="array" ref="N40">_xlfn.IFS(I40="Rob","Robusta",I40="Exc","Excelsa",I40="Ara","Arabica",I40="Lib","Liberica")</f>
        <v>Robusta</v>
      </c>
      <c r="O40" t="str" cm="1">
        <f t="array" ref="O40">_xlfn.IFS(J40="M","Medium",J40="L","Large",J40="D","Dark")</f>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_xlfn.XLOOKUP(C41,customers!$A$1:$A$1001,customers!$B$1:$B$1001,,0)</f>
        <v>Hy Zanetto</v>
      </c>
      <c r="G41" s="2" t="str">
        <f>IF(_xlfn.XLOOKUP(C41,customers!$A$1:$A$1001,customers!$C$1:$C$1001,,0)=0,"",_xlfn.XLOOKUP(C41,customers!$A$1:$A$1001,customers!$C$1:$C$1001,,0))</f>
        <v/>
      </c>
      <c r="H41" s="2" t="str">
        <f>_xlfn.XLOOKUP(C41,customers!$A$1:$A$1001,customers!$G$1:$G$1001,,0)</f>
        <v>United States</v>
      </c>
      <c r="I41" t="str">
        <f>INDEX(products!$A$1:$G$49,MATCH(orders!$D41,products!$A$1:$A$49,0),MATCH(orders!I$1,products!$A$1:$G$1,0))</f>
        <v>Rob</v>
      </c>
      <c r="J41" t="str">
        <f>INDEX(products!$A$1:$G$49,MATCH(orders!$D41,products!$A$1:$A$49,0),MATCH(orders!J$1,products!$A$1:$G$1,0))</f>
        <v>M</v>
      </c>
      <c r="K41" s="7">
        <f>INDEX(products!$A$1:$G$49,MATCH(orders!$D41,products!$A$1:$A$49,0),MATCH(orders!K$1,products!$A$1:$G$1,0))</f>
        <v>1</v>
      </c>
      <c r="L41" s="4">
        <f>INDEX(products!$A$1:$G$49,MATCH(orders!$D41,products!$A$1:$A$49,0),MATCH(orders!L$1,products!$A$1:$G$1,0))</f>
        <v>9.9499999999999993</v>
      </c>
      <c r="M41" s="4">
        <f t="shared" si="0"/>
        <v>59.699999999999996</v>
      </c>
      <c r="N41" t="str" cm="1">
        <f t="array" ref="N41">_xlfn.IFS(I41="Rob","Robusta",I41="Exc","Excelsa",I41="Ara","Arabica",I41="Lib","Liberica")</f>
        <v>Robusta</v>
      </c>
      <c r="O41" t="str" cm="1">
        <f t="array" ref="O41">_xlfn.IFS(J41="M","Medium",J41="L","Large",J41="D","Dark")</f>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_xlfn.XLOOKUP(C42,customers!$A$1:$A$1001,customers!$B$1:$B$1001,,0)</f>
        <v>Jessica McNess</v>
      </c>
      <c r="G42" s="2" t="str">
        <f>IF(_xlfn.XLOOKUP(C42,customers!$A$1:$A$1001,customers!$C$1:$C$1001,,0)=0,"",_xlfn.XLOOKUP(C42,customers!$A$1:$A$1001,customers!$C$1:$C$1001,,0))</f>
        <v/>
      </c>
      <c r="H42" s="2" t="str">
        <f>_xlfn.XLOOKUP(C42,customers!$A$1:$A$1001,customers!$G$1:$G$1001,,0)</f>
        <v>United States</v>
      </c>
      <c r="I42" t="str">
        <f>INDEX(products!$A$1:$G$49,MATCH(orders!$D42,products!$A$1:$A$49,0),MATCH(orders!I$1,products!$A$1:$G$1,0))</f>
        <v>Lib</v>
      </c>
      <c r="J42" t="str">
        <f>INDEX(products!$A$1:$G$49,MATCH(orders!$D42,products!$A$1:$A$49,0),MATCH(orders!J$1,products!$A$1:$G$1,0))</f>
        <v>M</v>
      </c>
      <c r="K42" s="7">
        <f>INDEX(products!$A$1:$G$49,MATCH(orders!$D42,products!$A$1:$A$49,0),MATCH(orders!K$1,products!$A$1:$G$1,0))</f>
        <v>1</v>
      </c>
      <c r="L42" s="4">
        <f>INDEX(products!$A$1:$G$49,MATCH(orders!$D42,products!$A$1:$A$49,0),MATCH(orders!L$1,products!$A$1:$G$1,0))</f>
        <v>14.55</v>
      </c>
      <c r="M42" s="4">
        <f t="shared" si="0"/>
        <v>43.650000000000006</v>
      </c>
      <c r="N42" t="str" cm="1">
        <f t="array" ref="N42">_xlfn.IFS(I42="Rob","Robusta",I42="Exc","Excelsa",I42="Ara","Arabica",I42="Lib","Liberica")</f>
        <v>Liberica</v>
      </c>
      <c r="O42" t="str" cm="1">
        <f t="array" ref="O42">_xlfn.IFS(J42="M","Medium",J42="L","Large",J42="D","Dark")</f>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_xlfn.XLOOKUP(C43,customers!$A$1:$A$1001,customers!$B$1:$B$1001,,0)</f>
        <v>Lorenzo Yeoland</v>
      </c>
      <c r="G43" s="2" t="str">
        <f>IF(_xlfn.XLOOKUP(C43,customers!$A$1:$A$1001,customers!$C$1:$C$1001,,0)=0,"",_xlfn.XLOOKUP(C43,customers!$A$1:$A$1001,customers!$C$1:$C$1001,,0))</f>
        <v>lyeoland15@pbs.org</v>
      </c>
      <c r="H43" s="2" t="str">
        <f>_xlfn.XLOOKUP(C43,customers!$A$1:$A$1001,customers!$G$1:$G$1001,,0)</f>
        <v>United States</v>
      </c>
      <c r="I43" t="str">
        <f>INDEX(products!$A$1:$G$49,MATCH(orders!$D43,products!$A$1:$A$49,0),MATCH(orders!I$1,products!$A$1:$G$1,0))</f>
        <v>Exc</v>
      </c>
      <c r="J43" t="str">
        <f>INDEX(products!$A$1:$G$49,MATCH(orders!$D43,products!$A$1:$A$49,0),MATCH(orders!J$1,products!$A$1:$G$1,0))</f>
        <v>D</v>
      </c>
      <c r="K43" s="7">
        <f>INDEX(products!$A$1:$G$49,MATCH(orders!$D43,products!$A$1:$A$49,0),MATCH(orders!K$1,products!$A$1:$G$1,0))</f>
        <v>0.2</v>
      </c>
      <c r="L43" s="4">
        <f>INDEX(products!$A$1:$G$49,MATCH(orders!$D43,products!$A$1:$A$49,0),MATCH(orders!L$1,products!$A$1:$G$1,0))</f>
        <v>3.645</v>
      </c>
      <c r="M43" s="4">
        <f t="shared" si="0"/>
        <v>7.29</v>
      </c>
      <c r="N43" t="str" cm="1">
        <f t="array" ref="N43">_xlfn.IFS(I43="Rob","Robusta",I43="Exc","Excelsa",I43="Ara","Arabica",I43="Lib","Liberica")</f>
        <v>Excelsa</v>
      </c>
      <c r="O43" t="str" cm="1">
        <f t="array" ref="O43">_xlfn.IFS(J43="M","Medium",J43="L","Large",J43="D","Dark")</f>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_xlfn.XLOOKUP(C44,customers!$A$1:$A$1001,customers!$B$1:$B$1001,,0)</f>
        <v>Abigail Tolworthy</v>
      </c>
      <c r="G44" s="2" t="str">
        <f>IF(_xlfn.XLOOKUP(C44,customers!$A$1:$A$1001,customers!$C$1:$C$1001,,0)=0,"",_xlfn.XLOOKUP(C44,customers!$A$1:$A$1001,customers!$C$1:$C$1001,,0))</f>
        <v>atolworthy16@toplist.cz</v>
      </c>
      <c r="H44" s="2" t="str">
        <f>_xlfn.XLOOKUP(C44,customers!$A$1:$A$1001,customers!$G$1:$G$1001,,0)</f>
        <v>United States</v>
      </c>
      <c r="I44" t="str">
        <f>INDEX(products!$A$1:$G$49,MATCH(orders!$D44,products!$A$1:$A$49,0),MATCH(orders!I$1,products!$A$1:$G$1,0))</f>
        <v>Rob</v>
      </c>
      <c r="J44" t="str">
        <f>INDEX(products!$A$1:$G$49,MATCH(orders!$D44,products!$A$1:$A$49,0),MATCH(orders!J$1,products!$A$1:$G$1,0))</f>
        <v>D</v>
      </c>
      <c r="K44" s="7">
        <f>INDEX(products!$A$1:$G$49,MATCH(orders!$D44,products!$A$1:$A$49,0),MATCH(orders!K$1,products!$A$1:$G$1,0))</f>
        <v>0.2</v>
      </c>
      <c r="L44" s="4">
        <f>INDEX(products!$A$1:$G$49,MATCH(orders!$D44,products!$A$1:$A$49,0),MATCH(orders!L$1,products!$A$1:$G$1,0))</f>
        <v>2.6849999999999996</v>
      </c>
      <c r="M44" s="4">
        <f t="shared" si="0"/>
        <v>8.0549999999999997</v>
      </c>
      <c r="N44" t="str" cm="1">
        <f t="array" ref="N44">_xlfn.IFS(I44="Rob","Robusta",I44="Exc","Excelsa",I44="Ara","Arabica",I44="Lib","Liberica")</f>
        <v>Robusta</v>
      </c>
      <c r="O44" t="str" cm="1">
        <f t="array" ref="O44">_xlfn.IFS(J44="M","Medium",J44="L","Large",J44="D","Dark")</f>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_xlfn.XLOOKUP(C45,customers!$A$1:$A$1001,customers!$B$1:$B$1001,,0)</f>
        <v>Maurie Bartol</v>
      </c>
      <c r="G45" s="2" t="str">
        <f>IF(_xlfn.XLOOKUP(C45,customers!$A$1:$A$1001,customers!$C$1:$C$1001,,0)=0,"",_xlfn.XLOOKUP(C45,customers!$A$1:$A$1001,customers!$C$1:$C$1001,,0))</f>
        <v/>
      </c>
      <c r="H45" s="2" t="str">
        <f>_xlfn.XLOOKUP(C45,customers!$A$1:$A$1001,customers!$G$1:$G$1001,,0)</f>
        <v>United States</v>
      </c>
      <c r="I45" t="str">
        <f>INDEX(products!$A$1:$G$49,MATCH(orders!$D45,products!$A$1:$A$49,0),MATCH(orders!I$1,products!$A$1:$G$1,0))</f>
        <v>Lib</v>
      </c>
      <c r="J45" t="str">
        <f>INDEX(products!$A$1:$G$49,MATCH(orders!$D45,products!$A$1:$A$49,0),MATCH(orders!J$1,products!$A$1:$G$1,0))</f>
        <v>L</v>
      </c>
      <c r="K45" s="7">
        <f>INDEX(products!$A$1:$G$49,MATCH(orders!$D45,products!$A$1:$A$49,0),MATCH(orders!K$1,products!$A$1:$G$1,0))</f>
        <v>2.5</v>
      </c>
      <c r="L45" s="4">
        <f>INDEX(products!$A$1:$G$49,MATCH(orders!$D45,products!$A$1:$A$49,0),MATCH(orders!L$1,products!$A$1:$G$1,0))</f>
        <v>36.454999999999998</v>
      </c>
      <c r="M45" s="4">
        <f t="shared" si="0"/>
        <v>72.91</v>
      </c>
      <c r="N45" t="str" cm="1">
        <f t="array" ref="N45">_xlfn.IFS(I45="Rob","Robusta",I45="Exc","Excelsa",I45="Ara","Arabica",I45="Lib","Liberica")</f>
        <v>Liberica</v>
      </c>
      <c r="O45" t="str" cm="1">
        <f t="array" ref="O45">_xlfn.IFS(J45="M","Medium",J45="L","Large",J45="D","Dark")</f>
        <v>Large</v>
      </c>
      <c r="P45" t="str">
        <f>_xlfn.XLOOKUP(Orders[[#This Row],[Customer ID]],customers!$A$1:$A$1001,customers!$I$1:$I$1001,,0)</f>
        <v>No</v>
      </c>
    </row>
    <row r="46" spans="1:16" x14ac:dyDescent="0.35">
      <c r="A46" s="2" t="s">
        <v>738</v>
      </c>
      <c r="B46" s="3">
        <v>43932</v>
      </c>
      <c r="C46" s="2" t="s">
        <v>739</v>
      </c>
      <c r="D46" t="s">
        <v>6139</v>
      </c>
      <c r="E46" s="2">
        <v>2</v>
      </c>
      <c r="F46" s="2" t="str">
        <f>_xlfn.XLOOKUP(C46,customers!$A$1:$A$1001,customers!$B$1:$B$1001,,0)</f>
        <v>Olag Baudassi</v>
      </c>
      <c r="G46" s="2" t="str">
        <f>IF(_xlfn.XLOOKUP(C46,customers!$A$1:$A$1001,customers!$C$1:$C$1001,,0)=0,"",_xlfn.XLOOKUP(C46,customers!$A$1:$A$1001,customers!$C$1:$C$1001,,0))</f>
        <v>obaudassi18@seesaa.net</v>
      </c>
      <c r="H46" s="2" t="str">
        <f>_xlfn.XLOOKUP(C46,customers!$A$1:$A$1001,customers!$G$1:$G$1001,,0)</f>
        <v>United States</v>
      </c>
      <c r="I46" t="str">
        <f>INDEX(products!$A$1:$G$49,MATCH(orders!$D46,products!$A$1:$A$49,0),MATCH(orders!I$1,products!$A$1:$G$1,0))</f>
        <v>Exc</v>
      </c>
      <c r="J46" t="str">
        <f>INDEX(products!$A$1:$G$49,MATCH(orders!$D46,products!$A$1:$A$49,0),MATCH(orders!J$1,products!$A$1:$G$1,0))</f>
        <v>M</v>
      </c>
      <c r="K46" s="7">
        <f>INDEX(products!$A$1:$G$49,MATCH(orders!$D46,products!$A$1:$A$49,0),MATCH(orders!K$1,products!$A$1:$G$1,0))</f>
        <v>0.5</v>
      </c>
      <c r="L46" s="4">
        <f>INDEX(products!$A$1:$G$49,MATCH(orders!$D46,products!$A$1:$A$49,0),MATCH(orders!L$1,products!$A$1:$G$1,0))</f>
        <v>8.25</v>
      </c>
      <c r="M46" s="4">
        <f t="shared" si="0"/>
        <v>16.5</v>
      </c>
      <c r="N46" t="str" cm="1">
        <f t="array" ref="N46">_xlfn.IFS(I46="Rob","Robusta",I46="Exc","Excelsa",I46="Ara","Arabica",I46="Lib","Liberica")</f>
        <v>Excelsa</v>
      </c>
      <c r="O46" t="str" cm="1">
        <f t="array" ref="O46">_xlfn.IFS(J46="M","Medium",J46="L","Large",J46="D","Dark")</f>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_xlfn.XLOOKUP(C47,customers!$A$1:$A$1001,customers!$B$1:$B$1001,,0)</f>
        <v>Petey Kingsbury</v>
      </c>
      <c r="G47" s="2" t="str">
        <f>IF(_xlfn.XLOOKUP(C47,customers!$A$1:$A$1001,customers!$C$1:$C$1001,,0)=0,"",_xlfn.XLOOKUP(C47,customers!$A$1:$A$1001,customers!$C$1:$C$1001,,0))</f>
        <v>pkingsbury19@comcast.net</v>
      </c>
      <c r="H47" s="2" t="str">
        <f>_xlfn.XLOOKUP(C47,customers!$A$1:$A$1001,customers!$G$1:$G$1001,,0)</f>
        <v>United States</v>
      </c>
      <c r="I47" t="str">
        <f>INDEX(products!$A$1:$G$49,MATCH(orders!$D47,products!$A$1:$A$49,0),MATCH(orders!I$1,products!$A$1:$G$1,0))</f>
        <v>Lib</v>
      </c>
      <c r="J47" t="str">
        <f>INDEX(products!$A$1:$G$49,MATCH(orders!$D47,products!$A$1:$A$49,0),MATCH(orders!J$1,products!$A$1:$G$1,0))</f>
        <v>D</v>
      </c>
      <c r="K47" s="7">
        <f>INDEX(products!$A$1:$G$49,MATCH(orders!$D47,products!$A$1:$A$49,0),MATCH(orders!K$1,products!$A$1:$G$1,0))</f>
        <v>2.5</v>
      </c>
      <c r="L47" s="4">
        <f>INDEX(products!$A$1:$G$49,MATCH(orders!$D47,products!$A$1:$A$49,0),MATCH(orders!L$1,products!$A$1:$G$1,0))</f>
        <v>29.784999999999997</v>
      </c>
      <c r="M47" s="4">
        <f t="shared" si="0"/>
        <v>178.70999999999998</v>
      </c>
      <c r="N47" t="str" cm="1">
        <f t="array" ref="N47">_xlfn.IFS(I47="Rob","Robusta",I47="Exc","Excelsa",I47="Ara","Arabica",I47="Lib","Liberica")</f>
        <v>Liberica</v>
      </c>
      <c r="O47" t="str" cm="1">
        <f t="array" ref="O47">_xlfn.IFS(J47="M","Medium",J47="L","Large",J47="D","Dark")</f>
        <v>Dark</v>
      </c>
      <c r="P47" t="str">
        <f>_xlfn.XLOOKUP(Orders[[#This Row],[Customer ID]],customers!$A$1:$A$1001,customers!$I$1:$I$1001,,0)</f>
        <v>No</v>
      </c>
    </row>
    <row r="48" spans="1:16" x14ac:dyDescent="0.35">
      <c r="A48" s="2" t="s">
        <v>750</v>
      </c>
      <c r="B48" s="3">
        <v>43776</v>
      </c>
      <c r="C48" s="2" t="s">
        <v>751</v>
      </c>
      <c r="D48" t="s">
        <v>6166</v>
      </c>
      <c r="E48" s="2">
        <v>2</v>
      </c>
      <c r="F48" s="2" t="str">
        <f>_xlfn.XLOOKUP(C48,customers!$A$1:$A$1001,customers!$B$1:$B$1001,,0)</f>
        <v>Donna Baskeyfied</v>
      </c>
      <c r="G48" s="2" t="str">
        <f>IF(_xlfn.XLOOKUP(C48,customers!$A$1:$A$1001,customers!$C$1:$C$1001,,0)=0,"",_xlfn.XLOOKUP(C48,customers!$A$1:$A$1001,customers!$C$1:$C$1001,,0))</f>
        <v/>
      </c>
      <c r="H48" s="2" t="str">
        <f>_xlfn.XLOOKUP(C48,customers!$A$1:$A$1001,customers!$G$1:$G$1001,,0)</f>
        <v>United States</v>
      </c>
      <c r="I48" t="str">
        <f>INDEX(products!$A$1:$G$49,MATCH(orders!$D48,products!$A$1:$A$49,0),MATCH(orders!I$1,products!$A$1:$G$1,0))</f>
        <v>Exc</v>
      </c>
      <c r="J48" t="str">
        <f>INDEX(products!$A$1:$G$49,MATCH(orders!$D48,products!$A$1:$A$49,0),MATCH(orders!J$1,products!$A$1:$G$1,0))</f>
        <v>M</v>
      </c>
      <c r="K48" s="7">
        <f>INDEX(products!$A$1:$G$49,MATCH(orders!$D48,products!$A$1:$A$49,0),MATCH(orders!K$1,products!$A$1:$G$1,0))</f>
        <v>2.5</v>
      </c>
      <c r="L48" s="4">
        <f>INDEX(products!$A$1:$G$49,MATCH(orders!$D48,products!$A$1:$A$49,0),MATCH(orders!L$1,products!$A$1:$G$1,0))</f>
        <v>31.624999999999996</v>
      </c>
      <c r="M48" s="4">
        <f t="shared" si="0"/>
        <v>63.249999999999993</v>
      </c>
      <c r="N48" t="str" cm="1">
        <f t="array" ref="N48">_xlfn.IFS(I48="Rob","Robusta",I48="Exc","Excelsa",I48="Ara","Arabica",I48="Lib","Liberica")</f>
        <v>Excelsa</v>
      </c>
      <c r="O48" t="str" cm="1">
        <f t="array" ref="O48">_xlfn.IFS(J48="M","Medium",J48="L","Large",J48="D","Dark")</f>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_xlfn.XLOOKUP(C49,customers!$A$1:$A$1001,customers!$B$1:$B$1001,,0)</f>
        <v>Arda Curley</v>
      </c>
      <c r="G49" s="2" t="str">
        <f>IF(_xlfn.XLOOKUP(C49,customers!$A$1:$A$1001,customers!$C$1:$C$1001,,0)=0,"",_xlfn.XLOOKUP(C49,customers!$A$1:$A$1001,customers!$C$1:$C$1001,,0))</f>
        <v>acurley1b@hao123.com</v>
      </c>
      <c r="H49" s="2" t="str">
        <f>_xlfn.XLOOKUP(C49,customers!$A$1:$A$1001,customers!$G$1:$G$1001,,0)</f>
        <v>United States</v>
      </c>
      <c r="I49" t="str">
        <f>INDEX(products!$A$1:$G$49,MATCH(orders!$D49,products!$A$1:$A$49,0),MATCH(orders!I$1,products!$A$1:$G$1,0))</f>
        <v>Ara</v>
      </c>
      <c r="J49" t="str">
        <f>INDEX(products!$A$1:$G$49,MATCH(orders!$D49,products!$A$1:$A$49,0),MATCH(orders!J$1,products!$A$1:$G$1,0))</f>
        <v>L</v>
      </c>
      <c r="K49" s="7">
        <f>INDEX(products!$A$1:$G$49,MATCH(orders!$D49,products!$A$1:$A$49,0),MATCH(orders!K$1,products!$A$1:$G$1,0))</f>
        <v>0.2</v>
      </c>
      <c r="L49" s="4">
        <f>INDEX(products!$A$1:$G$49,MATCH(orders!$D49,products!$A$1:$A$49,0),MATCH(orders!L$1,products!$A$1:$G$1,0))</f>
        <v>3.8849999999999998</v>
      </c>
      <c r="M49" s="4">
        <f t="shared" si="0"/>
        <v>7.77</v>
      </c>
      <c r="N49" t="str" cm="1">
        <f t="array" ref="N49">_xlfn.IFS(I49="Rob","Robusta",I49="Exc","Excelsa",I49="Ara","Arabica",I49="Lib","Liberica")</f>
        <v>Arabica</v>
      </c>
      <c r="O49" t="str" cm="1">
        <f t="array" ref="O49">_xlfn.IFS(J49="M","Medium",J49="L","Large",J49="D","Dark")</f>
        <v>Large</v>
      </c>
      <c r="P49" t="str">
        <f>_xlfn.XLOOKUP(Orders[[#This Row],[Customer ID]],customers!$A$1:$A$1001,customers!$I$1:$I$1001,,0)</f>
        <v>Yes</v>
      </c>
    </row>
    <row r="50" spans="1:16" x14ac:dyDescent="0.35">
      <c r="A50" s="2" t="s">
        <v>761</v>
      </c>
      <c r="B50" s="3">
        <v>44085</v>
      </c>
      <c r="C50" s="2" t="s">
        <v>762</v>
      </c>
      <c r="D50" t="s">
        <v>6168</v>
      </c>
      <c r="E50" s="2">
        <v>4</v>
      </c>
      <c r="F50" s="2" t="str">
        <f>_xlfn.XLOOKUP(C50,customers!$A$1:$A$1001,customers!$B$1:$B$1001,,0)</f>
        <v>Raynor McGilvary</v>
      </c>
      <c r="G50" s="2" t="str">
        <f>IF(_xlfn.XLOOKUP(C50,customers!$A$1:$A$1001,customers!$C$1:$C$1001,,0)=0,"",_xlfn.XLOOKUP(C50,customers!$A$1:$A$1001,customers!$C$1:$C$1001,,0))</f>
        <v>rmcgilvary1c@tamu.edu</v>
      </c>
      <c r="H50" s="2" t="str">
        <f>_xlfn.XLOOKUP(C50,customers!$A$1:$A$1001,customers!$G$1:$G$1001,,0)</f>
        <v>United States</v>
      </c>
      <c r="I50" t="str">
        <f>INDEX(products!$A$1:$G$49,MATCH(orders!$D50,products!$A$1:$A$49,0),MATCH(orders!I$1,products!$A$1:$G$1,0))</f>
        <v>Ara</v>
      </c>
      <c r="J50" t="str">
        <f>INDEX(products!$A$1:$G$49,MATCH(orders!$D50,products!$A$1:$A$49,0),MATCH(orders!J$1,products!$A$1:$G$1,0))</f>
        <v>D</v>
      </c>
      <c r="K50" s="7">
        <f>INDEX(products!$A$1:$G$49,MATCH(orders!$D50,products!$A$1:$A$49,0),MATCH(orders!K$1,products!$A$1:$G$1,0))</f>
        <v>2.5</v>
      </c>
      <c r="L50" s="4">
        <f>INDEX(products!$A$1:$G$49,MATCH(orders!$D50,products!$A$1:$A$49,0),MATCH(orders!L$1,products!$A$1:$G$1,0))</f>
        <v>22.884999999999998</v>
      </c>
      <c r="M50" s="4">
        <f t="shared" si="0"/>
        <v>91.539999999999992</v>
      </c>
      <c r="N50" t="str" cm="1">
        <f t="array" ref="N50">_xlfn.IFS(I50="Rob","Robusta",I50="Exc","Excelsa",I50="Ara","Arabica",I50="Lib","Liberica")</f>
        <v>Arabica</v>
      </c>
      <c r="O50" t="str" cm="1">
        <f t="array" ref="O50">_xlfn.IFS(J50="M","Medium",J50="L","Large",J50="D","Dark")</f>
        <v>Dark</v>
      </c>
      <c r="P50" t="str">
        <f>_xlfn.XLOOKUP(Orders[[#This Row],[Customer ID]],customers!$A$1:$A$1001,customers!$I$1:$I$1001,,0)</f>
        <v>No</v>
      </c>
    </row>
    <row r="51" spans="1:16" x14ac:dyDescent="0.35">
      <c r="A51" s="2" t="s">
        <v>766</v>
      </c>
      <c r="B51" s="3">
        <v>44790</v>
      </c>
      <c r="C51" s="2" t="s">
        <v>767</v>
      </c>
      <c r="D51" t="s">
        <v>6140</v>
      </c>
      <c r="E51" s="2">
        <v>3</v>
      </c>
      <c r="F51" s="2" t="str">
        <f>_xlfn.XLOOKUP(C51,customers!$A$1:$A$1001,customers!$B$1:$B$1001,,0)</f>
        <v>Isis Pikett</v>
      </c>
      <c r="G51" s="2" t="str">
        <f>IF(_xlfn.XLOOKUP(C51,customers!$A$1:$A$1001,customers!$C$1:$C$1001,,0)=0,"",_xlfn.XLOOKUP(C51,customers!$A$1:$A$1001,customers!$C$1:$C$1001,,0))</f>
        <v>ipikett1d@xinhuanet.com</v>
      </c>
      <c r="H51" s="2" t="str">
        <f>_xlfn.XLOOKUP(C51,customers!$A$1:$A$1001,customers!$G$1:$G$1001,,0)</f>
        <v>United States</v>
      </c>
      <c r="I51" t="str">
        <f>INDEX(products!$A$1:$G$49,MATCH(orders!$D51,products!$A$1:$A$49,0),MATCH(orders!I$1,products!$A$1:$G$1,0))</f>
        <v>Ara</v>
      </c>
      <c r="J51" t="str">
        <f>INDEX(products!$A$1:$G$49,MATCH(orders!$D51,products!$A$1:$A$49,0),MATCH(orders!J$1,products!$A$1:$G$1,0))</f>
        <v>L</v>
      </c>
      <c r="K51" s="7">
        <f>INDEX(products!$A$1:$G$49,MATCH(orders!$D51,products!$A$1:$A$49,0),MATCH(orders!K$1,products!$A$1:$G$1,0))</f>
        <v>1</v>
      </c>
      <c r="L51" s="4">
        <f>INDEX(products!$A$1:$G$49,MATCH(orders!$D51,products!$A$1:$A$49,0),MATCH(orders!L$1,products!$A$1:$G$1,0))</f>
        <v>12.95</v>
      </c>
      <c r="M51" s="4">
        <f t="shared" si="0"/>
        <v>38.849999999999994</v>
      </c>
      <c r="N51" t="str" cm="1">
        <f t="array" ref="N51">_xlfn.IFS(I51="Rob","Robusta",I51="Exc","Excelsa",I51="Ara","Arabica",I51="Lib","Liberica")</f>
        <v>Arabica</v>
      </c>
      <c r="O51" t="str" cm="1">
        <f t="array" ref="O51">_xlfn.IFS(J51="M","Medium",J51="L","Large",J51="D","Dark")</f>
        <v>Large</v>
      </c>
      <c r="P51" t="str">
        <f>_xlfn.XLOOKUP(Orders[[#This Row],[Customer ID]],customers!$A$1:$A$1001,customers!$I$1:$I$1001,,0)</f>
        <v>No</v>
      </c>
    </row>
    <row r="52" spans="1:16" x14ac:dyDescent="0.35">
      <c r="A52" s="2" t="s">
        <v>772</v>
      </c>
      <c r="B52" s="3">
        <v>44792</v>
      </c>
      <c r="C52" s="2" t="s">
        <v>773</v>
      </c>
      <c r="D52" t="s">
        <v>6169</v>
      </c>
      <c r="E52" s="2">
        <v>2</v>
      </c>
      <c r="F52" s="2" t="str">
        <f>_xlfn.XLOOKUP(C52,customers!$A$1:$A$1001,customers!$B$1:$B$1001,,0)</f>
        <v>Inger Bouldon</v>
      </c>
      <c r="G52" s="2" t="str">
        <f>IF(_xlfn.XLOOKUP(C52,customers!$A$1:$A$1001,customers!$C$1:$C$1001,,0)=0,"",_xlfn.XLOOKUP(C52,customers!$A$1:$A$1001,customers!$C$1:$C$1001,,0))</f>
        <v>ibouldon1e@gizmodo.com</v>
      </c>
      <c r="H52" s="2" t="str">
        <f>_xlfn.XLOOKUP(C52,customers!$A$1:$A$1001,customers!$G$1:$G$1001,,0)</f>
        <v>United States</v>
      </c>
      <c r="I52" t="str">
        <f>INDEX(products!$A$1:$G$49,MATCH(orders!$D52,products!$A$1:$A$49,0),MATCH(orders!I$1,products!$A$1:$G$1,0))</f>
        <v>Lib</v>
      </c>
      <c r="J52" t="str">
        <f>INDEX(products!$A$1:$G$49,MATCH(orders!$D52,products!$A$1:$A$49,0),MATCH(orders!J$1,products!$A$1:$G$1,0))</f>
        <v>D</v>
      </c>
      <c r="K52" s="7">
        <f>INDEX(products!$A$1:$G$49,MATCH(orders!$D52,products!$A$1:$A$49,0),MATCH(orders!K$1,products!$A$1:$G$1,0))</f>
        <v>0.5</v>
      </c>
      <c r="L52" s="4">
        <f>INDEX(products!$A$1:$G$49,MATCH(orders!$D52,products!$A$1:$A$49,0),MATCH(orders!L$1,products!$A$1:$G$1,0))</f>
        <v>7.77</v>
      </c>
      <c r="M52" s="4">
        <f t="shared" si="0"/>
        <v>15.54</v>
      </c>
      <c r="N52" t="str" cm="1">
        <f t="array" ref="N52">_xlfn.IFS(I52="Rob","Robusta",I52="Exc","Excelsa",I52="Ara","Arabica",I52="Lib","Liberica")</f>
        <v>Liberica</v>
      </c>
      <c r="O52" t="str" cm="1">
        <f t="array" ref="O52">_xlfn.IFS(J52="M","Medium",J52="L","Large",J52="D","Dark")</f>
        <v>Dark</v>
      </c>
      <c r="P52" t="str">
        <f>_xlfn.XLOOKUP(Orders[[#This Row],[Customer ID]],customers!$A$1:$A$1001,customers!$I$1:$I$1001,,0)</f>
        <v>No</v>
      </c>
    </row>
    <row r="53" spans="1:16" x14ac:dyDescent="0.35">
      <c r="A53" s="2" t="s">
        <v>778</v>
      </c>
      <c r="B53" s="3">
        <v>43600</v>
      </c>
      <c r="C53" s="2" t="s">
        <v>779</v>
      </c>
      <c r="D53" t="s">
        <v>6164</v>
      </c>
      <c r="E53" s="2">
        <v>4</v>
      </c>
      <c r="F53" s="2" t="str">
        <f>_xlfn.XLOOKUP(C53,customers!$A$1:$A$1001,customers!$B$1:$B$1001,,0)</f>
        <v>Karry Flanders</v>
      </c>
      <c r="G53" s="2" t="str">
        <f>IF(_xlfn.XLOOKUP(C53,customers!$A$1:$A$1001,customers!$C$1:$C$1001,,0)=0,"",_xlfn.XLOOKUP(C53,customers!$A$1:$A$1001,customers!$C$1:$C$1001,,0))</f>
        <v>kflanders1f@over-blog.com</v>
      </c>
      <c r="H53" s="2" t="str">
        <f>_xlfn.XLOOKUP(C53,customers!$A$1:$A$1001,customers!$G$1:$G$1001,,0)</f>
        <v>Ireland</v>
      </c>
      <c r="I53" t="str">
        <f>INDEX(products!$A$1:$G$49,MATCH(orders!$D53,products!$A$1:$A$49,0),MATCH(orders!I$1,products!$A$1:$G$1,0))</f>
        <v>Lib</v>
      </c>
      <c r="J53" t="str">
        <f>INDEX(products!$A$1:$G$49,MATCH(orders!$D53,products!$A$1:$A$49,0),MATCH(orders!J$1,products!$A$1:$G$1,0))</f>
        <v>L</v>
      </c>
      <c r="K53" s="7">
        <f>INDEX(products!$A$1:$G$49,MATCH(orders!$D53,products!$A$1:$A$49,0),MATCH(orders!K$1,products!$A$1:$G$1,0))</f>
        <v>2.5</v>
      </c>
      <c r="L53" s="4">
        <f>INDEX(products!$A$1:$G$49,MATCH(orders!$D53,products!$A$1:$A$49,0),MATCH(orders!L$1,products!$A$1:$G$1,0))</f>
        <v>36.454999999999998</v>
      </c>
      <c r="M53" s="4">
        <f t="shared" si="0"/>
        <v>145.82</v>
      </c>
      <c r="N53" t="str" cm="1">
        <f t="array" ref="N53">_xlfn.IFS(I53="Rob","Robusta",I53="Exc","Excelsa",I53="Ara","Arabica",I53="Lib","Liberica")</f>
        <v>Liberica</v>
      </c>
      <c r="O53" t="str" cm="1">
        <f t="array" ref="O53">_xlfn.IFS(J53="M","Medium",J53="L","Large",J53="D","Dark")</f>
        <v>Large</v>
      </c>
      <c r="P53" t="str">
        <f>_xlfn.XLOOKUP(Orders[[#This Row],[Customer ID]],customers!$A$1:$A$1001,customers!$I$1:$I$1001,,0)</f>
        <v>Yes</v>
      </c>
    </row>
    <row r="54" spans="1:16" x14ac:dyDescent="0.35">
      <c r="A54" s="2" t="s">
        <v>784</v>
      </c>
      <c r="B54" s="3">
        <v>43719</v>
      </c>
      <c r="C54" s="2" t="s">
        <v>785</v>
      </c>
      <c r="D54" t="s">
        <v>6146</v>
      </c>
      <c r="E54" s="2">
        <v>5</v>
      </c>
      <c r="F54" s="2" t="str">
        <f>_xlfn.XLOOKUP(C54,customers!$A$1:$A$1001,customers!$B$1:$B$1001,,0)</f>
        <v>Hartley Mattioli</v>
      </c>
      <c r="G54" s="2" t="str">
        <f>IF(_xlfn.XLOOKUP(C54,customers!$A$1:$A$1001,customers!$C$1:$C$1001,,0)=0,"",_xlfn.XLOOKUP(C54,customers!$A$1:$A$1001,customers!$C$1:$C$1001,,0))</f>
        <v>hmattioli1g@webmd.com</v>
      </c>
      <c r="H54" s="2" t="str">
        <f>_xlfn.XLOOKUP(C54,customers!$A$1:$A$1001,customers!$G$1:$G$1001,,0)</f>
        <v>United Kingdom</v>
      </c>
      <c r="I54" t="str">
        <f>INDEX(products!$A$1:$G$49,MATCH(orders!$D54,products!$A$1:$A$49,0),MATCH(orders!I$1,products!$A$1:$G$1,0))</f>
        <v>Rob</v>
      </c>
      <c r="J54" t="str">
        <f>INDEX(products!$A$1:$G$49,MATCH(orders!$D54,products!$A$1:$A$49,0),MATCH(orders!J$1,products!$A$1:$G$1,0))</f>
        <v>M</v>
      </c>
      <c r="K54" s="7">
        <f>INDEX(products!$A$1:$G$49,MATCH(orders!$D54,products!$A$1:$A$49,0),MATCH(orders!K$1,products!$A$1:$G$1,0))</f>
        <v>0.5</v>
      </c>
      <c r="L54" s="4">
        <f>INDEX(products!$A$1:$G$49,MATCH(orders!$D54,products!$A$1:$A$49,0),MATCH(orders!L$1,products!$A$1:$G$1,0))</f>
        <v>5.97</v>
      </c>
      <c r="M54" s="4">
        <f t="shared" si="0"/>
        <v>29.849999999999998</v>
      </c>
      <c r="N54" t="str" cm="1">
        <f t="array" ref="N54">_xlfn.IFS(I54="Rob","Robusta",I54="Exc","Excelsa",I54="Ara","Arabica",I54="Lib","Liberica")</f>
        <v>Robusta</v>
      </c>
      <c r="O54" t="str" cm="1">
        <f t="array" ref="O54">_xlfn.IFS(J54="M","Medium",J54="L","Large",J54="D","Dark")</f>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_xlfn.XLOOKUP(C55,customers!$A$1:$A$1001,customers!$B$1:$B$1001,,0)</f>
        <v>Hartley Mattioli</v>
      </c>
      <c r="G55" s="2" t="str">
        <f>IF(_xlfn.XLOOKUP(C55,customers!$A$1:$A$1001,customers!$C$1:$C$1001,,0)=0,"",_xlfn.XLOOKUP(C55,customers!$A$1:$A$1001,customers!$C$1:$C$1001,,0))</f>
        <v>hmattioli1g@webmd.com</v>
      </c>
      <c r="H55" s="2" t="str">
        <f>_xlfn.XLOOKUP(C55,customers!$A$1:$A$1001,customers!$G$1:$G$1001,,0)</f>
        <v>United Kingdom</v>
      </c>
      <c r="I55" t="str">
        <f>INDEX(products!$A$1:$G$49,MATCH(orders!$D55,products!$A$1:$A$49,0),MATCH(orders!I$1,products!$A$1:$G$1,0))</f>
        <v>Lib</v>
      </c>
      <c r="J55" t="str">
        <f>INDEX(products!$A$1:$G$49,MATCH(orders!$D55,products!$A$1:$A$49,0),MATCH(orders!J$1,products!$A$1:$G$1,0))</f>
        <v>L</v>
      </c>
      <c r="K55" s="7">
        <f>INDEX(products!$A$1:$G$49,MATCH(orders!$D55,products!$A$1:$A$49,0),MATCH(orders!K$1,products!$A$1:$G$1,0))</f>
        <v>2.5</v>
      </c>
      <c r="L55" s="4">
        <f>INDEX(products!$A$1:$G$49,MATCH(orders!$D55,products!$A$1:$A$49,0),MATCH(orders!L$1,products!$A$1:$G$1,0))</f>
        <v>36.454999999999998</v>
      </c>
      <c r="M55" s="4">
        <f t="shared" si="0"/>
        <v>72.91</v>
      </c>
      <c r="N55" t="str" cm="1">
        <f t="array" ref="N55">_xlfn.IFS(I55="Rob","Robusta",I55="Exc","Excelsa",I55="Ara","Arabica",I55="Lib","Liberica")</f>
        <v>Liberica</v>
      </c>
      <c r="O55" t="str" cm="1">
        <f t="array" ref="O55">_xlfn.IFS(J55="M","Medium",J55="L","Large",J55="D","Dark")</f>
        <v>Large</v>
      </c>
      <c r="P55" t="str">
        <f>_xlfn.XLOOKUP(Orders[[#This Row],[Customer ID]],customers!$A$1:$A$1001,customers!$I$1:$I$1001,,0)</f>
        <v>No</v>
      </c>
    </row>
    <row r="56" spans="1:16" x14ac:dyDescent="0.35">
      <c r="A56" s="2" t="s">
        <v>794</v>
      </c>
      <c r="B56" s="3">
        <v>44271</v>
      </c>
      <c r="C56" s="2" t="s">
        <v>795</v>
      </c>
      <c r="D56" t="s">
        <v>6162</v>
      </c>
      <c r="E56" s="2">
        <v>5</v>
      </c>
      <c r="F56" s="2" t="str">
        <f>_xlfn.XLOOKUP(C56,customers!$A$1:$A$1001,customers!$B$1:$B$1001,,0)</f>
        <v>Archambault Gillard</v>
      </c>
      <c r="G56" s="2" t="str">
        <f>IF(_xlfn.XLOOKUP(C56,customers!$A$1:$A$1001,customers!$C$1:$C$1001,,0)=0,"",_xlfn.XLOOKUP(C56,customers!$A$1:$A$1001,customers!$C$1:$C$1001,,0))</f>
        <v>agillard1i@issuu.com</v>
      </c>
      <c r="H56" s="2" t="str">
        <f>_xlfn.XLOOKUP(C56,customers!$A$1:$A$1001,customers!$G$1:$G$1001,,0)</f>
        <v>United States</v>
      </c>
      <c r="I56" t="str">
        <f>INDEX(products!$A$1:$G$49,MATCH(orders!$D56,products!$A$1:$A$49,0),MATCH(orders!I$1,products!$A$1:$G$1,0))</f>
        <v>Lib</v>
      </c>
      <c r="J56" t="str">
        <f>INDEX(products!$A$1:$G$49,MATCH(orders!$D56,products!$A$1:$A$49,0),MATCH(orders!J$1,products!$A$1:$G$1,0))</f>
        <v>M</v>
      </c>
      <c r="K56" s="7">
        <f>INDEX(products!$A$1:$G$49,MATCH(orders!$D56,products!$A$1:$A$49,0),MATCH(orders!K$1,products!$A$1:$G$1,0))</f>
        <v>1</v>
      </c>
      <c r="L56" s="4">
        <f>INDEX(products!$A$1:$G$49,MATCH(orders!$D56,products!$A$1:$A$49,0),MATCH(orders!L$1,products!$A$1:$G$1,0))</f>
        <v>14.55</v>
      </c>
      <c r="M56" s="4">
        <f t="shared" si="0"/>
        <v>72.75</v>
      </c>
      <c r="N56" t="str" cm="1">
        <f t="array" ref="N56">_xlfn.IFS(I56="Rob","Robusta",I56="Exc","Excelsa",I56="Ara","Arabica",I56="Lib","Liberica")</f>
        <v>Liberica</v>
      </c>
      <c r="O56" t="str" cm="1">
        <f t="array" ref="O56">_xlfn.IFS(J56="M","Medium",J56="L","Large",J56="D","Dark")</f>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_xlfn.XLOOKUP(C57,customers!$A$1:$A$1001,customers!$B$1:$B$1001,,0)</f>
        <v>Salomo Cushworth</v>
      </c>
      <c r="G57" s="2" t="str">
        <f>IF(_xlfn.XLOOKUP(C57,customers!$A$1:$A$1001,customers!$C$1:$C$1001,,0)=0,"",_xlfn.XLOOKUP(C57,customers!$A$1:$A$1001,customers!$C$1:$C$1001,,0))</f>
        <v/>
      </c>
      <c r="H57" s="2" t="str">
        <f>_xlfn.XLOOKUP(C57,customers!$A$1:$A$1001,customers!$G$1:$G$1001,,0)</f>
        <v>United States</v>
      </c>
      <c r="I57" t="str">
        <f>INDEX(products!$A$1:$G$49,MATCH(orders!$D57,products!$A$1:$A$49,0),MATCH(orders!I$1,products!$A$1:$G$1,0))</f>
        <v>Lib</v>
      </c>
      <c r="J57" t="str">
        <f>INDEX(products!$A$1:$G$49,MATCH(orders!$D57,products!$A$1:$A$49,0),MATCH(orders!J$1,products!$A$1:$G$1,0))</f>
        <v>L</v>
      </c>
      <c r="K57" s="7">
        <f>INDEX(products!$A$1:$G$49,MATCH(orders!$D57,products!$A$1:$A$49,0),MATCH(orders!K$1,products!$A$1:$G$1,0))</f>
        <v>1</v>
      </c>
      <c r="L57" s="4">
        <f>INDEX(products!$A$1:$G$49,MATCH(orders!$D57,products!$A$1:$A$49,0),MATCH(orders!L$1,products!$A$1:$G$1,0))</f>
        <v>15.85</v>
      </c>
      <c r="M57" s="4">
        <f t="shared" si="0"/>
        <v>47.55</v>
      </c>
      <c r="N57" t="str" cm="1">
        <f t="array" ref="N57">_xlfn.IFS(I57="Rob","Robusta",I57="Exc","Excelsa",I57="Ara","Arabica",I57="Lib","Liberica")</f>
        <v>Liberica</v>
      </c>
      <c r="O57" t="str" cm="1">
        <f t="array" ref="O57">_xlfn.IFS(J57="M","Medium",J57="L","Large",J57="D","Dark")</f>
        <v>Large</v>
      </c>
      <c r="P57" t="str">
        <f>_xlfn.XLOOKUP(Orders[[#This Row],[Customer ID]],customers!$A$1:$A$1001,customers!$I$1:$I$1001,,0)</f>
        <v>No</v>
      </c>
    </row>
    <row r="58" spans="1:16" x14ac:dyDescent="0.35">
      <c r="A58" s="2" t="s">
        <v>805</v>
      </c>
      <c r="B58" s="3">
        <v>43857</v>
      </c>
      <c r="C58" s="2" t="s">
        <v>806</v>
      </c>
      <c r="D58" t="s">
        <v>6153</v>
      </c>
      <c r="E58" s="2">
        <v>3</v>
      </c>
      <c r="F58" s="2" t="str">
        <f>_xlfn.XLOOKUP(C58,customers!$A$1:$A$1001,customers!$B$1:$B$1001,,0)</f>
        <v>Theda Grizard</v>
      </c>
      <c r="G58" s="2" t="str">
        <f>IF(_xlfn.XLOOKUP(C58,customers!$A$1:$A$1001,customers!$C$1:$C$1001,,0)=0,"",_xlfn.XLOOKUP(C58,customers!$A$1:$A$1001,customers!$C$1:$C$1001,,0))</f>
        <v>tgrizard1k@odnoklassniki.ru</v>
      </c>
      <c r="H58" s="2" t="str">
        <f>_xlfn.XLOOKUP(C58,customers!$A$1:$A$1001,customers!$G$1:$G$1001,,0)</f>
        <v>United States</v>
      </c>
      <c r="I58" t="str">
        <f>INDEX(products!$A$1:$G$49,MATCH(orders!$D58,products!$A$1:$A$49,0),MATCH(orders!I$1,products!$A$1:$G$1,0))</f>
        <v>Exc</v>
      </c>
      <c r="J58" t="str">
        <f>INDEX(products!$A$1:$G$49,MATCH(orders!$D58,products!$A$1:$A$49,0),MATCH(orders!J$1,products!$A$1:$G$1,0))</f>
        <v>D</v>
      </c>
      <c r="K58" s="7">
        <f>INDEX(products!$A$1:$G$49,MATCH(orders!$D58,products!$A$1:$A$49,0),MATCH(orders!K$1,products!$A$1:$G$1,0))</f>
        <v>0.2</v>
      </c>
      <c r="L58" s="4">
        <f>INDEX(products!$A$1:$G$49,MATCH(orders!$D58,products!$A$1:$A$49,0),MATCH(orders!L$1,products!$A$1:$G$1,0))</f>
        <v>3.645</v>
      </c>
      <c r="M58" s="4">
        <f t="shared" si="0"/>
        <v>10.935</v>
      </c>
      <c r="N58" t="str" cm="1">
        <f t="array" ref="N58">_xlfn.IFS(I58="Rob","Robusta",I58="Exc","Excelsa",I58="Ara","Arabica",I58="Lib","Liberica")</f>
        <v>Excelsa</v>
      </c>
      <c r="O58" t="str" cm="1">
        <f t="array" ref="O58">_xlfn.IFS(J58="M","Medium",J58="L","Large",J58="D","Dark")</f>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_xlfn.XLOOKUP(C59,customers!$A$1:$A$1001,customers!$B$1:$B$1001,,0)</f>
        <v>Rozele Relton</v>
      </c>
      <c r="G59" s="2" t="str">
        <f>IF(_xlfn.XLOOKUP(C59,customers!$A$1:$A$1001,customers!$C$1:$C$1001,,0)=0,"",_xlfn.XLOOKUP(C59,customers!$A$1:$A$1001,customers!$C$1:$C$1001,,0))</f>
        <v>rrelton1l@stanford.edu</v>
      </c>
      <c r="H59" s="2" t="str">
        <f>_xlfn.XLOOKUP(C59,customers!$A$1:$A$1001,customers!$G$1:$G$1001,,0)</f>
        <v>United States</v>
      </c>
      <c r="I59" t="str">
        <f>INDEX(products!$A$1:$G$49,MATCH(orders!$D59,products!$A$1:$A$49,0),MATCH(orders!I$1,products!$A$1:$G$1,0))</f>
        <v>Exc</v>
      </c>
      <c r="J59" t="str">
        <f>INDEX(products!$A$1:$G$49,MATCH(orders!$D59,products!$A$1:$A$49,0),MATCH(orders!J$1,products!$A$1:$G$1,0))</f>
        <v>L</v>
      </c>
      <c r="K59" s="7">
        <f>INDEX(products!$A$1:$G$49,MATCH(orders!$D59,products!$A$1:$A$49,0),MATCH(orders!K$1,products!$A$1:$G$1,0))</f>
        <v>1</v>
      </c>
      <c r="L59" s="4">
        <f>INDEX(products!$A$1:$G$49,MATCH(orders!$D59,products!$A$1:$A$49,0),MATCH(orders!L$1,products!$A$1:$G$1,0))</f>
        <v>14.85</v>
      </c>
      <c r="M59" s="4">
        <f t="shared" si="0"/>
        <v>59.4</v>
      </c>
      <c r="N59" t="str" cm="1">
        <f t="array" ref="N59">_xlfn.IFS(I59="Rob","Robusta",I59="Exc","Excelsa",I59="Ara","Arabica",I59="Lib","Liberica")</f>
        <v>Excelsa</v>
      </c>
      <c r="O59" t="str" cm="1">
        <f t="array" ref="O59">_xlfn.IFS(J59="M","Medium",J59="L","Large",J59="D","Dark")</f>
        <v>Large</v>
      </c>
      <c r="P59" t="str">
        <f>_xlfn.XLOOKUP(Orders[[#This Row],[Customer ID]],customers!$A$1:$A$1001,customers!$I$1:$I$1001,,0)</f>
        <v>No</v>
      </c>
    </row>
    <row r="60" spans="1:16" x14ac:dyDescent="0.35">
      <c r="A60" s="2" t="s">
        <v>817</v>
      </c>
      <c r="B60" s="3">
        <v>44624</v>
      </c>
      <c r="C60" s="2" t="s">
        <v>818</v>
      </c>
      <c r="D60" t="s">
        <v>6165</v>
      </c>
      <c r="E60" s="2">
        <v>3</v>
      </c>
      <c r="F60" s="2" t="str">
        <f>_xlfn.XLOOKUP(C60,customers!$A$1:$A$1001,customers!$B$1:$B$1001,,0)</f>
        <v>Willa Rolling</v>
      </c>
      <c r="G60" s="2" t="str">
        <f>IF(_xlfn.XLOOKUP(C60,customers!$A$1:$A$1001,customers!$C$1:$C$1001,,0)=0,"",_xlfn.XLOOKUP(C60,customers!$A$1:$A$1001,customers!$C$1:$C$1001,,0))</f>
        <v/>
      </c>
      <c r="H60" s="2" t="str">
        <f>_xlfn.XLOOKUP(C60,customers!$A$1:$A$1001,customers!$G$1:$G$1001,,0)</f>
        <v>United States</v>
      </c>
      <c r="I60" t="str">
        <f>INDEX(products!$A$1:$G$49,MATCH(orders!$D60,products!$A$1:$A$49,0),MATCH(orders!I$1,products!$A$1:$G$1,0))</f>
        <v>Lib</v>
      </c>
      <c r="J60" t="str">
        <f>INDEX(products!$A$1:$G$49,MATCH(orders!$D60,products!$A$1:$A$49,0),MATCH(orders!J$1,products!$A$1:$G$1,0))</f>
        <v>D</v>
      </c>
      <c r="K60" s="7">
        <f>INDEX(products!$A$1:$G$49,MATCH(orders!$D60,products!$A$1:$A$49,0),MATCH(orders!K$1,products!$A$1:$G$1,0))</f>
        <v>2.5</v>
      </c>
      <c r="L60" s="4">
        <f>INDEX(products!$A$1:$G$49,MATCH(orders!$D60,products!$A$1:$A$49,0),MATCH(orders!L$1,products!$A$1:$G$1,0))</f>
        <v>29.784999999999997</v>
      </c>
      <c r="M60" s="4">
        <f t="shared" si="0"/>
        <v>89.35499999999999</v>
      </c>
      <c r="N60" t="str" cm="1">
        <f t="array" ref="N60">_xlfn.IFS(I60="Rob","Robusta",I60="Exc","Excelsa",I60="Ara","Arabica",I60="Lib","Liberica")</f>
        <v>Liberica</v>
      </c>
      <c r="O60" t="str" cm="1">
        <f t="array" ref="O60">_xlfn.IFS(J60="M","Medium",J60="L","Large",J60="D","Dark")</f>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_xlfn.XLOOKUP(C61,customers!$A$1:$A$1001,customers!$B$1:$B$1001,,0)</f>
        <v>Stanislaus Gilroy</v>
      </c>
      <c r="G61" s="2" t="str">
        <f>IF(_xlfn.XLOOKUP(C61,customers!$A$1:$A$1001,customers!$C$1:$C$1001,,0)=0,"",_xlfn.XLOOKUP(C61,customers!$A$1:$A$1001,customers!$C$1:$C$1001,,0))</f>
        <v>sgilroy1n@eepurl.com</v>
      </c>
      <c r="H61" s="2" t="str">
        <f>_xlfn.XLOOKUP(C61,customers!$A$1:$A$1001,customers!$G$1:$G$1001,,0)</f>
        <v>United States</v>
      </c>
      <c r="I61" t="str">
        <f>INDEX(products!$A$1:$G$49,MATCH(orders!$D61,products!$A$1:$A$49,0),MATCH(orders!I$1,products!$A$1:$G$1,0))</f>
        <v>Lib</v>
      </c>
      <c r="J61" t="str">
        <f>INDEX(products!$A$1:$G$49,MATCH(orders!$D61,products!$A$1:$A$49,0),MATCH(orders!J$1,products!$A$1:$G$1,0))</f>
        <v>M</v>
      </c>
      <c r="K61" s="7">
        <f>INDEX(products!$A$1:$G$49,MATCH(orders!$D61,products!$A$1:$A$49,0),MATCH(orders!K$1,products!$A$1:$G$1,0))</f>
        <v>0.5</v>
      </c>
      <c r="L61" s="4">
        <f>INDEX(products!$A$1:$G$49,MATCH(orders!$D61,products!$A$1:$A$49,0),MATCH(orders!L$1,products!$A$1:$G$1,0))</f>
        <v>8.73</v>
      </c>
      <c r="M61" s="4">
        <f t="shared" si="0"/>
        <v>26.19</v>
      </c>
      <c r="N61" t="str" cm="1">
        <f t="array" ref="N61">_xlfn.IFS(I61="Rob","Robusta",I61="Exc","Excelsa",I61="Ara","Arabica",I61="Lib","Liberica")</f>
        <v>Liberica</v>
      </c>
      <c r="O61" t="str" cm="1">
        <f t="array" ref="O61">_xlfn.IFS(J61="M","Medium",J61="L","Large",J61="D","Dark")</f>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_xlfn.XLOOKUP(C62,customers!$A$1:$A$1001,customers!$B$1:$B$1001,,0)</f>
        <v>Correy Cottingham</v>
      </c>
      <c r="G62" s="2" t="str">
        <f>IF(_xlfn.XLOOKUP(C62,customers!$A$1:$A$1001,customers!$C$1:$C$1001,,0)=0,"",_xlfn.XLOOKUP(C62,customers!$A$1:$A$1001,customers!$C$1:$C$1001,,0))</f>
        <v>ccottingham1o@wikipedia.org</v>
      </c>
      <c r="H62" s="2" t="str">
        <f>_xlfn.XLOOKUP(C62,customers!$A$1:$A$1001,customers!$G$1:$G$1001,,0)</f>
        <v>United States</v>
      </c>
      <c r="I62" t="str">
        <f>INDEX(products!$A$1:$G$49,MATCH(orders!$D62,products!$A$1:$A$49,0),MATCH(orders!I$1,products!$A$1:$G$1,0))</f>
        <v>Ara</v>
      </c>
      <c r="J62" t="str">
        <f>INDEX(products!$A$1:$G$49,MATCH(orders!$D62,products!$A$1:$A$49,0),MATCH(orders!J$1,products!$A$1:$G$1,0))</f>
        <v>D</v>
      </c>
      <c r="K62" s="7">
        <f>INDEX(products!$A$1:$G$49,MATCH(orders!$D62,products!$A$1:$A$49,0),MATCH(orders!K$1,products!$A$1:$G$1,0))</f>
        <v>2.5</v>
      </c>
      <c r="L62" s="4">
        <f>INDEX(products!$A$1:$G$49,MATCH(orders!$D62,products!$A$1:$A$49,0),MATCH(orders!L$1,products!$A$1:$G$1,0))</f>
        <v>22.884999999999998</v>
      </c>
      <c r="M62" s="4">
        <f t="shared" si="0"/>
        <v>114.42499999999998</v>
      </c>
      <c r="N62" t="str" cm="1">
        <f t="array" ref="N62">_xlfn.IFS(I62="Rob","Robusta",I62="Exc","Excelsa",I62="Ara","Arabica",I62="Lib","Liberica")</f>
        <v>Arabica</v>
      </c>
      <c r="O62" t="str" cm="1">
        <f t="array" ref="O62">_xlfn.IFS(J62="M","Medium",J62="L","Large",J62="D","Dark")</f>
        <v>Dark</v>
      </c>
      <c r="P62" t="str">
        <f>_xlfn.XLOOKUP(Orders[[#This Row],[Customer ID]],customers!$A$1:$A$1001,customers!$I$1:$I$1001,,0)</f>
        <v>No</v>
      </c>
    </row>
    <row r="63" spans="1:16" x14ac:dyDescent="0.35">
      <c r="A63" s="2" t="s">
        <v>833</v>
      </c>
      <c r="B63" s="3">
        <v>43521</v>
      </c>
      <c r="C63" s="2" t="s">
        <v>834</v>
      </c>
      <c r="D63" t="s">
        <v>6172</v>
      </c>
      <c r="E63" s="2">
        <v>5</v>
      </c>
      <c r="F63" s="2" t="str">
        <f>_xlfn.XLOOKUP(C63,customers!$A$1:$A$1001,customers!$B$1:$B$1001,,0)</f>
        <v>Pammi Endacott</v>
      </c>
      <c r="G63" s="2" t="str">
        <f>IF(_xlfn.XLOOKUP(C63,customers!$A$1:$A$1001,customers!$C$1:$C$1001,,0)=0,"",_xlfn.XLOOKUP(C63,customers!$A$1:$A$1001,customers!$C$1:$C$1001,,0))</f>
        <v/>
      </c>
      <c r="H63" s="2" t="str">
        <f>_xlfn.XLOOKUP(C63,customers!$A$1:$A$1001,customers!$G$1:$G$1001,,0)</f>
        <v>United Kingdom</v>
      </c>
      <c r="I63" t="str">
        <f>INDEX(products!$A$1:$G$49,MATCH(orders!$D63,products!$A$1:$A$49,0),MATCH(orders!I$1,products!$A$1:$G$1,0))</f>
        <v>Rob</v>
      </c>
      <c r="J63" t="str">
        <f>INDEX(products!$A$1:$G$49,MATCH(orders!$D63,products!$A$1:$A$49,0),MATCH(orders!J$1,products!$A$1:$G$1,0))</f>
        <v>D</v>
      </c>
      <c r="K63" s="7">
        <f>INDEX(products!$A$1:$G$49,MATCH(orders!$D63,products!$A$1:$A$49,0),MATCH(orders!K$1,products!$A$1:$G$1,0))</f>
        <v>0.5</v>
      </c>
      <c r="L63" s="4">
        <f>INDEX(products!$A$1:$G$49,MATCH(orders!$D63,products!$A$1:$A$49,0),MATCH(orders!L$1,products!$A$1:$G$1,0))</f>
        <v>5.3699999999999992</v>
      </c>
      <c r="M63" s="4">
        <f t="shared" si="0"/>
        <v>26.849999999999994</v>
      </c>
      <c r="N63" t="str" cm="1">
        <f t="array" ref="N63">_xlfn.IFS(I63="Rob","Robusta",I63="Exc","Excelsa",I63="Ara","Arabica",I63="Lib","Liberica")</f>
        <v>Robusta</v>
      </c>
      <c r="O63" t="str" cm="1">
        <f t="array" ref="O63">_xlfn.IFS(J63="M","Medium",J63="L","Large",J63="D","Dark")</f>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_xlfn.XLOOKUP(C64,customers!$A$1:$A$1001,customers!$B$1:$B$1001,,0)</f>
        <v>Nona Linklater</v>
      </c>
      <c r="G64" s="2" t="str">
        <f>IF(_xlfn.XLOOKUP(C64,customers!$A$1:$A$1001,customers!$C$1:$C$1001,,0)=0,"",_xlfn.XLOOKUP(C64,customers!$A$1:$A$1001,customers!$C$1:$C$1001,,0))</f>
        <v/>
      </c>
      <c r="H64" s="2" t="str">
        <f>_xlfn.XLOOKUP(C64,customers!$A$1:$A$1001,customers!$G$1:$G$1001,,0)</f>
        <v>United States</v>
      </c>
      <c r="I64" t="str">
        <f>INDEX(products!$A$1:$G$49,MATCH(orders!$D64,products!$A$1:$A$49,0),MATCH(orders!I$1,products!$A$1:$G$1,0))</f>
        <v>Lib</v>
      </c>
      <c r="J64" t="str">
        <f>INDEX(products!$A$1:$G$49,MATCH(orders!$D64,products!$A$1:$A$49,0),MATCH(orders!J$1,products!$A$1:$G$1,0))</f>
        <v>L</v>
      </c>
      <c r="K64" s="7">
        <f>INDEX(products!$A$1:$G$49,MATCH(orders!$D64,products!$A$1:$A$49,0),MATCH(orders!K$1,products!$A$1:$G$1,0))</f>
        <v>0.2</v>
      </c>
      <c r="L64" s="4">
        <f>INDEX(products!$A$1:$G$49,MATCH(orders!$D64,products!$A$1:$A$49,0),MATCH(orders!L$1,products!$A$1:$G$1,0))</f>
        <v>4.7549999999999999</v>
      </c>
      <c r="M64" s="4">
        <f t="shared" si="0"/>
        <v>23.774999999999999</v>
      </c>
      <c r="N64" t="str" cm="1">
        <f t="array" ref="N64">_xlfn.IFS(I64="Rob","Robusta",I64="Exc","Excelsa",I64="Ara","Arabica",I64="Lib","Liberica")</f>
        <v>Liberica</v>
      </c>
      <c r="O64" t="str" cm="1">
        <f t="array" ref="O64">_xlfn.IFS(J64="M","Medium",J64="L","Large",J64="D","Dark")</f>
        <v>Large</v>
      </c>
      <c r="P64" t="str">
        <f>_xlfn.XLOOKUP(Orders[[#This Row],[Customer ID]],customers!$A$1:$A$1001,customers!$I$1:$I$1001,,0)</f>
        <v>Yes</v>
      </c>
    </row>
    <row r="65" spans="1:16" x14ac:dyDescent="0.35">
      <c r="A65" s="2" t="s">
        <v>843</v>
      </c>
      <c r="B65" s="3">
        <v>43868</v>
      </c>
      <c r="C65" s="2" t="s">
        <v>844</v>
      </c>
      <c r="D65" t="s">
        <v>6157</v>
      </c>
      <c r="E65" s="2">
        <v>1</v>
      </c>
      <c r="F65" s="2" t="str">
        <f>_xlfn.XLOOKUP(C65,customers!$A$1:$A$1001,customers!$B$1:$B$1001,,0)</f>
        <v>Annadiane Dykes</v>
      </c>
      <c r="G65" s="2" t="str">
        <f>IF(_xlfn.XLOOKUP(C65,customers!$A$1:$A$1001,customers!$C$1:$C$1001,,0)=0,"",_xlfn.XLOOKUP(C65,customers!$A$1:$A$1001,customers!$C$1:$C$1001,,0))</f>
        <v>adykes1r@eventbrite.com</v>
      </c>
      <c r="H65" s="2" t="str">
        <f>_xlfn.XLOOKUP(C65,customers!$A$1:$A$1001,customers!$G$1:$G$1001,,0)</f>
        <v>United States</v>
      </c>
      <c r="I65" t="str">
        <f>INDEX(products!$A$1:$G$49,MATCH(orders!$D65,products!$A$1:$A$49,0),MATCH(orders!I$1,products!$A$1:$G$1,0))</f>
        <v>Ara</v>
      </c>
      <c r="J65" t="str">
        <f>INDEX(products!$A$1:$G$49,MATCH(orders!$D65,products!$A$1:$A$49,0),MATCH(orders!J$1,products!$A$1:$G$1,0))</f>
        <v>M</v>
      </c>
      <c r="K65" s="7">
        <f>INDEX(products!$A$1:$G$49,MATCH(orders!$D65,products!$A$1:$A$49,0),MATCH(orders!K$1,products!$A$1:$G$1,0))</f>
        <v>0.5</v>
      </c>
      <c r="L65" s="4">
        <f>INDEX(products!$A$1:$G$49,MATCH(orders!$D65,products!$A$1:$A$49,0),MATCH(orders!L$1,products!$A$1:$G$1,0))</f>
        <v>6.75</v>
      </c>
      <c r="M65" s="4">
        <f t="shared" si="0"/>
        <v>6.75</v>
      </c>
      <c r="N65" t="str" cm="1">
        <f t="array" ref="N65">_xlfn.IFS(I65="Rob","Robusta",I65="Exc","Excelsa",I65="Ara","Arabica",I65="Lib","Liberica")</f>
        <v>Arabica</v>
      </c>
      <c r="O65" t="str" cm="1">
        <f t="array" ref="O65">_xlfn.IFS(J65="M","Medium",J65="L","Large",J65="D","Dark")</f>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_xlfn.XLOOKUP(C66,customers!$A$1:$A$1001,customers!$B$1:$B$1001,,0)</f>
        <v>Felecia Dodgson</v>
      </c>
      <c r="G66" s="2" t="str">
        <f>IF(_xlfn.XLOOKUP(C66,customers!$A$1:$A$1001,customers!$C$1:$C$1001,,0)=0,"",_xlfn.XLOOKUP(C66,customers!$A$1:$A$1001,customers!$C$1:$C$1001,,0))</f>
        <v/>
      </c>
      <c r="H66" s="2" t="str">
        <f>_xlfn.XLOOKUP(C66,customers!$A$1:$A$1001,customers!$G$1:$G$1001,,0)</f>
        <v>United States</v>
      </c>
      <c r="I66" t="str">
        <f>INDEX(products!$A$1:$G$49,MATCH(orders!$D66,products!$A$1:$A$49,0),MATCH(orders!I$1,products!$A$1:$G$1,0))</f>
        <v>Rob</v>
      </c>
      <c r="J66" t="str">
        <f>INDEX(products!$A$1:$G$49,MATCH(orders!$D66,products!$A$1:$A$49,0),MATCH(orders!J$1,products!$A$1:$G$1,0))</f>
        <v>M</v>
      </c>
      <c r="K66" s="7">
        <f>INDEX(products!$A$1:$G$49,MATCH(orders!$D66,products!$A$1:$A$49,0),MATCH(orders!K$1,products!$A$1:$G$1,0))</f>
        <v>0.5</v>
      </c>
      <c r="L66" s="4">
        <f>INDEX(products!$A$1:$G$49,MATCH(orders!$D66,products!$A$1:$A$49,0),MATCH(orders!L$1,products!$A$1:$G$1,0))</f>
        <v>5.97</v>
      </c>
      <c r="M66" s="4">
        <f t="shared" si="0"/>
        <v>35.82</v>
      </c>
      <c r="N66" t="str" cm="1">
        <f t="array" ref="N66">_xlfn.IFS(I66="Rob","Robusta",I66="Exc","Excelsa",I66="Ara","Arabica",I66="Lib","Liberica")</f>
        <v>Robusta</v>
      </c>
      <c r="O66" t="str" cm="1">
        <f t="array" ref="O66">_xlfn.IFS(J66="M","Medium",J66="L","Large",J66="D","Dark")</f>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_xlfn.XLOOKUP(C67,customers!$A$1:$A$1001,customers!$B$1:$B$1001,,0)</f>
        <v>Angelia Cockrem</v>
      </c>
      <c r="G67" s="2" t="str">
        <f>IF(_xlfn.XLOOKUP(C67,customers!$A$1:$A$1001,customers!$C$1:$C$1001,,0)=0,"",_xlfn.XLOOKUP(C67,customers!$A$1:$A$1001,customers!$C$1:$C$1001,,0))</f>
        <v>acockrem1t@engadget.com</v>
      </c>
      <c r="H67" s="2" t="str">
        <f>_xlfn.XLOOKUP(C67,customers!$A$1:$A$1001,customers!$G$1:$G$1001,,0)</f>
        <v>United States</v>
      </c>
      <c r="I67" t="str">
        <f>INDEX(products!$A$1:$G$49,MATCH(orders!$D67,products!$A$1:$A$49,0),MATCH(orders!I$1,products!$A$1:$G$1,0))</f>
        <v>Rob</v>
      </c>
      <c r="J67" t="str">
        <f>INDEX(products!$A$1:$G$49,MATCH(orders!$D67,products!$A$1:$A$49,0),MATCH(orders!J$1,products!$A$1:$G$1,0))</f>
        <v>D</v>
      </c>
      <c r="K67" s="7">
        <f>INDEX(products!$A$1:$G$49,MATCH(orders!$D67,products!$A$1:$A$49,0),MATCH(orders!K$1,products!$A$1:$G$1,0))</f>
        <v>2.5</v>
      </c>
      <c r="L67" s="4">
        <f>INDEX(products!$A$1:$G$49,MATCH(orders!$D67,products!$A$1:$A$49,0),MATCH(orders!L$1,products!$A$1:$G$1,0))</f>
        <v>20.584999999999997</v>
      </c>
      <c r="M67" s="4">
        <f t="shared" ref="M67:M130" si="1">L67*E67</f>
        <v>82.339999999999989</v>
      </c>
      <c r="N67" t="str" cm="1">
        <f t="array" ref="N67">_xlfn.IFS(I67="Rob","Robusta",I67="Exc","Excelsa",I67="Ara","Arabica",I67="Lib","Liberica")</f>
        <v>Robusta</v>
      </c>
      <c r="O67" t="str" cm="1">
        <f t="array" ref="O67">_xlfn.IFS(J67="M","Medium",J67="L","Large",J67="D","Dark")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_xlfn.XLOOKUP(C68,customers!$A$1:$A$1001,customers!$B$1:$B$1001,,0)</f>
        <v>Belvia Umpleby</v>
      </c>
      <c r="G68" s="2" t="str">
        <f>IF(_xlfn.XLOOKUP(C68,customers!$A$1:$A$1001,customers!$C$1:$C$1001,,0)=0,"",_xlfn.XLOOKUP(C68,customers!$A$1:$A$1001,customers!$C$1:$C$1001,,0))</f>
        <v>bumpleby1u@soundcloud.com</v>
      </c>
      <c r="H68" s="2" t="str">
        <f>_xlfn.XLOOKUP(C68,customers!$A$1:$A$1001,customers!$G$1:$G$1001,,0)</f>
        <v>United States</v>
      </c>
      <c r="I68" t="str">
        <f>INDEX(products!$A$1:$G$49,MATCH(orders!$D68,products!$A$1:$A$49,0),MATCH(orders!I$1,products!$A$1:$G$1,0))</f>
        <v>Rob</v>
      </c>
      <c r="J68" t="str">
        <f>INDEX(products!$A$1:$G$49,MATCH(orders!$D68,products!$A$1:$A$49,0),MATCH(orders!J$1,products!$A$1:$G$1,0))</f>
        <v>L</v>
      </c>
      <c r="K68" s="7">
        <f>INDEX(products!$A$1:$G$49,MATCH(orders!$D68,products!$A$1:$A$49,0),MATCH(orders!K$1,products!$A$1:$G$1,0))</f>
        <v>0.5</v>
      </c>
      <c r="L68" s="4">
        <f>INDEX(products!$A$1:$G$49,MATCH(orders!$D68,products!$A$1:$A$49,0),MATCH(orders!L$1,products!$A$1:$G$1,0))</f>
        <v>7.169999999999999</v>
      </c>
      <c r="M68" s="4">
        <f t="shared" si="1"/>
        <v>7.169999999999999</v>
      </c>
      <c r="N68" t="str" cm="1">
        <f t="array" ref="N68">_xlfn.IFS(I68="Rob","Robusta",I68="Exc","Excelsa",I68="Ara","Arabica",I68="Lib","Liberica")</f>
        <v>Robusta</v>
      </c>
      <c r="O68" t="str" cm="1">
        <f t="array" ref="O68">_xlfn.IFS(J68="M","Medium",J68="L","Large",J68="D","Dark")</f>
        <v>Large</v>
      </c>
      <c r="P68" t="str">
        <f>_xlfn.XLOOKUP(Orders[[#This Row],[Customer ID]],customers!$A$1:$A$1001,customers!$I$1:$I$1001,,0)</f>
        <v>Yes</v>
      </c>
    </row>
    <row r="69" spans="1:16" x14ac:dyDescent="0.35">
      <c r="A69" s="2" t="s">
        <v>866</v>
      </c>
      <c r="B69" s="3">
        <v>44519</v>
      </c>
      <c r="C69" s="2" t="s">
        <v>867</v>
      </c>
      <c r="D69" t="s">
        <v>6145</v>
      </c>
      <c r="E69" s="2">
        <v>2</v>
      </c>
      <c r="F69" s="2" t="str">
        <f>_xlfn.XLOOKUP(C69,customers!$A$1:$A$1001,customers!$B$1:$B$1001,,0)</f>
        <v>Nat Saleway</v>
      </c>
      <c r="G69" s="2" t="str">
        <f>IF(_xlfn.XLOOKUP(C69,customers!$A$1:$A$1001,customers!$C$1:$C$1001,,0)=0,"",_xlfn.XLOOKUP(C69,customers!$A$1:$A$1001,customers!$C$1:$C$1001,,0))</f>
        <v>nsaleway1v@dedecms.com</v>
      </c>
      <c r="H69" s="2" t="str">
        <f>_xlfn.XLOOKUP(C69,customers!$A$1:$A$1001,customers!$G$1:$G$1001,,0)</f>
        <v>United States</v>
      </c>
      <c r="I69" t="str">
        <f>INDEX(products!$A$1:$G$49,MATCH(orders!$D69,products!$A$1:$A$49,0),MATCH(orders!I$1,products!$A$1:$G$1,0))</f>
        <v>Lib</v>
      </c>
      <c r="J69" t="str">
        <f>INDEX(products!$A$1:$G$49,MATCH(orders!$D69,products!$A$1:$A$49,0),MATCH(orders!J$1,products!$A$1:$G$1,0))</f>
        <v>L</v>
      </c>
      <c r="K69" s="7">
        <f>INDEX(products!$A$1:$G$49,MATCH(orders!$D69,products!$A$1:$A$49,0),MATCH(orders!K$1,products!$A$1:$G$1,0))</f>
        <v>0.2</v>
      </c>
      <c r="L69" s="4">
        <f>INDEX(products!$A$1:$G$49,MATCH(orders!$D69,products!$A$1:$A$49,0),MATCH(orders!L$1,products!$A$1:$G$1,0))</f>
        <v>4.7549999999999999</v>
      </c>
      <c r="M69" s="4">
        <f t="shared" si="1"/>
        <v>9.51</v>
      </c>
      <c r="N69" t="str" cm="1">
        <f t="array" ref="N69">_xlfn.IFS(I69="Rob","Robusta",I69="Exc","Excelsa",I69="Ara","Arabica",I69="Lib","Liberica")</f>
        <v>Liberica</v>
      </c>
      <c r="O69" t="str" cm="1">
        <f t="array" ref="O69">_xlfn.IFS(J69="M","Medium",J69="L","Large",J69="D","Dark")</f>
        <v>Large</v>
      </c>
      <c r="P69" t="str">
        <f>_xlfn.XLOOKUP(Orders[[#This Row],[Customer ID]],customers!$A$1:$A$1001,customers!$I$1:$I$1001,,0)</f>
        <v>No</v>
      </c>
    </row>
    <row r="70" spans="1:16" x14ac:dyDescent="0.35">
      <c r="A70" s="2" t="s">
        <v>872</v>
      </c>
      <c r="B70" s="3">
        <v>43754</v>
      </c>
      <c r="C70" s="2" t="s">
        <v>873</v>
      </c>
      <c r="D70" t="s">
        <v>6174</v>
      </c>
      <c r="E70" s="2">
        <v>1</v>
      </c>
      <c r="F70" s="2" t="str">
        <f>_xlfn.XLOOKUP(C70,customers!$A$1:$A$1001,customers!$B$1:$B$1001,,0)</f>
        <v>Hayward Goulter</v>
      </c>
      <c r="G70" s="2" t="str">
        <f>IF(_xlfn.XLOOKUP(C70,customers!$A$1:$A$1001,customers!$C$1:$C$1001,,0)=0,"",_xlfn.XLOOKUP(C70,customers!$A$1:$A$1001,customers!$C$1:$C$1001,,0))</f>
        <v>hgoulter1w@abc.net.au</v>
      </c>
      <c r="H70" s="2" t="str">
        <f>_xlfn.XLOOKUP(C70,customers!$A$1:$A$1001,customers!$G$1:$G$1001,,0)</f>
        <v>United States</v>
      </c>
      <c r="I70" t="str">
        <f>INDEX(products!$A$1:$G$49,MATCH(orders!$D70,products!$A$1:$A$49,0),MATCH(orders!I$1,products!$A$1:$G$1,0))</f>
        <v>Rob</v>
      </c>
      <c r="J70" t="str">
        <f>INDEX(products!$A$1:$G$49,MATCH(orders!$D70,products!$A$1:$A$49,0),MATCH(orders!J$1,products!$A$1:$G$1,0))</f>
        <v>M</v>
      </c>
      <c r="K70" s="7">
        <f>INDEX(products!$A$1:$G$49,MATCH(orders!$D70,products!$A$1:$A$49,0),MATCH(orders!K$1,products!$A$1:$G$1,0))</f>
        <v>0.2</v>
      </c>
      <c r="L70" s="4">
        <f>INDEX(products!$A$1:$G$49,MATCH(orders!$D70,products!$A$1:$A$49,0),MATCH(orders!L$1,products!$A$1:$G$1,0))</f>
        <v>2.9849999999999999</v>
      </c>
      <c r="M70" s="4">
        <f t="shared" si="1"/>
        <v>2.9849999999999999</v>
      </c>
      <c r="N70" t="str" cm="1">
        <f t="array" ref="N70">_xlfn.IFS(I70="Rob","Robusta",I70="Exc","Excelsa",I70="Ara","Arabica",I70="Lib","Liberica")</f>
        <v>Robusta</v>
      </c>
      <c r="O70" t="str" cm="1">
        <f t="array" ref="O70">_xlfn.IFS(J70="M","Medium",J70="L","Large",J70="D","Dark")</f>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_xlfn.XLOOKUP(C71,customers!$A$1:$A$1001,customers!$B$1:$B$1001,,0)</f>
        <v>Gay Rizzello</v>
      </c>
      <c r="G71" s="2" t="str">
        <f>IF(_xlfn.XLOOKUP(C71,customers!$A$1:$A$1001,customers!$C$1:$C$1001,,0)=0,"",_xlfn.XLOOKUP(C71,customers!$A$1:$A$1001,customers!$C$1:$C$1001,,0))</f>
        <v>grizzello1x@symantec.com</v>
      </c>
      <c r="H71" s="2" t="str">
        <f>_xlfn.XLOOKUP(C71,customers!$A$1:$A$1001,customers!$G$1:$G$1001,,0)</f>
        <v>United Kingdom</v>
      </c>
      <c r="I71" t="str">
        <f>INDEX(products!$A$1:$G$49,MATCH(orders!$D71,products!$A$1:$A$49,0),MATCH(orders!I$1,products!$A$1:$G$1,0))</f>
        <v>Rob</v>
      </c>
      <c r="J71" t="str">
        <f>INDEX(products!$A$1:$G$49,MATCH(orders!$D71,products!$A$1:$A$49,0),MATCH(orders!J$1,products!$A$1:$G$1,0))</f>
        <v>M</v>
      </c>
      <c r="K71" s="7">
        <f>INDEX(products!$A$1:$G$49,MATCH(orders!$D71,products!$A$1:$A$49,0),MATCH(orders!K$1,products!$A$1:$G$1,0))</f>
        <v>1</v>
      </c>
      <c r="L71" s="4">
        <f>INDEX(products!$A$1:$G$49,MATCH(orders!$D71,products!$A$1:$A$49,0),MATCH(orders!L$1,products!$A$1:$G$1,0))</f>
        <v>9.9499999999999993</v>
      </c>
      <c r="M71" s="4">
        <f t="shared" si="1"/>
        <v>59.699999999999996</v>
      </c>
      <c r="N71" t="str" cm="1">
        <f t="array" ref="N71">_xlfn.IFS(I71="Rob","Robusta",I71="Exc","Excelsa",I71="Ara","Arabica",I71="Lib","Liberica")</f>
        <v>Robusta</v>
      </c>
      <c r="O71" t="str" cm="1">
        <f t="array" ref="O71">_xlfn.IFS(J71="M","Medium",J71="L","Large",J71="D","Dark")</f>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_xlfn.XLOOKUP(C72,customers!$A$1:$A$1001,customers!$B$1:$B$1001,,0)</f>
        <v>Shannon List</v>
      </c>
      <c r="G72" s="2" t="str">
        <f>IF(_xlfn.XLOOKUP(C72,customers!$A$1:$A$1001,customers!$C$1:$C$1001,,0)=0,"",_xlfn.XLOOKUP(C72,customers!$A$1:$A$1001,customers!$C$1:$C$1001,,0))</f>
        <v>slist1y@mapquest.com</v>
      </c>
      <c r="H72" s="2" t="str">
        <f>_xlfn.XLOOKUP(C72,customers!$A$1:$A$1001,customers!$G$1:$G$1001,,0)</f>
        <v>United States</v>
      </c>
      <c r="I72" t="str">
        <f>INDEX(products!$A$1:$G$49,MATCH(orders!$D72,products!$A$1:$A$49,0),MATCH(orders!I$1,products!$A$1:$G$1,0))</f>
        <v>Exc</v>
      </c>
      <c r="J72" t="str">
        <f>INDEX(products!$A$1:$G$49,MATCH(orders!$D72,products!$A$1:$A$49,0),MATCH(orders!J$1,products!$A$1:$G$1,0))</f>
        <v>L</v>
      </c>
      <c r="K72" s="7">
        <f>INDEX(products!$A$1:$G$49,MATCH(orders!$D72,products!$A$1:$A$49,0),MATCH(orders!K$1,products!$A$1:$G$1,0))</f>
        <v>2.5</v>
      </c>
      <c r="L72" s="4">
        <f>INDEX(products!$A$1:$G$49,MATCH(orders!$D72,products!$A$1:$A$49,0),MATCH(orders!L$1,products!$A$1:$G$1,0))</f>
        <v>34.154999999999994</v>
      </c>
      <c r="M72" s="4">
        <f t="shared" si="1"/>
        <v>136.61999999999998</v>
      </c>
      <c r="N72" t="str" cm="1">
        <f t="array" ref="N72">_xlfn.IFS(I72="Rob","Robusta",I72="Exc","Excelsa",I72="Ara","Arabica",I72="Lib","Liberica")</f>
        <v>Excelsa</v>
      </c>
      <c r="O72" t="str" cm="1">
        <f t="array" ref="O72">_xlfn.IFS(J72="M","Medium",J72="L","Large",J72="D","Dark")</f>
        <v>Large</v>
      </c>
      <c r="P72" t="str">
        <f>_xlfn.XLOOKUP(Orders[[#This Row],[Customer ID]],customers!$A$1:$A$1001,customers!$I$1:$I$1001,,0)</f>
        <v>No</v>
      </c>
    </row>
    <row r="73" spans="1:16" x14ac:dyDescent="0.35">
      <c r="A73" s="2" t="s">
        <v>891</v>
      </c>
      <c r="B73" s="3">
        <v>44200</v>
      </c>
      <c r="C73" s="2" t="s">
        <v>892</v>
      </c>
      <c r="D73" t="s">
        <v>6145</v>
      </c>
      <c r="E73" s="2">
        <v>2</v>
      </c>
      <c r="F73" s="2" t="str">
        <f>_xlfn.XLOOKUP(C73,customers!$A$1:$A$1001,customers!$B$1:$B$1001,,0)</f>
        <v>Shirlene Edmondson</v>
      </c>
      <c r="G73" s="2" t="str">
        <f>IF(_xlfn.XLOOKUP(C73,customers!$A$1:$A$1001,customers!$C$1:$C$1001,,0)=0,"",_xlfn.XLOOKUP(C73,customers!$A$1:$A$1001,customers!$C$1:$C$1001,,0))</f>
        <v>sedmondson1z@theguardian.com</v>
      </c>
      <c r="H73" s="2" t="str">
        <f>_xlfn.XLOOKUP(C73,customers!$A$1:$A$1001,customers!$G$1:$G$1001,,0)</f>
        <v>Ireland</v>
      </c>
      <c r="I73" t="str">
        <f>INDEX(products!$A$1:$G$49,MATCH(orders!$D73,products!$A$1:$A$49,0),MATCH(orders!I$1,products!$A$1:$G$1,0))</f>
        <v>Lib</v>
      </c>
      <c r="J73" t="str">
        <f>INDEX(products!$A$1:$G$49,MATCH(orders!$D73,products!$A$1:$A$49,0),MATCH(orders!J$1,products!$A$1:$G$1,0))</f>
        <v>L</v>
      </c>
      <c r="K73" s="7">
        <f>INDEX(products!$A$1:$G$49,MATCH(orders!$D73,products!$A$1:$A$49,0),MATCH(orders!K$1,products!$A$1:$G$1,0))</f>
        <v>0.2</v>
      </c>
      <c r="L73" s="4">
        <f>INDEX(products!$A$1:$G$49,MATCH(orders!$D73,products!$A$1:$A$49,0),MATCH(orders!L$1,products!$A$1:$G$1,0))</f>
        <v>4.7549999999999999</v>
      </c>
      <c r="M73" s="4">
        <f t="shared" si="1"/>
        <v>9.51</v>
      </c>
      <c r="N73" t="str" cm="1">
        <f t="array" ref="N73">_xlfn.IFS(I73="Rob","Robusta",I73="Exc","Excelsa",I73="Ara","Arabica",I73="Lib","Liberica")</f>
        <v>Liberica</v>
      </c>
      <c r="O73" t="str" cm="1">
        <f t="array" ref="O73">_xlfn.IFS(J73="M","Medium",J73="L","Large",J73="D","Dark")</f>
        <v>Large</v>
      </c>
      <c r="P73" t="str">
        <f>_xlfn.XLOOKUP(Orders[[#This Row],[Customer ID]],customers!$A$1:$A$1001,customers!$I$1:$I$1001,,0)</f>
        <v>No</v>
      </c>
    </row>
    <row r="74" spans="1:16" x14ac:dyDescent="0.35">
      <c r="A74" s="2" t="s">
        <v>897</v>
      </c>
      <c r="B74" s="3">
        <v>44131</v>
      </c>
      <c r="C74" s="2" t="s">
        <v>898</v>
      </c>
      <c r="D74" t="s">
        <v>6175</v>
      </c>
      <c r="E74" s="2">
        <v>3</v>
      </c>
      <c r="F74" s="2" t="str">
        <f>_xlfn.XLOOKUP(C74,customers!$A$1:$A$1001,customers!$B$1:$B$1001,,0)</f>
        <v>Aurlie McCarl</v>
      </c>
      <c r="G74" s="2" t="str">
        <f>IF(_xlfn.XLOOKUP(C74,customers!$A$1:$A$1001,customers!$C$1:$C$1001,,0)=0,"",_xlfn.XLOOKUP(C74,customers!$A$1:$A$1001,customers!$C$1:$C$1001,,0))</f>
        <v/>
      </c>
      <c r="H74" s="2" t="str">
        <f>_xlfn.XLOOKUP(C74,customers!$A$1:$A$1001,customers!$G$1:$G$1001,,0)</f>
        <v>United States</v>
      </c>
      <c r="I74" t="str">
        <f>INDEX(products!$A$1:$G$49,MATCH(orders!$D74,products!$A$1:$A$49,0),MATCH(orders!I$1,products!$A$1:$G$1,0))</f>
        <v>Ara</v>
      </c>
      <c r="J74" t="str">
        <f>INDEX(products!$A$1:$G$49,MATCH(orders!$D74,products!$A$1:$A$49,0),MATCH(orders!J$1,products!$A$1:$G$1,0))</f>
        <v>M</v>
      </c>
      <c r="K74" s="7">
        <f>INDEX(products!$A$1:$G$49,MATCH(orders!$D74,products!$A$1:$A$49,0),MATCH(orders!K$1,products!$A$1:$G$1,0))</f>
        <v>2.5</v>
      </c>
      <c r="L74" s="4">
        <f>INDEX(products!$A$1:$G$49,MATCH(orders!$D74,products!$A$1:$A$49,0),MATCH(orders!L$1,products!$A$1:$G$1,0))</f>
        <v>25.874999999999996</v>
      </c>
      <c r="M74" s="4">
        <f t="shared" si="1"/>
        <v>77.624999999999986</v>
      </c>
      <c r="N74" t="str" cm="1">
        <f t="array" ref="N74">_xlfn.IFS(I74="Rob","Robusta",I74="Exc","Excelsa",I74="Ara","Arabica",I74="Lib","Liberica")</f>
        <v>Arabica</v>
      </c>
      <c r="O74" t="str" cm="1">
        <f t="array" ref="O74">_xlfn.IFS(J74="M","Medium",J74="L","Large",J74="D","Dark")</f>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_xlfn.XLOOKUP(C75,customers!$A$1:$A$1001,customers!$B$1:$B$1001,,0)</f>
        <v>Alikee Carryer</v>
      </c>
      <c r="G75" s="2" t="str">
        <f>IF(_xlfn.XLOOKUP(C75,customers!$A$1:$A$1001,customers!$C$1:$C$1001,,0)=0,"",_xlfn.XLOOKUP(C75,customers!$A$1:$A$1001,customers!$C$1:$C$1001,,0))</f>
        <v/>
      </c>
      <c r="H75" s="2" t="str">
        <f>_xlfn.XLOOKUP(C75,customers!$A$1:$A$1001,customers!$G$1:$G$1001,,0)</f>
        <v>United States</v>
      </c>
      <c r="I75" t="str">
        <f>INDEX(products!$A$1:$G$49,MATCH(orders!$D75,products!$A$1:$A$49,0),MATCH(orders!I$1,products!$A$1:$G$1,0))</f>
        <v>Lib</v>
      </c>
      <c r="J75" t="str">
        <f>INDEX(products!$A$1:$G$49,MATCH(orders!$D75,products!$A$1:$A$49,0),MATCH(orders!J$1,products!$A$1:$G$1,0))</f>
        <v>M</v>
      </c>
      <c r="K75" s="7">
        <f>INDEX(products!$A$1:$G$49,MATCH(orders!$D75,products!$A$1:$A$49,0),MATCH(orders!K$1,products!$A$1:$G$1,0))</f>
        <v>0.2</v>
      </c>
      <c r="L75" s="4">
        <f>INDEX(products!$A$1:$G$49,MATCH(orders!$D75,products!$A$1:$A$49,0),MATCH(orders!L$1,products!$A$1:$G$1,0))</f>
        <v>4.3650000000000002</v>
      </c>
      <c r="M75" s="4">
        <f t="shared" si="1"/>
        <v>21.825000000000003</v>
      </c>
      <c r="N75" t="str" cm="1">
        <f t="array" ref="N75">_xlfn.IFS(I75="Rob","Robusta",I75="Exc","Excelsa",I75="Ara","Arabica",I75="Lib","Liberica")</f>
        <v>Liberica</v>
      </c>
      <c r="O75" t="str" cm="1">
        <f t="array" ref="O75">_xlfn.IFS(J75="M","Medium",J75="L","Large",J75="D","Dark")</f>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_xlfn.XLOOKUP(C76,customers!$A$1:$A$1001,customers!$B$1:$B$1001,,0)</f>
        <v>Jennifer Rangall</v>
      </c>
      <c r="G76" s="2" t="str">
        <f>IF(_xlfn.XLOOKUP(C76,customers!$A$1:$A$1001,customers!$C$1:$C$1001,,0)=0,"",_xlfn.XLOOKUP(C76,customers!$A$1:$A$1001,customers!$C$1:$C$1001,,0))</f>
        <v>jrangall22@newsvine.com</v>
      </c>
      <c r="H76" s="2" t="str">
        <f>_xlfn.XLOOKUP(C76,customers!$A$1:$A$1001,customers!$G$1:$G$1001,,0)</f>
        <v>United States</v>
      </c>
      <c r="I76" t="str">
        <f>INDEX(products!$A$1:$G$49,MATCH(orders!$D76,products!$A$1:$A$49,0),MATCH(orders!I$1,products!$A$1:$G$1,0))</f>
        <v>Exc</v>
      </c>
      <c r="J76" t="str">
        <f>INDEX(products!$A$1:$G$49,MATCH(orders!$D76,products!$A$1:$A$49,0),MATCH(orders!J$1,products!$A$1:$G$1,0))</f>
        <v>L</v>
      </c>
      <c r="K76" s="7">
        <f>INDEX(products!$A$1:$G$49,MATCH(orders!$D76,products!$A$1:$A$49,0),MATCH(orders!K$1,products!$A$1:$G$1,0))</f>
        <v>0.5</v>
      </c>
      <c r="L76" s="4">
        <f>INDEX(products!$A$1:$G$49,MATCH(orders!$D76,products!$A$1:$A$49,0),MATCH(orders!L$1,products!$A$1:$G$1,0))</f>
        <v>8.91</v>
      </c>
      <c r="M76" s="4">
        <f t="shared" si="1"/>
        <v>17.82</v>
      </c>
      <c r="N76" t="str" cm="1">
        <f t="array" ref="N76">_xlfn.IFS(I76="Rob","Robusta",I76="Exc","Excelsa",I76="Ara","Arabica",I76="Lib","Liberica")</f>
        <v>Excelsa</v>
      </c>
      <c r="O76" t="str" cm="1">
        <f t="array" ref="O76">_xlfn.IFS(J76="M","Medium",J76="L","Large",J76="D","Dark")</f>
        <v>Large</v>
      </c>
      <c r="P76" t="str">
        <f>_xlfn.XLOOKUP(Orders[[#This Row],[Customer ID]],customers!$A$1:$A$1001,customers!$I$1:$I$1001,,0)</f>
        <v>Yes</v>
      </c>
    </row>
    <row r="77" spans="1:16" x14ac:dyDescent="0.35">
      <c r="A77" s="2" t="s">
        <v>913</v>
      </c>
      <c r="B77" s="3">
        <v>44400</v>
      </c>
      <c r="C77" s="2" t="s">
        <v>914</v>
      </c>
      <c r="D77" t="s">
        <v>6177</v>
      </c>
      <c r="E77" s="2">
        <v>6</v>
      </c>
      <c r="F77" s="2" t="str">
        <f>_xlfn.XLOOKUP(C77,customers!$A$1:$A$1001,customers!$B$1:$B$1001,,0)</f>
        <v>Kipper Boorn</v>
      </c>
      <c r="G77" s="2" t="str">
        <f>IF(_xlfn.XLOOKUP(C77,customers!$A$1:$A$1001,customers!$C$1:$C$1001,,0)=0,"",_xlfn.XLOOKUP(C77,customers!$A$1:$A$1001,customers!$C$1:$C$1001,,0))</f>
        <v>kboorn23@ezinearticles.com</v>
      </c>
      <c r="H77" s="2" t="str">
        <f>_xlfn.XLOOKUP(C77,customers!$A$1:$A$1001,customers!$G$1:$G$1001,,0)</f>
        <v>Ireland</v>
      </c>
      <c r="I77" t="str">
        <f>INDEX(products!$A$1:$G$49,MATCH(orders!$D77,products!$A$1:$A$49,0),MATCH(orders!I$1,products!$A$1:$G$1,0))</f>
        <v>Rob</v>
      </c>
      <c r="J77" t="str">
        <f>INDEX(products!$A$1:$G$49,MATCH(orders!$D77,products!$A$1:$A$49,0),MATCH(orders!J$1,products!$A$1:$G$1,0))</f>
        <v>D</v>
      </c>
      <c r="K77" s="7">
        <f>INDEX(products!$A$1:$G$49,MATCH(orders!$D77,products!$A$1:$A$49,0),MATCH(orders!K$1,products!$A$1:$G$1,0))</f>
        <v>1</v>
      </c>
      <c r="L77" s="4">
        <f>INDEX(products!$A$1:$G$49,MATCH(orders!$D77,products!$A$1:$A$49,0),MATCH(orders!L$1,products!$A$1:$G$1,0))</f>
        <v>8.9499999999999993</v>
      </c>
      <c r="M77" s="4">
        <f t="shared" si="1"/>
        <v>53.699999999999996</v>
      </c>
      <c r="N77" t="str" cm="1">
        <f t="array" ref="N77">_xlfn.IFS(I77="Rob","Robusta",I77="Exc","Excelsa",I77="Ara","Arabica",I77="Lib","Liberica")</f>
        <v>Robusta</v>
      </c>
      <c r="O77" t="str" cm="1">
        <f t="array" ref="O77">_xlfn.IFS(J77="M","Medium",J77="L","Large",J77="D","Dark")</f>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_xlfn.XLOOKUP(C78,customers!$A$1:$A$1001,customers!$B$1:$B$1001,,0)</f>
        <v>Melania Beadle</v>
      </c>
      <c r="G78" s="2" t="str">
        <f>IF(_xlfn.XLOOKUP(C78,customers!$A$1:$A$1001,customers!$C$1:$C$1001,,0)=0,"",_xlfn.XLOOKUP(C78,customers!$A$1:$A$1001,customers!$C$1:$C$1001,,0))</f>
        <v/>
      </c>
      <c r="H78" s="2" t="str">
        <f>_xlfn.XLOOKUP(C78,customers!$A$1:$A$1001,customers!$G$1:$G$1001,,0)</f>
        <v>Ireland</v>
      </c>
      <c r="I78" t="str">
        <f>INDEX(products!$A$1:$G$49,MATCH(orders!$D78,products!$A$1:$A$49,0),MATCH(orders!I$1,products!$A$1:$G$1,0))</f>
        <v>Rob</v>
      </c>
      <c r="J78" t="str">
        <f>INDEX(products!$A$1:$G$49,MATCH(orders!$D78,products!$A$1:$A$49,0),MATCH(orders!J$1,products!$A$1:$G$1,0))</f>
        <v>L</v>
      </c>
      <c r="K78" s="7">
        <f>INDEX(products!$A$1:$G$49,MATCH(orders!$D78,products!$A$1:$A$49,0),MATCH(orders!K$1,products!$A$1:$G$1,0))</f>
        <v>0.2</v>
      </c>
      <c r="L78" s="4">
        <f>INDEX(products!$A$1:$G$49,MATCH(orders!$D78,products!$A$1:$A$49,0),MATCH(orders!L$1,products!$A$1:$G$1,0))</f>
        <v>3.5849999999999995</v>
      </c>
      <c r="M78" s="4">
        <f t="shared" si="1"/>
        <v>3.5849999999999995</v>
      </c>
      <c r="N78" t="str" cm="1">
        <f t="array" ref="N78">_xlfn.IFS(I78="Rob","Robusta",I78="Exc","Excelsa",I78="Ara","Arabica",I78="Lib","Liberica")</f>
        <v>Robusta</v>
      </c>
      <c r="O78" t="str" cm="1">
        <f t="array" ref="O78">_xlfn.IFS(J78="M","Medium",J78="L","Large",J78="D","Dark")</f>
        <v>Large</v>
      </c>
      <c r="P78" t="str">
        <f>_xlfn.XLOOKUP(Orders[[#This Row],[Customer ID]],customers!$A$1:$A$1001,customers!$I$1:$I$1001,,0)</f>
        <v>Yes</v>
      </c>
    </row>
    <row r="79" spans="1:16" x14ac:dyDescent="0.35">
      <c r="A79" s="2" t="s">
        <v>924</v>
      </c>
      <c r="B79" s="3">
        <v>43594</v>
      </c>
      <c r="C79" s="2" t="s">
        <v>925</v>
      </c>
      <c r="D79" t="s">
        <v>6153</v>
      </c>
      <c r="E79" s="2">
        <v>2</v>
      </c>
      <c r="F79" s="2" t="str">
        <f>_xlfn.XLOOKUP(C79,customers!$A$1:$A$1001,customers!$B$1:$B$1001,,0)</f>
        <v>Colene Elgey</v>
      </c>
      <c r="G79" s="2" t="str">
        <f>IF(_xlfn.XLOOKUP(C79,customers!$A$1:$A$1001,customers!$C$1:$C$1001,,0)=0,"",_xlfn.XLOOKUP(C79,customers!$A$1:$A$1001,customers!$C$1:$C$1001,,0))</f>
        <v>celgey25@webs.com</v>
      </c>
      <c r="H79" s="2" t="str">
        <f>_xlfn.XLOOKUP(C79,customers!$A$1:$A$1001,customers!$G$1:$G$1001,,0)</f>
        <v>United States</v>
      </c>
      <c r="I79" t="str">
        <f>INDEX(products!$A$1:$G$49,MATCH(orders!$D79,products!$A$1:$A$49,0),MATCH(orders!I$1,products!$A$1:$G$1,0))</f>
        <v>Exc</v>
      </c>
      <c r="J79" t="str">
        <f>INDEX(products!$A$1:$G$49,MATCH(orders!$D79,products!$A$1:$A$49,0),MATCH(orders!J$1,products!$A$1:$G$1,0))</f>
        <v>D</v>
      </c>
      <c r="K79" s="7">
        <f>INDEX(products!$A$1:$G$49,MATCH(orders!$D79,products!$A$1:$A$49,0),MATCH(orders!K$1,products!$A$1:$G$1,0))</f>
        <v>0.2</v>
      </c>
      <c r="L79" s="4">
        <f>INDEX(products!$A$1:$G$49,MATCH(orders!$D79,products!$A$1:$A$49,0),MATCH(orders!L$1,products!$A$1:$G$1,0))</f>
        <v>3.645</v>
      </c>
      <c r="M79" s="4">
        <f t="shared" si="1"/>
        <v>7.29</v>
      </c>
      <c r="N79" t="str" cm="1">
        <f t="array" ref="N79">_xlfn.IFS(I79="Rob","Robusta",I79="Exc","Excelsa",I79="Ara","Arabica",I79="Lib","Liberica")</f>
        <v>Excelsa</v>
      </c>
      <c r="O79" t="str" cm="1">
        <f t="array" ref="O79">_xlfn.IFS(J79="M","Medium",J79="L","Large",J79="D","Dark")</f>
        <v>Dark</v>
      </c>
      <c r="P79" t="str">
        <f>_xlfn.XLOOKUP(Orders[[#This Row],[Customer ID]],customers!$A$1:$A$1001,customers!$I$1:$I$1001,,0)</f>
        <v>No</v>
      </c>
    </row>
    <row r="80" spans="1:16" x14ac:dyDescent="0.35">
      <c r="A80" s="2" t="s">
        <v>930</v>
      </c>
      <c r="B80" s="3">
        <v>43920</v>
      </c>
      <c r="C80" s="2" t="s">
        <v>931</v>
      </c>
      <c r="D80" t="s">
        <v>6157</v>
      </c>
      <c r="E80" s="2">
        <v>6</v>
      </c>
      <c r="F80" s="2" t="str">
        <f>_xlfn.XLOOKUP(C80,customers!$A$1:$A$1001,customers!$B$1:$B$1001,,0)</f>
        <v>Lothaire Mizzi</v>
      </c>
      <c r="G80" s="2" t="str">
        <f>IF(_xlfn.XLOOKUP(C80,customers!$A$1:$A$1001,customers!$C$1:$C$1001,,0)=0,"",_xlfn.XLOOKUP(C80,customers!$A$1:$A$1001,customers!$C$1:$C$1001,,0))</f>
        <v>lmizzi26@rakuten.co.jp</v>
      </c>
      <c r="H80" s="2" t="str">
        <f>_xlfn.XLOOKUP(C80,customers!$A$1:$A$1001,customers!$G$1:$G$1001,,0)</f>
        <v>United States</v>
      </c>
      <c r="I80" t="str">
        <f>INDEX(products!$A$1:$G$49,MATCH(orders!$D80,products!$A$1:$A$49,0),MATCH(orders!I$1,products!$A$1:$G$1,0))</f>
        <v>Ara</v>
      </c>
      <c r="J80" t="str">
        <f>INDEX(products!$A$1:$G$49,MATCH(orders!$D80,products!$A$1:$A$49,0),MATCH(orders!J$1,products!$A$1:$G$1,0))</f>
        <v>M</v>
      </c>
      <c r="K80" s="7">
        <f>INDEX(products!$A$1:$G$49,MATCH(orders!$D80,products!$A$1:$A$49,0),MATCH(orders!K$1,products!$A$1:$G$1,0))</f>
        <v>0.5</v>
      </c>
      <c r="L80" s="4">
        <f>INDEX(products!$A$1:$G$49,MATCH(orders!$D80,products!$A$1:$A$49,0),MATCH(orders!L$1,products!$A$1:$G$1,0))</f>
        <v>6.75</v>
      </c>
      <c r="M80" s="4">
        <f t="shared" si="1"/>
        <v>40.5</v>
      </c>
      <c r="N80" t="str" cm="1">
        <f t="array" ref="N80">_xlfn.IFS(I80="Rob","Robusta",I80="Exc","Excelsa",I80="Ara","Arabica",I80="Lib","Liberica")</f>
        <v>Arabica</v>
      </c>
      <c r="O80" t="str" cm="1">
        <f t="array" ref="O80">_xlfn.IFS(J80="M","Medium",J80="L","Large",J80="D","Dark")</f>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_xlfn.XLOOKUP(C81,customers!$A$1:$A$1001,customers!$B$1:$B$1001,,0)</f>
        <v>Cletis Giacomazzo</v>
      </c>
      <c r="G81" s="2" t="str">
        <f>IF(_xlfn.XLOOKUP(C81,customers!$A$1:$A$1001,customers!$C$1:$C$1001,,0)=0,"",_xlfn.XLOOKUP(C81,customers!$A$1:$A$1001,customers!$C$1:$C$1001,,0))</f>
        <v>cgiacomazzo27@jigsy.com</v>
      </c>
      <c r="H81" s="2" t="str">
        <f>_xlfn.XLOOKUP(C81,customers!$A$1:$A$1001,customers!$G$1:$G$1001,,0)</f>
        <v>United States</v>
      </c>
      <c r="I81" t="str">
        <f>INDEX(products!$A$1:$G$49,MATCH(orders!$D81,products!$A$1:$A$49,0),MATCH(orders!I$1,products!$A$1:$G$1,0))</f>
        <v>Rob</v>
      </c>
      <c r="J81" t="str">
        <f>INDEX(products!$A$1:$G$49,MATCH(orders!$D81,products!$A$1:$A$49,0),MATCH(orders!J$1,products!$A$1:$G$1,0))</f>
        <v>L</v>
      </c>
      <c r="K81" s="7">
        <f>INDEX(products!$A$1:$G$49,MATCH(orders!$D81,products!$A$1:$A$49,0),MATCH(orders!K$1,products!$A$1:$G$1,0))</f>
        <v>1</v>
      </c>
      <c r="L81" s="4">
        <f>INDEX(products!$A$1:$G$49,MATCH(orders!$D81,products!$A$1:$A$49,0),MATCH(orders!L$1,products!$A$1:$G$1,0))</f>
        <v>11.95</v>
      </c>
      <c r="M81" s="4">
        <f t="shared" si="1"/>
        <v>47.8</v>
      </c>
      <c r="N81" t="str" cm="1">
        <f t="array" ref="N81">_xlfn.IFS(I81="Rob","Robusta",I81="Exc","Excelsa",I81="Ara","Arabica",I81="Lib","Liberica")</f>
        <v>Robusta</v>
      </c>
      <c r="O81" t="str" cm="1">
        <f t="array" ref="O81">_xlfn.IFS(J81="M","Medium",J81="L","Large",J81="D","Dark")</f>
        <v>Large</v>
      </c>
      <c r="P81" t="str">
        <f>_xlfn.XLOOKUP(Orders[[#This Row],[Customer ID]],customers!$A$1:$A$1001,customers!$I$1:$I$1001,,0)</f>
        <v>No</v>
      </c>
    </row>
    <row r="82" spans="1:16" x14ac:dyDescent="0.35">
      <c r="A82" s="2" t="s">
        <v>942</v>
      </c>
      <c r="B82" s="3">
        <v>43572</v>
      </c>
      <c r="C82" s="2" t="s">
        <v>943</v>
      </c>
      <c r="D82" t="s">
        <v>6180</v>
      </c>
      <c r="E82" s="2">
        <v>5</v>
      </c>
      <c r="F82" s="2" t="str">
        <f>_xlfn.XLOOKUP(C82,customers!$A$1:$A$1001,customers!$B$1:$B$1001,,0)</f>
        <v>Ami Arnow</v>
      </c>
      <c r="G82" s="2" t="str">
        <f>IF(_xlfn.XLOOKUP(C82,customers!$A$1:$A$1001,customers!$C$1:$C$1001,,0)=0,"",_xlfn.XLOOKUP(C82,customers!$A$1:$A$1001,customers!$C$1:$C$1001,,0))</f>
        <v>aarnow28@arizona.edu</v>
      </c>
      <c r="H82" s="2" t="str">
        <f>_xlfn.XLOOKUP(C82,customers!$A$1:$A$1001,customers!$G$1:$G$1001,,0)</f>
        <v>United States</v>
      </c>
      <c r="I82" t="str">
        <f>INDEX(products!$A$1:$G$49,MATCH(orders!$D82,products!$A$1:$A$49,0),MATCH(orders!I$1,products!$A$1:$G$1,0))</f>
        <v>Ara</v>
      </c>
      <c r="J82" t="str">
        <f>INDEX(products!$A$1:$G$49,MATCH(orders!$D82,products!$A$1:$A$49,0),MATCH(orders!J$1,products!$A$1:$G$1,0))</f>
        <v>L</v>
      </c>
      <c r="K82" s="7">
        <f>INDEX(products!$A$1:$G$49,MATCH(orders!$D82,products!$A$1:$A$49,0),MATCH(orders!K$1,products!$A$1:$G$1,0))</f>
        <v>0.5</v>
      </c>
      <c r="L82" s="4">
        <f>INDEX(products!$A$1:$G$49,MATCH(orders!$D82,products!$A$1:$A$49,0),MATCH(orders!L$1,products!$A$1:$G$1,0))</f>
        <v>7.77</v>
      </c>
      <c r="M82" s="4">
        <f t="shared" si="1"/>
        <v>38.849999999999994</v>
      </c>
      <c r="N82" t="str" cm="1">
        <f t="array" ref="N82">_xlfn.IFS(I82="Rob","Robusta",I82="Exc","Excelsa",I82="Ara","Arabica",I82="Lib","Liberica")</f>
        <v>Arabica</v>
      </c>
      <c r="O82" t="str" cm="1">
        <f t="array" ref="O82">_xlfn.IFS(J82="M","Medium",J82="L","Large",J82="D","Dark")</f>
        <v>Large</v>
      </c>
      <c r="P82" t="str">
        <f>_xlfn.XLOOKUP(Orders[[#This Row],[Customer ID]],customers!$A$1:$A$1001,customers!$I$1:$I$1001,,0)</f>
        <v>Yes</v>
      </c>
    </row>
    <row r="83" spans="1:16" x14ac:dyDescent="0.35">
      <c r="A83" s="2" t="s">
        <v>948</v>
      </c>
      <c r="B83" s="3">
        <v>43763</v>
      </c>
      <c r="C83" s="2" t="s">
        <v>949</v>
      </c>
      <c r="D83" t="s">
        <v>6164</v>
      </c>
      <c r="E83" s="2">
        <v>3</v>
      </c>
      <c r="F83" s="2" t="str">
        <f>_xlfn.XLOOKUP(C83,customers!$A$1:$A$1001,customers!$B$1:$B$1001,,0)</f>
        <v>Sheppard Yann</v>
      </c>
      <c r="G83" s="2" t="str">
        <f>IF(_xlfn.XLOOKUP(C83,customers!$A$1:$A$1001,customers!$C$1:$C$1001,,0)=0,"",_xlfn.XLOOKUP(C83,customers!$A$1:$A$1001,customers!$C$1:$C$1001,,0))</f>
        <v>syann29@senate.gov</v>
      </c>
      <c r="H83" s="2" t="str">
        <f>_xlfn.XLOOKUP(C83,customers!$A$1:$A$1001,customers!$G$1:$G$1001,,0)</f>
        <v>United States</v>
      </c>
      <c r="I83" t="str">
        <f>INDEX(products!$A$1:$G$49,MATCH(orders!$D83,products!$A$1:$A$49,0),MATCH(orders!I$1,products!$A$1:$G$1,0))</f>
        <v>Lib</v>
      </c>
      <c r="J83" t="str">
        <f>INDEX(products!$A$1:$G$49,MATCH(orders!$D83,products!$A$1:$A$49,0),MATCH(orders!J$1,products!$A$1:$G$1,0))</f>
        <v>L</v>
      </c>
      <c r="K83" s="7">
        <f>INDEX(products!$A$1:$G$49,MATCH(orders!$D83,products!$A$1:$A$49,0),MATCH(orders!K$1,products!$A$1:$G$1,0))</f>
        <v>2.5</v>
      </c>
      <c r="L83" s="4">
        <f>INDEX(products!$A$1:$G$49,MATCH(orders!$D83,products!$A$1:$A$49,0),MATCH(orders!L$1,products!$A$1:$G$1,0))</f>
        <v>36.454999999999998</v>
      </c>
      <c r="M83" s="4">
        <f t="shared" si="1"/>
        <v>109.36499999999999</v>
      </c>
      <c r="N83" t="str" cm="1">
        <f t="array" ref="N83">_xlfn.IFS(I83="Rob","Robusta",I83="Exc","Excelsa",I83="Ara","Arabica",I83="Lib","Liberica")</f>
        <v>Liberica</v>
      </c>
      <c r="O83" t="str" cm="1">
        <f t="array" ref="O83">_xlfn.IFS(J83="M","Medium",J83="L","Large",J83="D","Dark")</f>
        <v>Large</v>
      </c>
      <c r="P83" t="str">
        <f>_xlfn.XLOOKUP(Orders[[#This Row],[Customer ID]],customers!$A$1:$A$1001,customers!$I$1:$I$1001,,0)</f>
        <v>Yes</v>
      </c>
    </row>
    <row r="84" spans="1:16" x14ac:dyDescent="0.35">
      <c r="A84" s="2" t="s">
        <v>954</v>
      </c>
      <c r="B84" s="3">
        <v>43721</v>
      </c>
      <c r="C84" s="2" t="s">
        <v>955</v>
      </c>
      <c r="D84" t="s">
        <v>6181</v>
      </c>
      <c r="E84" s="2">
        <v>3</v>
      </c>
      <c r="F84" s="2" t="str">
        <f>_xlfn.XLOOKUP(C84,customers!$A$1:$A$1001,customers!$B$1:$B$1001,,0)</f>
        <v>Bunny Naulls</v>
      </c>
      <c r="G84" s="2" t="str">
        <f>IF(_xlfn.XLOOKUP(C84,customers!$A$1:$A$1001,customers!$C$1:$C$1001,,0)=0,"",_xlfn.XLOOKUP(C84,customers!$A$1:$A$1001,customers!$C$1:$C$1001,,0))</f>
        <v>bnaulls2a@tiny.cc</v>
      </c>
      <c r="H84" s="2" t="str">
        <f>_xlfn.XLOOKUP(C84,customers!$A$1:$A$1001,customers!$G$1:$G$1001,,0)</f>
        <v>Ireland</v>
      </c>
      <c r="I84" t="str">
        <f>INDEX(products!$A$1:$G$49,MATCH(orders!$D84,products!$A$1:$A$49,0),MATCH(orders!I$1,products!$A$1:$G$1,0))</f>
        <v>Lib</v>
      </c>
      <c r="J84" t="str">
        <f>INDEX(products!$A$1:$G$49,MATCH(orders!$D84,products!$A$1:$A$49,0),MATCH(orders!J$1,products!$A$1:$G$1,0))</f>
        <v>M</v>
      </c>
      <c r="K84" s="7">
        <f>INDEX(products!$A$1:$G$49,MATCH(orders!$D84,products!$A$1:$A$49,0),MATCH(orders!K$1,products!$A$1:$G$1,0))</f>
        <v>2.5</v>
      </c>
      <c r="L84" s="4">
        <f>INDEX(products!$A$1:$G$49,MATCH(orders!$D84,products!$A$1:$A$49,0),MATCH(orders!L$1,products!$A$1:$G$1,0))</f>
        <v>33.464999999999996</v>
      </c>
      <c r="M84" s="4">
        <f t="shared" si="1"/>
        <v>100.39499999999998</v>
      </c>
      <c r="N84" t="str" cm="1">
        <f t="array" ref="N84">_xlfn.IFS(I84="Rob","Robusta",I84="Exc","Excelsa",I84="Ara","Arabica",I84="Lib","Liberica")</f>
        <v>Liberica</v>
      </c>
      <c r="O84" t="str" cm="1">
        <f t="array" ref="O84">_xlfn.IFS(J84="M","Medium",J84="L","Large",J84="D","Dark")</f>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_xlfn.XLOOKUP(C85,customers!$A$1:$A$1001,customers!$B$1:$B$1001,,0)</f>
        <v>Hally Lorait</v>
      </c>
      <c r="G85" s="2" t="str">
        <f>IF(_xlfn.XLOOKUP(C85,customers!$A$1:$A$1001,customers!$C$1:$C$1001,,0)=0,"",_xlfn.XLOOKUP(C85,customers!$A$1:$A$1001,customers!$C$1:$C$1001,,0))</f>
        <v/>
      </c>
      <c r="H85" s="2" t="str">
        <f>_xlfn.XLOOKUP(C85,customers!$A$1:$A$1001,customers!$G$1:$G$1001,,0)</f>
        <v>United States</v>
      </c>
      <c r="I85" t="str">
        <f>INDEX(products!$A$1:$G$49,MATCH(orders!$D85,products!$A$1:$A$49,0),MATCH(orders!I$1,products!$A$1:$G$1,0))</f>
        <v>Rob</v>
      </c>
      <c r="J85" t="str">
        <f>INDEX(products!$A$1:$G$49,MATCH(orders!$D85,products!$A$1:$A$49,0),MATCH(orders!J$1,products!$A$1:$G$1,0))</f>
        <v>D</v>
      </c>
      <c r="K85" s="7">
        <f>INDEX(products!$A$1:$G$49,MATCH(orders!$D85,products!$A$1:$A$49,0),MATCH(orders!K$1,products!$A$1:$G$1,0))</f>
        <v>2.5</v>
      </c>
      <c r="L85" s="4">
        <f>INDEX(products!$A$1:$G$49,MATCH(orders!$D85,products!$A$1:$A$49,0),MATCH(orders!L$1,products!$A$1:$G$1,0))</f>
        <v>20.584999999999997</v>
      </c>
      <c r="M85" s="4">
        <f t="shared" si="1"/>
        <v>82.339999999999989</v>
      </c>
      <c r="N85" t="str" cm="1">
        <f t="array" ref="N85">_xlfn.IFS(I85="Rob","Robusta",I85="Exc","Excelsa",I85="Ara","Arabica",I85="Lib","Liberica")</f>
        <v>Robusta</v>
      </c>
      <c r="O85" t="str" cm="1">
        <f t="array" ref="O85">_xlfn.IFS(J85="M","Medium",J85="L","Large",J85="D","Dark")</f>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_xlfn.XLOOKUP(C86,customers!$A$1:$A$1001,customers!$B$1:$B$1001,,0)</f>
        <v>Zaccaria Sherewood</v>
      </c>
      <c r="G86" s="2" t="str">
        <f>IF(_xlfn.XLOOKUP(C86,customers!$A$1:$A$1001,customers!$C$1:$C$1001,,0)=0,"",_xlfn.XLOOKUP(C86,customers!$A$1:$A$1001,customers!$C$1:$C$1001,,0))</f>
        <v>zsherewood2c@apache.org</v>
      </c>
      <c r="H86" s="2" t="str">
        <f>_xlfn.XLOOKUP(C86,customers!$A$1:$A$1001,customers!$G$1:$G$1001,,0)</f>
        <v>United States</v>
      </c>
      <c r="I86" t="str">
        <f>INDEX(products!$A$1:$G$49,MATCH(orders!$D86,products!$A$1:$A$49,0),MATCH(orders!I$1,products!$A$1:$G$1,0))</f>
        <v>Lib</v>
      </c>
      <c r="J86" t="str">
        <f>INDEX(products!$A$1:$G$49,MATCH(orders!$D86,products!$A$1:$A$49,0),MATCH(orders!J$1,products!$A$1:$G$1,0))</f>
        <v>L</v>
      </c>
      <c r="K86" s="7">
        <f>INDEX(products!$A$1:$G$49,MATCH(orders!$D86,products!$A$1:$A$49,0),MATCH(orders!K$1,products!$A$1:$G$1,0))</f>
        <v>0.5</v>
      </c>
      <c r="L86" s="4">
        <f>INDEX(products!$A$1:$G$49,MATCH(orders!$D86,products!$A$1:$A$49,0),MATCH(orders!L$1,products!$A$1:$G$1,0))</f>
        <v>9.51</v>
      </c>
      <c r="M86" s="4">
        <f t="shared" si="1"/>
        <v>9.51</v>
      </c>
      <c r="N86" t="str" cm="1">
        <f t="array" ref="N86">_xlfn.IFS(I86="Rob","Robusta",I86="Exc","Excelsa",I86="Ara","Arabica",I86="Lib","Liberica")</f>
        <v>Liberica</v>
      </c>
      <c r="O86" t="str" cm="1">
        <f t="array" ref="O86">_xlfn.IFS(J86="M","Medium",J86="L","Large",J86="D","Dark")</f>
        <v>Large</v>
      </c>
      <c r="P86" t="str">
        <f>_xlfn.XLOOKUP(Orders[[#This Row],[Customer ID]],customers!$A$1:$A$1001,customers!$I$1:$I$1001,,0)</f>
        <v>No</v>
      </c>
    </row>
    <row r="87" spans="1:16" x14ac:dyDescent="0.35">
      <c r="A87" s="2" t="s">
        <v>971</v>
      </c>
      <c r="B87" s="3">
        <v>43664</v>
      </c>
      <c r="C87" s="2" t="s">
        <v>972</v>
      </c>
      <c r="D87" t="s">
        <v>6182</v>
      </c>
      <c r="E87" s="2">
        <v>3</v>
      </c>
      <c r="F87" s="2" t="str">
        <f>_xlfn.XLOOKUP(C87,customers!$A$1:$A$1001,customers!$B$1:$B$1001,,0)</f>
        <v>Jeffrey Dufaire</v>
      </c>
      <c r="G87" s="2" t="str">
        <f>IF(_xlfn.XLOOKUP(C87,customers!$A$1:$A$1001,customers!$C$1:$C$1001,,0)=0,"",_xlfn.XLOOKUP(C87,customers!$A$1:$A$1001,customers!$C$1:$C$1001,,0))</f>
        <v>jdufaire2d@fc2.com</v>
      </c>
      <c r="H87" s="2" t="str">
        <f>_xlfn.XLOOKUP(C87,customers!$A$1:$A$1001,customers!$G$1:$G$1001,,0)</f>
        <v>United States</v>
      </c>
      <c r="I87" t="str">
        <f>INDEX(products!$A$1:$G$49,MATCH(orders!$D87,products!$A$1:$A$49,0),MATCH(orders!I$1,products!$A$1:$G$1,0))</f>
        <v>Ara</v>
      </c>
      <c r="J87" t="str">
        <f>INDEX(products!$A$1:$G$49,MATCH(orders!$D87,products!$A$1:$A$49,0),MATCH(orders!J$1,products!$A$1:$G$1,0))</f>
        <v>L</v>
      </c>
      <c r="K87" s="7">
        <f>INDEX(products!$A$1:$G$49,MATCH(orders!$D87,products!$A$1:$A$49,0),MATCH(orders!K$1,products!$A$1:$G$1,0))</f>
        <v>2.5</v>
      </c>
      <c r="L87" s="4">
        <f>INDEX(products!$A$1:$G$49,MATCH(orders!$D87,products!$A$1:$A$49,0),MATCH(orders!L$1,products!$A$1:$G$1,0))</f>
        <v>29.784999999999997</v>
      </c>
      <c r="M87" s="4">
        <f t="shared" si="1"/>
        <v>89.35499999999999</v>
      </c>
      <c r="N87" t="str" cm="1">
        <f t="array" ref="N87">_xlfn.IFS(I87="Rob","Robusta",I87="Exc","Excelsa",I87="Ara","Arabica",I87="Lib","Liberica")</f>
        <v>Arabica</v>
      </c>
      <c r="O87" t="str" cm="1">
        <f t="array" ref="O87">_xlfn.IFS(J87="M","Medium",J87="L","Large",J87="D","Dark")</f>
        <v>Large</v>
      </c>
      <c r="P87" t="str">
        <f>_xlfn.XLOOKUP(Orders[[#This Row],[Customer ID]],customers!$A$1:$A$1001,customers!$I$1:$I$1001,,0)</f>
        <v>No</v>
      </c>
    </row>
    <row r="88" spans="1:16" x14ac:dyDescent="0.35">
      <c r="A88" s="2" t="s">
        <v>971</v>
      </c>
      <c r="B88" s="3">
        <v>43664</v>
      </c>
      <c r="C88" s="2" t="s">
        <v>972</v>
      </c>
      <c r="D88" t="s">
        <v>6154</v>
      </c>
      <c r="E88" s="2">
        <v>4</v>
      </c>
      <c r="F88" s="2" t="str">
        <f>_xlfn.XLOOKUP(C88,customers!$A$1:$A$1001,customers!$B$1:$B$1001,,0)</f>
        <v>Jeffrey Dufaire</v>
      </c>
      <c r="G88" s="2" t="str">
        <f>IF(_xlfn.XLOOKUP(C88,customers!$A$1:$A$1001,customers!$C$1:$C$1001,,0)=0,"",_xlfn.XLOOKUP(C88,customers!$A$1:$A$1001,customers!$C$1:$C$1001,,0))</f>
        <v>jdufaire2d@fc2.com</v>
      </c>
      <c r="H88" s="2" t="str">
        <f>_xlfn.XLOOKUP(C88,customers!$A$1:$A$1001,customers!$G$1:$G$1001,,0)</f>
        <v>United States</v>
      </c>
      <c r="I88" t="str">
        <f>INDEX(products!$A$1:$G$49,MATCH(orders!$D88,products!$A$1:$A$49,0),MATCH(orders!I$1,products!$A$1:$G$1,0))</f>
        <v>Ara</v>
      </c>
      <c r="J88" t="str">
        <f>INDEX(products!$A$1:$G$49,MATCH(orders!$D88,products!$A$1:$A$49,0),MATCH(orders!J$1,products!$A$1:$G$1,0))</f>
        <v>D</v>
      </c>
      <c r="K88" s="7">
        <f>INDEX(products!$A$1:$G$49,MATCH(orders!$D88,products!$A$1:$A$49,0),MATCH(orders!K$1,products!$A$1:$G$1,0))</f>
        <v>0.2</v>
      </c>
      <c r="L88" s="4">
        <f>INDEX(products!$A$1:$G$49,MATCH(orders!$D88,products!$A$1:$A$49,0),MATCH(orders!L$1,products!$A$1:$G$1,0))</f>
        <v>2.9849999999999999</v>
      </c>
      <c r="M88" s="4">
        <f t="shared" si="1"/>
        <v>11.94</v>
      </c>
      <c r="N88" t="str" cm="1">
        <f t="array" ref="N88">_xlfn.IFS(I88="Rob","Robusta",I88="Exc","Excelsa",I88="Ara","Arabica",I88="Lib","Liberica")</f>
        <v>Arabica</v>
      </c>
      <c r="O88" t="str" cm="1">
        <f t="array" ref="O88">_xlfn.IFS(J88="M","Medium",J88="L","Large",J88="D","Dark")</f>
        <v>Dark</v>
      </c>
      <c r="P88" t="str">
        <f>_xlfn.XLOOKUP(Orders[[#This Row],[Customer ID]],customers!$A$1:$A$1001,customers!$I$1:$I$1001,,0)</f>
        <v>No</v>
      </c>
    </row>
    <row r="89" spans="1:16" x14ac:dyDescent="0.35">
      <c r="A89" s="2" t="s">
        <v>980</v>
      </c>
      <c r="B89" s="3">
        <v>44289</v>
      </c>
      <c r="C89" s="2" t="s">
        <v>981</v>
      </c>
      <c r="D89" t="s">
        <v>6155</v>
      </c>
      <c r="E89" s="2">
        <v>3</v>
      </c>
      <c r="F89" s="2" t="str">
        <f>_xlfn.XLOOKUP(C89,customers!$A$1:$A$1001,customers!$B$1:$B$1001,,0)</f>
        <v>Beitris Keaveney</v>
      </c>
      <c r="G89" s="2" t="str">
        <f>IF(_xlfn.XLOOKUP(C89,customers!$A$1:$A$1001,customers!$C$1:$C$1001,,0)=0,"",_xlfn.XLOOKUP(C89,customers!$A$1:$A$1001,customers!$C$1:$C$1001,,0))</f>
        <v>bkeaveney2f@netlog.com</v>
      </c>
      <c r="H89" s="2" t="str">
        <f>_xlfn.XLOOKUP(C89,customers!$A$1:$A$1001,customers!$G$1:$G$1001,,0)</f>
        <v>United States</v>
      </c>
      <c r="I89" t="str">
        <f>INDEX(products!$A$1:$G$49,MATCH(orders!$D89,products!$A$1:$A$49,0),MATCH(orders!I$1,products!$A$1:$G$1,0))</f>
        <v>Ara</v>
      </c>
      <c r="J89" t="str">
        <f>INDEX(products!$A$1:$G$49,MATCH(orders!$D89,products!$A$1:$A$49,0),MATCH(orders!J$1,products!$A$1:$G$1,0))</f>
        <v>M</v>
      </c>
      <c r="K89" s="7">
        <f>INDEX(products!$A$1:$G$49,MATCH(orders!$D89,products!$A$1:$A$49,0),MATCH(orders!K$1,products!$A$1:$G$1,0))</f>
        <v>1</v>
      </c>
      <c r="L89" s="4">
        <f>INDEX(products!$A$1:$G$49,MATCH(orders!$D89,products!$A$1:$A$49,0),MATCH(orders!L$1,products!$A$1:$G$1,0))</f>
        <v>11.25</v>
      </c>
      <c r="M89" s="4">
        <f t="shared" si="1"/>
        <v>33.75</v>
      </c>
      <c r="N89" t="str" cm="1">
        <f t="array" ref="N89">_xlfn.IFS(I89="Rob","Robusta",I89="Exc","Excelsa",I89="Ara","Arabica",I89="Lib","Liberica")</f>
        <v>Arabica</v>
      </c>
      <c r="O89" t="str" cm="1">
        <f t="array" ref="O89">_xlfn.IFS(J89="M","Medium",J89="L","Large",J89="D","Dark")</f>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_xlfn.XLOOKUP(C90,customers!$A$1:$A$1001,customers!$B$1:$B$1001,,0)</f>
        <v>Elna Grise</v>
      </c>
      <c r="G90" s="2" t="str">
        <f>IF(_xlfn.XLOOKUP(C90,customers!$A$1:$A$1001,customers!$C$1:$C$1001,,0)=0,"",_xlfn.XLOOKUP(C90,customers!$A$1:$A$1001,customers!$C$1:$C$1001,,0))</f>
        <v>egrise2g@cargocollective.com</v>
      </c>
      <c r="H90" s="2" t="str">
        <f>_xlfn.XLOOKUP(C90,customers!$A$1:$A$1001,customers!$G$1:$G$1001,,0)</f>
        <v>United States</v>
      </c>
      <c r="I90" t="str">
        <f>INDEX(products!$A$1:$G$49,MATCH(orders!$D90,products!$A$1:$A$49,0),MATCH(orders!I$1,products!$A$1:$G$1,0))</f>
        <v>Rob</v>
      </c>
      <c r="J90" t="str">
        <f>INDEX(products!$A$1:$G$49,MATCH(orders!$D90,products!$A$1:$A$49,0),MATCH(orders!J$1,products!$A$1:$G$1,0))</f>
        <v>L</v>
      </c>
      <c r="K90" s="7">
        <f>INDEX(products!$A$1:$G$49,MATCH(orders!$D90,products!$A$1:$A$49,0),MATCH(orders!K$1,products!$A$1:$G$1,0))</f>
        <v>1</v>
      </c>
      <c r="L90" s="4">
        <f>INDEX(products!$A$1:$G$49,MATCH(orders!$D90,products!$A$1:$A$49,0),MATCH(orders!L$1,products!$A$1:$G$1,0))</f>
        <v>11.95</v>
      </c>
      <c r="M90" s="4">
        <f t="shared" si="1"/>
        <v>35.849999999999994</v>
      </c>
      <c r="N90" t="str" cm="1">
        <f t="array" ref="N90">_xlfn.IFS(I90="Rob","Robusta",I90="Exc","Excelsa",I90="Ara","Arabica",I90="Lib","Liberica")</f>
        <v>Robusta</v>
      </c>
      <c r="O90" t="str" cm="1">
        <f t="array" ref="O90">_xlfn.IFS(J90="M","Medium",J90="L","Large",J90="D","Dark")</f>
        <v>Large</v>
      </c>
      <c r="P90" t="str">
        <f>_xlfn.XLOOKUP(Orders[[#This Row],[Customer ID]],customers!$A$1:$A$1001,customers!$I$1:$I$1001,,0)</f>
        <v>No</v>
      </c>
    </row>
    <row r="91" spans="1:16" x14ac:dyDescent="0.35">
      <c r="A91" s="2" t="s">
        <v>990</v>
      </c>
      <c r="B91" s="3">
        <v>44545</v>
      </c>
      <c r="C91" s="2" t="s">
        <v>991</v>
      </c>
      <c r="D91" t="s">
        <v>6140</v>
      </c>
      <c r="E91" s="2">
        <v>6</v>
      </c>
      <c r="F91" s="2" t="str">
        <f>_xlfn.XLOOKUP(C91,customers!$A$1:$A$1001,customers!$B$1:$B$1001,,0)</f>
        <v>Torie Gottelier</v>
      </c>
      <c r="G91" s="2" t="str">
        <f>IF(_xlfn.XLOOKUP(C91,customers!$A$1:$A$1001,customers!$C$1:$C$1001,,0)=0,"",_xlfn.XLOOKUP(C91,customers!$A$1:$A$1001,customers!$C$1:$C$1001,,0))</f>
        <v>tgottelier2h@vistaprint.com</v>
      </c>
      <c r="H91" s="2" t="str">
        <f>_xlfn.XLOOKUP(C91,customers!$A$1:$A$1001,customers!$G$1:$G$1001,,0)</f>
        <v>United States</v>
      </c>
      <c r="I91" t="str">
        <f>INDEX(products!$A$1:$G$49,MATCH(orders!$D91,products!$A$1:$A$49,0),MATCH(orders!I$1,products!$A$1:$G$1,0))</f>
        <v>Ara</v>
      </c>
      <c r="J91" t="str">
        <f>INDEX(products!$A$1:$G$49,MATCH(orders!$D91,products!$A$1:$A$49,0),MATCH(orders!J$1,products!$A$1:$G$1,0))</f>
        <v>L</v>
      </c>
      <c r="K91" s="7">
        <f>INDEX(products!$A$1:$G$49,MATCH(orders!$D91,products!$A$1:$A$49,0),MATCH(orders!K$1,products!$A$1:$G$1,0))</f>
        <v>1</v>
      </c>
      <c r="L91" s="4">
        <f>INDEX(products!$A$1:$G$49,MATCH(orders!$D91,products!$A$1:$A$49,0),MATCH(orders!L$1,products!$A$1:$G$1,0))</f>
        <v>12.95</v>
      </c>
      <c r="M91" s="4">
        <f t="shared" si="1"/>
        <v>77.699999999999989</v>
      </c>
      <c r="N91" t="str" cm="1">
        <f t="array" ref="N91">_xlfn.IFS(I91="Rob","Robusta",I91="Exc","Excelsa",I91="Ara","Arabica",I91="Lib","Liberica")</f>
        <v>Arabica</v>
      </c>
      <c r="O91" t="str" cm="1">
        <f t="array" ref="O91">_xlfn.IFS(J91="M","Medium",J91="L","Large",J91="D","Dark")</f>
        <v>Large</v>
      </c>
      <c r="P91" t="str">
        <f>_xlfn.XLOOKUP(Orders[[#This Row],[Customer ID]],customers!$A$1:$A$1001,customers!$I$1:$I$1001,,0)</f>
        <v>No</v>
      </c>
    </row>
    <row r="92" spans="1:16" x14ac:dyDescent="0.35">
      <c r="A92" s="2" t="s">
        <v>996</v>
      </c>
      <c r="B92" s="3">
        <v>43971</v>
      </c>
      <c r="C92" s="2" t="s">
        <v>997</v>
      </c>
      <c r="D92" t="s">
        <v>6140</v>
      </c>
      <c r="E92" s="2">
        <v>4</v>
      </c>
      <c r="F92" s="2" t="str">
        <f>_xlfn.XLOOKUP(C92,customers!$A$1:$A$1001,customers!$B$1:$B$1001,,0)</f>
        <v>Loydie Langlais</v>
      </c>
      <c r="G92" s="2" t="str">
        <f>IF(_xlfn.XLOOKUP(C92,customers!$A$1:$A$1001,customers!$C$1:$C$1001,,0)=0,"",_xlfn.XLOOKUP(C92,customers!$A$1:$A$1001,customers!$C$1:$C$1001,,0))</f>
        <v/>
      </c>
      <c r="H92" s="2" t="str">
        <f>_xlfn.XLOOKUP(C92,customers!$A$1:$A$1001,customers!$G$1:$G$1001,,0)</f>
        <v>Ireland</v>
      </c>
      <c r="I92" t="str">
        <f>INDEX(products!$A$1:$G$49,MATCH(orders!$D92,products!$A$1:$A$49,0),MATCH(orders!I$1,products!$A$1:$G$1,0))</f>
        <v>Ara</v>
      </c>
      <c r="J92" t="str">
        <f>INDEX(products!$A$1:$G$49,MATCH(orders!$D92,products!$A$1:$A$49,0),MATCH(orders!J$1,products!$A$1:$G$1,0))</f>
        <v>L</v>
      </c>
      <c r="K92" s="7">
        <f>INDEX(products!$A$1:$G$49,MATCH(orders!$D92,products!$A$1:$A$49,0),MATCH(orders!K$1,products!$A$1:$G$1,0))</f>
        <v>1</v>
      </c>
      <c r="L92" s="4">
        <f>INDEX(products!$A$1:$G$49,MATCH(orders!$D92,products!$A$1:$A$49,0),MATCH(orders!L$1,products!$A$1:$G$1,0))</f>
        <v>12.95</v>
      </c>
      <c r="M92" s="4">
        <f t="shared" si="1"/>
        <v>51.8</v>
      </c>
      <c r="N92" t="str" cm="1">
        <f t="array" ref="N92">_xlfn.IFS(I92="Rob","Robusta",I92="Exc","Excelsa",I92="Ara","Arabica",I92="Lib","Liberica")</f>
        <v>Arabica</v>
      </c>
      <c r="O92" t="str" cm="1">
        <f t="array" ref="O92">_xlfn.IFS(J92="M","Medium",J92="L","Large",J92="D","Dark")</f>
        <v>Large</v>
      </c>
      <c r="P92" t="str">
        <f>_xlfn.XLOOKUP(Orders[[#This Row],[Customer ID]],customers!$A$1:$A$1001,customers!$I$1:$I$1001,,0)</f>
        <v>Yes</v>
      </c>
    </row>
    <row r="93" spans="1:16" x14ac:dyDescent="0.35">
      <c r="A93" s="2" t="s">
        <v>1001</v>
      </c>
      <c r="B93" s="3">
        <v>44137</v>
      </c>
      <c r="C93" s="2" t="s">
        <v>1002</v>
      </c>
      <c r="D93" t="s">
        <v>6175</v>
      </c>
      <c r="E93" s="2">
        <v>4</v>
      </c>
      <c r="F93" s="2" t="str">
        <f>_xlfn.XLOOKUP(C93,customers!$A$1:$A$1001,customers!$B$1:$B$1001,,0)</f>
        <v>Adham Greenhead</v>
      </c>
      <c r="G93" s="2" t="str">
        <f>IF(_xlfn.XLOOKUP(C93,customers!$A$1:$A$1001,customers!$C$1:$C$1001,,0)=0,"",_xlfn.XLOOKUP(C93,customers!$A$1:$A$1001,customers!$C$1:$C$1001,,0))</f>
        <v>agreenhead2j@dailymail.co.uk</v>
      </c>
      <c r="H93" s="2" t="str">
        <f>_xlfn.XLOOKUP(C93,customers!$A$1:$A$1001,customers!$G$1:$G$1001,,0)</f>
        <v>United States</v>
      </c>
      <c r="I93" t="str">
        <f>INDEX(products!$A$1:$G$49,MATCH(orders!$D93,products!$A$1:$A$49,0),MATCH(orders!I$1,products!$A$1:$G$1,0))</f>
        <v>Ara</v>
      </c>
      <c r="J93" t="str">
        <f>INDEX(products!$A$1:$G$49,MATCH(orders!$D93,products!$A$1:$A$49,0),MATCH(orders!J$1,products!$A$1:$G$1,0))</f>
        <v>M</v>
      </c>
      <c r="K93" s="7">
        <f>INDEX(products!$A$1:$G$49,MATCH(orders!$D93,products!$A$1:$A$49,0),MATCH(orders!K$1,products!$A$1:$G$1,0))</f>
        <v>2.5</v>
      </c>
      <c r="L93" s="4">
        <f>INDEX(products!$A$1:$G$49,MATCH(orders!$D93,products!$A$1:$A$49,0),MATCH(orders!L$1,products!$A$1:$G$1,0))</f>
        <v>25.874999999999996</v>
      </c>
      <c r="M93" s="4">
        <f t="shared" si="1"/>
        <v>103.49999999999999</v>
      </c>
      <c r="N93" t="str" cm="1">
        <f t="array" ref="N93">_xlfn.IFS(I93="Rob","Robusta",I93="Exc","Excelsa",I93="Ara","Arabica",I93="Lib","Liberica")</f>
        <v>Arabica</v>
      </c>
      <c r="O93" t="str" cm="1">
        <f t="array" ref="O93">_xlfn.IFS(J93="M","Medium",J93="L","Large",J93="D","Dark")</f>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_xlfn.XLOOKUP(C94,customers!$A$1:$A$1001,customers!$B$1:$B$1001,,0)</f>
        <v>Hamish MacSherry</v>
      </c>
      <c r="G94" s="2" t="str">
        <f>IF(_xlfn.XLOOKUP(C94,customers!$A$1:$A$1001,customers!$C$1:$C$1001,,0)=0,"",_xlfn.XLOOKUP(C94,customers!$A$1:$A$1001,customers!$C$1:$C$1001,,0))</f>
        <v/>
      </c>
      <c r="H94" s="2" t="str">
        <f>_xlfn.XLOOKUP(C94,customers!$A$1:$A$1001,customers!$G$1:$G$1001,,0)</f>
        <v>United States</v>
      </c>
      <c r="I94" t="str">
        <f>INDEX(products!$A$1:$G$49,MATCH(orders!$D94,products!$A$1:$A$49,0),MATCH(orders!I$1,products!$A$1:$G$1,0))</f>
        <v>Exc</v>
      </c>
      <c r="J94" t="str">
        <f>INDEX(products!$A$1:$G$49,MATCH(orders!$D94,products!$A$1:$A$49,0),MATCH(orders!J$1,products!$A$1:$G$1,0))</f>
        <v>L</v>
      </c>
      <c r="K94" s="7">
        <f>INDEX(products!$A$1:$G$49,MATCH(orders!$D94,products!$A$1:$A$49,0),MATCH(orders!K$1,products!$A$1:$G$1,0))</f>
        <v>1</v>
      </c>
      <c r="L94" s="4">
        <f>INDEX(products!$A$1:$G$49,MATCH(orders!$D94,products!$A$1:$A$49,0),MATCH(orders!L$1,products!$A$1:$G$1,0))</f>
        <v>14.85</v>
      </c>
      <c r="M94" s="4">
        <f t="shared" si="1"/>
        <v>44.55</v>
      </c>
      <c r="N94" t="str" cm="1">
        <f t="array" ref="N94">_xlfn.IFS(I94="Rob","Robusta",I94="Exc","Excelsa",I94="Ara","Arabica",I94="Lib","Liberica")</f>
        <v>Excelsa</v>
      </c>
      <c r="O94" t="str" cm="1">
        <f t="array" ref="O94">_xlfn.IFS(J94="M","Medium",J94="L","Large",J94="D","Dark")</f>
        <v>Large</v>
      </c>
      <c r="P94" t="str">
        <f>_xlfn.XLOOKUP(Orders[[#This Row],[Customer ID]],customers!$A$1:$A$1001,customers!$I$1:$I$1001,,0)</f>
        <v>Yes</v>
      </c>
    </row>
    <row r="95" spans="1:16" x14ac:dyDescent="0.35">
      <c r="A95" s="2" t="s">
        <v>1012</v>
      </c>
      <c r="B95" s="3">
        <v>43538</v>
      </c>
      <c r="C95" s="2" t="s">
        <v>1013</v>
      </c>
      <c r="D95" t="s">
        <v>6176</v>
      </c>
      <c r="E95" s="2">
        <v>4</v>
      </c>
      <c r="F95" s="2" t="str">
        <f>_xlfn.XLOOKUP(C95,customers!$A$1:$A$1001,customers!$B$1:$B$1001,,0)</f>
        <v>Else Langcaster</v>
      </c>
      <c r="G95" s="2" t="str">
        <f>IF(_xlfn.XLOOKUP(C95,customers!$A$1:$A$1001,customers!$C$1:$C$1001,,0)=0,"",_xlfn.XLOOKUP(C95,customers!$A$1:$A$1001,customers!$C$1:$C$1001,,0))</f>
        <v>elangcaster2l@spotify.com</v>
      </c>
      <c r="H95" s="2" t="str">
        <f>_xlfn.XLOOKUP(C95,customers!$A$1:$A$1001,customers!$G$1:$G$1001,,0)</f>
        <v>United Kingdom</v>
      </c>
      <c r="I95" t="str">
        <f>INDEX(products!$A$1:$G$49,MATCH(orders!$D95,products!$A$1:$A$49,0),MATCH(orders!I$1,products!$A$1:$G$1,0))</f>
        <v>Exc</v>
      </c>
      <c r="J95" t="str">
        <f>INDEX(products!$A$1:$G$49,MATCH(orders!$D95,products!$A$1:$A$49,0),MATCH(orders!J$1,products!$A$1:$G$1,0))</f>
        <v>L</v>
      </c>
      <c r="K95" s="7">
        <f>INDEX(products!$A$1:$G$49,MATCH(orders!$D95,products!$A$1:$A$49,0),MATCH(orders!K$1,products!$A$1:$G$1,0))</f>
        <v>0.5</v>
      </c>
      <c r="L95" s="4">
        <f>INDEX(products!$A$1:$G$49,MATCH(orders!$D95,products!$A$1:$A$49,0),MATCH(orders!L$1,products!$A$1:$G$1,0))</f>
        <v>8.91</v>
      </c>
      <c r="M95" s="4">
        <f t="shared" si="1"/>
        <v>35.64</v>
      </c>
      <c r="N95" t="str" cm="1">
        <f t="array" ref="N95">_xlfn.IFS(I95="Rob","Robusta",I95="Exc","Excelsa",I95="Ara","Arabica",I95="Lib","Liberica")</f>
        <v>Excelsa</v>
      </c>
      <c r="O95" t="str" cm="1">
        <f t="array" ref="O95">_xlfn.IFS(J95="M","Medium",J95="L","Large",J95="D","Dark")</f>
        <v>Large</v>
      </c>
      <c r="P95" t="str">
        <f>_xlfn.XLOOKUP(Orders[[#This Row],[Customer ID]],customers!$A$1:$A$1001,customers!$I$1:$I$1001,,0)</f>
        <v>Yes</v>
      </c>
    </row>
    <row r="96" spans="1:16" x14ac:dyDescent="0.35">
      <c r="A96" s="2" t="s">
        <v>1018</v>
      </c>
      <c r="B96" s="3">
        <v>44014</v>
      </c>
      <c r="C96" s="2" t="s">
        <v>1019</v>
      </c>
      <c r="D96" t="s">
        <v>6154</v>
      </c>
      <c r="E96" s="2">
        <v>6</v>
      </c>
      <c r="F96" s="2" t="str">
        <f>_xlfn.XLOOKUP(C96,customers!$A$1:$A$1001,customers!$B$1:$B$1001,,0)</f>
        <v>Rudy Farquharson</v>
      </c>
      <c r="G96" s="2" t="str">
        <f>IF(_xlfn.XLOOKUP(C96,customers!$A$1:$A$1001,customers!$C$1:$C$1001,,0)=0,"",_xlfn.XLOOKUP(C96,customers!$A$1:$A$1001,customers!$C$1:$C$1001,,0))</f>
        <v/>
      </c>
      <c r="H96" s="2" t="str">
        <f>_xlfn.XLOOKUP(C96,customers!$A$1:$A$1001,customers!$G$1:$G$1001,,0)</f>
        <v>Ireland</v>
      </c>
      <c r="I96" t="str">
        <f>INDEX(products!$A$1:$G$49,MATCH(orders!$D96,products!$A$1:$A$49,0),MATCH(orders!I$1,products!$A$1:$G$1,0))</f>
        <v>Ara</v>
      </c>
      <c r="J96" t="str">
        <f>INDEX(products!$A$1:$G$49,MATCH(orders!$D96,products!$A$1:$A$49,0),MATCH(orders!J$1,products!$A$1:$G$1,0))</f>
        <v>D</v>
      </c>
      <c r="K96" s="7">
        <f>INDEX(products!$A$1:$G$49,MATCH(orders!$D96,products!$A$1:$A$49,0),MATCH(orders!K$1,products!$A$1:$G$1,0))</f>
        <v>0.2</v>
      </c>
      <c r="L96" s="4">
        <f>INDEX(products!$A$1:$G$49,MATCH(orders!$D96,products!$A$1:$A$49,0),MATCH(orders!L$1,products!$A$1:$G$1,0))</f>
        <v>2.9849999999999999</v>
      </c>
      <c r="M96" s="4">
        <f t="shared" si="1"/>
        <v>17.91</v>
      </c>
      <c r="N96" t="str" cm="1">
        <f t="array" ref="N96">_xlfn.IFS(I96="Rob","Robusta",I96="Exc","Excelsa",I96="Ara","Arabica",I96="Lib","Liberica")</f>
        <v>Arabica</v>
      </c>
      <c r="O96" t="str" cm="1">
        <f t="array" ref="O96">_xlfn.IFS(J96="M","Medium",J96="L","Large",J96="D","Dark")</f>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_xlfn.XLOOKUP(C97,customers!$A$1:$A$1001,customers!$B$1:$B$1001,,0)</f>
        <v>Norene Magauran</v>
      </c>
      <c r="G97" s="2" t="str">
        <f>IF(_xlfn.XLOOKUP(C97,customers!$A$1:$A$1001,customers!$C$1:$C$1001,,0)=0,"",_xlfn.XLOOKUP(C97,customers!$A$1:$A$1001,customers!$C$1:$C$1001,,0))</f>
        <v>nmagauran2n@51.la</v>
      </c>
      <c r="H97" s="2" t="str">
        <f>_xlfn.XLOOKUP(C97,customers!$A$1:$A$1001,customers!$G$1:$G$1001,,0)</f>
        <v>United States</v>
      </c>
      <c r="I97" t="str">
        <f>INDEX(products!$A$1:$G$49,MATCH(orders!$D97,products!$A$1:$A$49,0),MATCH(orders!I$1,products!$A$1:$G$1,0))</f>
        <v>Ara</v>
      </c>
      <c r="J97" t="str">
        <f>INDEX(products!$A$1:$G$49,MATCH(orders!$D97,products!$A$1:$A$49,0),MATCH(orders!J$1,products!$A$1:$G$1,0))</f>
        <v>M</v>
      </c>
      <c r="K97" s="7">
        <f>INDEX(products!$A$1:$G$49,MATCH(orders!$D97,products!$A$1:$A$49,0),MATCH(orders!K$1,products!$A$1:$G$1,0))</f>
        <v>2.5</v>
      </c>
      <c r="L97" s="4">
        <f>INDEX(products!$A$1:$G$49,MATCH(orders!$D97,products!$A$1:$A$49,0),MATCH(orders!L$1,products!$A$1:$G$1,0))</f>
        <v>25.874999999999996</v>
      </c>
      <c r="M97" s="4">
        <f t="shared" si="1"/>
        <v>155.24999999999997</v>
      </c>
      <c r="N97" t="str" cm="1">
        <f t="array" ref="N97">_xlfn.IFS(I97="Rob","Robusta",I97="Exc","Excelsa",I97="Ara","Arabica",I97="Lib","Liberica")</f>
        <v>Arabica</v>
      </c>
      <c r="O97" t="str" cm="1">
        <f t="array" ref="O97">_xlfn.IFS(J97="M","Medium",J97="L","Large",J97="D","Dark")</f>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_xlfn.XLOOKUP(C98,customers!$A$1:$A$1001,customers!$B$1:$B$1001,,0)</f>
        <v>Vicki Kirdsch</v>
      </c>
      <c r="G98" s="2" t="str">
        <f>IF(_xlfn.XLOOKUP(C98,customers!$A$1:$A$1001,customers!$C$1:$C$1001,,0)=0,"",_xlfn.XLOOKUP(C98,customers!$A$1:$A$1001,customers!$C$1:$C$1001,,0))</f>
        <v>vkirdsch2o@google.fr</v>
      </c>
      <c r="H98" s="2" t="str">
        <f>_xlfn.XLOOKUP(C98,customers!$A$1:$A$1001,customers!$G$1:$G$1001,,0)</f>
        <v>United States</v>
      </c>
      <c r="I98" t="str">
        <f>INDEX(products!$A$1:$G$49,MATCH(orders!$D98,products!$A$1:$A$49,0),MATCH(orders!I$1,products!$A$1:$G$1,0))</f>
        <v>Ara</v>
      </c>
      <c r="J98" t="str">
        <f>INDEX(products!$A$1:$G$49,MATCH(orders!$D98,products!$A$1:$A$49,0),MATCH(orders!J$1,products!$A$1:$G$1,0))</f>
        <v>D</v>
      </c>
      <c r="K98" s="7">
        <f>INDEX(products!$A$1:$G$49,MATCH(orders!$D98,products!$A$1:$A$49,0),MATCH(orders!K$1,products!$A$1:$G$1,0))</f>
        <v>0.2</v>
      </c>
      <c r="L98" s="4">
        <f>INDEX(products!$A$1:$G$49,MATCH(orders!$D98,products!$A$1:$A$49,0),MATCH(orders!L$1,products!$A$1:$G$1,0))</f>
        <v>2.9849999999999999</v>
      </c>
      <c r="M98" s="4">
        <f t="shared" si="1"/>
        <v>5.97</v>
      </c>
      <c r="N98" t="str" cm="1">
        <f t="array" ref="N98">_xlfn.IFS(I98="Rob","Robusta",I98="Exc","Excelsa",I98="Ara","Arabica",I98="Lib","Liberica")</f>
        <v>Arabica</v>
      </c>
      <c r="O98" t="str" cm="1">
        <f t="array" ref="O98">_xlfn.IFS(J98="M","Medium",J98="L","Large",J98="D","Dark")</f>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_xlfn.XLOOKUP(C99,customers!$A$1:$A$1001,customers!$B$1:$B$1001,,0)</f>
        <v>Ilysa Whapple</v>
      </c>
      <c r="G99" s="2" t="str">
        <f>IF(_xlfn.XLOOKUP(C99,customers!$A$1:$A$1001,customers!$C$1:$C$1001,,0)=0,"",_xlfn.XLOOKUP(C99,customers!$A$1:$A$1001,customers!$C$1:$C$1001,,0))</f>
        <v>iwhapple2p@com.com</v>
      </c>
      <c r="H99" s="2" t="str">
        <f>_xlfn.XLOOKUP(C99,customers!$A$1:$A$1001,customers!$G$1:$G$1001,,0)</f>
        <v>United States</v>
      </c>
      <c r="I99" t="str">
        <f>INDEX(products!$A$1:$G$49,MATCH(orders!$D99,products!$A$1:$A$49,0),MATCH(orders!I$1,products!$A$1:$G$1,0))</f>
        <v>Ara</v>
      </c>
      <c r="J99" t="str">
        <f>INDEX(products!$A$1:$G$49,MATCH(orders!$D99,products!$A$1:$A$49,0),MATCH(orders!J$1,products!$A$1:$G$1,0))</f>
        <v>M</v>
      </c>
      <c r="K99" s="7">
        <f>INDEX(products!$A$1:$G$49,MATCH(orders!$D99,products!$A$1:$A$49,0),MATCH(orders!K$1,products!$A$1:$G$1,0))</f>
        <v>0.5</v>
      </c>
      <c r="L99" s="4">
        <f>INDEX(products!$A$1:$G$49,MATCH(orders!$D99,products!$A$1:$A$49,0),MATCH(orders!L$1,products!$A$1:$G$1,0))</f>
        <v>6.75</v>
      </c>
      <c r="M99" s="4">
        <f t="shared" si="1"/>
        <v>13.5</v>
      </c>
      <c r="N99" t="str" cm="1">
        <f t="array" ref="N99">_xlfn.IFS(I99="Rob","Robusta",I99="Exc","Excelsa",I99="Ara","Arabica",I99="Lib","Liberica")</f>
        <v>Arabica</v>
      </c>
      <c r="O99" t="str" cm="1">
        <f t="array" ref="O99">_xlfn.IFS(J99="M","Medium",J99="L","Large",J99="D","Dark")</f>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_xlfn.XLOOKUP(C100,customers!$A$1:$A$1001,customers!$B$1:$B$1001,,0)</f>
        <v>Ruy Cancellieri</v>
      </c>
      <c r="G100" s="2" t="str">
        <f>IF(_xlfn.XLOOKUP(C100,customers!$A$1:$A$1001,customers!$C$1:$C$1001,,0)=0,"",_xlfn.XLOOKUP(C100,customers!$A$1:$A$1001,customers!$C$1:$C$1001,,0))</f>
        <v/>
      </c>
      <c r="H100" s="2" t="str">
        <f>_xlfn.XLOOKUP(C100,customers!$A$1:$A$1001,customers!$G$1:$G$1001,,0)</f>
        <v>Ireland</v>
      </c>
      <c r="I100" t="str">
        <f>INDEX(products!$A$1:$G$49,MATCH(orders!$D100,products!$A$1:$A$49,0),MATCH(orders!I$1,products!$A$1:$G$1,0))</f>
        <v>Ara</v>
      </c>
      <c r="J100" t="str">
        <f>INDEX(products!$A$1:$G$49,MATCH(orders!$D100,products!$A$1:$A$49,0),MATCH(orders!J$1,products!$A$1:$G$1,0))</f>
        <v>D</v>
      </c>
      <c r="K100" s="7">
        <f>INDEX(products!$A$1:$G$49,MATCH(orders!$D100,products!$A$1:$A$49,0),MATCH(orders!K$1,products!$A$1:$G$1,0))</f>
        <v>0.2</v>
      </c>
      <c r="L100" s="4">
        <f>INDEX(products!$A$1:$G$49,MATCH(orders!$D100,products!$A$1:$A$49,0),MATCH(orders!L$1,products!$A$1:$G$1,0))</f>
        <v>2.9849999999999999</v>
      </c>
      <c r="M100" s="4">
        <f t="shared" si="1"/>
        <v>2.9849999999999999</v>
      </c>
      <c r="N100" t="str" cm="1">
        <f t="array" ref="N100">_xlfn.IFS(I100="Rob","Robusta",I100="Exc","Excelsa",I100="Ara","Arabica",I100="Lib","Liberica")</f>
        <v>Arabica</v>
      </c>
      <c r="O100" t="str" cm="1">
        <f t="array" ref="O100">_xlfn.IFS(J100="M","Medium",J100="L","Large",J100="D","Dark")</f>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_xlfn.XLOOKUP(C101,customers!$A$1:$A$1001,customers!$B$1:$B$1001,,0)</f>
        <v>Aube Follett</v>
      </c>
      <c r="G101" s="2" t="str">
        <f>IF(_xlfn.XLOOKUP(C101,customers!$A$1:$A$1001,customers!$C$1:$C$1001,,0)=0,"",_xlfn.XLOOKUP(C101,customers!$A$1:$A$1001,customers!$C$1:$C$1001,,0))</f>
        <v/>
      </c>
      <c r="H101" s="2" t="str">
        <f>_xlfn.XLOOKUP(C101,customers!$A$1:$A$1001,customers!$G$1:$G$1001,,0)</f>
        <v>United States</v>
      </c>
      <c r="I101" t="str">
        <f>INDEX(products!$A$1:$G$49,MATCH(orders!$D101,products!$A$1:$A$49,0),MATCH(orders!I$1,products!$A$1:$G$1,0))</f>
        <v>Lib</v>
      </c>
      <c r="J101" t="str">
        <f>INDEX(products!$A$1:$G$49,MATCH(orders!$D101,products!$A$1:$A$49,0),MATCH(orders!J$1,products!$A$1:$G$1,0))</f>
        <v>M</v>
      </c>
      <c r="K101" s="7">
        <f>INDEX(products!$A$1:$G$49,MATCH(orders!$D101,products!$A$1:$A$49,0),MATCH(orders!K$1,products!$A$1:$G$1,0))</f>
        <v>0.2</v>
      </c>
      <c r="L101" s="4">
        <f>INDEX(products!$A$1:$G$49,MATCH(orders!$D101,products!$A$1:$A$49,0),MATCH(orders!L$1,products!$A$1:$G$1,0))</f>
        <v>4.3650000000000002</v>
      </c>
      <c r="M101" s="4">
        <f t="shared" si="1"/>
        <v>13.095000000000001</v>
      </c>
      <c r="N101" t="str" cm="1">
        <f t="array" ref="N101">_xlfn.IFS(I101="Rob","Robusta",I101="Exc","Excelsa",I101="Ara","Arabica",I101="Lib","Liberica")</f>
        <v>Liberica</v>
      </c>
      <c r="O101" t="str" cm="1">
        <f t="array" ref="O101">_xlfn.IFS(J101="M","Medium",J101="L","Large",J101="D","Dark")</f>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_xlfn.XLOOKUP(C102,customers!$A$1:$A$1001,customers!$B$1:$B$1001,,0)</f>
        <v>Rudiger Di Bartolomeo</v>
      </c>
      <c r="G102" s="2" t="str">
        <f>IF(_xlfn.XLOOKUP(C102,customers!$A$1:$A$1001,customers!$C$1:$C$1001,,0)=0,"",_xlfn.XLOOKUP(C102,customers!$A$1:$A$1001,customers!$C$1:$C$1001,,0))</f>
        <v/>
      </c>
      <c r="H102" s="2" t="str">
        <f>_xlfn.XLOOKUP(C102,customers!$A$1:$A$1001,customers!$G$1:$G$1001,,0)</f>
        <v>United States</v>
      </c>
      <c r="I102" t="str">
        <f>INDEX(products!$A$1:$G$49,MATCH(orders!$D102,products!$A$1:$A$49,0),MATCH(orders!I$1,products!$A$1:$G$1,0))</f>
        <v>Ara</v>
      </c>
      <c r="J102" t="str">
        <f>INDEX(products!$A$1:$G$49,MATCH(orders!$D102,products!$A$1:$A$49,0),MATCH(orders!J$1,products!$A$1:$G$1,0))</f>
        <v>L</v>
      </c>
      <c r="K102" s="7">
        <f>INDEX(products!$A$1:$G$49,MATCH(orders!$D102,products!$A$1:$A$49,0),MATCH(orders!K$1,products!$A$1:$G$1,0))</f>
        <v>0.2</v>
      </c>
      <c r="L102" s="4">
        <f>INDEX(products!$A$1:$G$49,MATCH(orders!$D102,products!$A$1:$A$49,0),MATCH(orders!L$1,products!$A$1:$G$1,0))</f>
        <v>3.8849999999999998</v>
      </c>
      <c r="M102" s="4">
        <f t="shared" si="1"/>
        <v>7.77</v>
      </c>
      <c r="N102" t="str" cm="1">
        <f t="array" ref="N102">_xlfn.IFS(I102="Rob","Robusta",I102="Exc","Excelsa",I102="Ara","Arabica",I102="Lib","Liberica")</f>
        <v>Arabica</v>
      </c>
      <c r="O102" t="str" cm="1">
        <f t="array" ref="O102">_xlfn.IFS(J102="M","Medium",J102="L","Large",J102="D","Dark")</f>
        <v>Large</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_xlfn.XLOOKUP(C103,customers!$A$1:$A$1001,customers!$B$1:$B$1001,,0)</f>
        <v>Nickey Youles</v>
      </c>
      <c r="G103" s="2" t="str">
        <f>IF(_xlfn.XLOOKUP(C103,customers!$A$1:$A$1001,customers!$C$1:$C$1001,,0)=0,"",_xlfn.XLOOKUP(C103,customers!$A$1:$A$1001,customers!$C$1:$C$1001,,0))</f>
        <v>nyoules2t@reference.com</v>
      </c>
      <c r="H103" s="2" t="str">
        <f>_xlfn.XLOOKUP(C103,customers!$A$1:$A$1001,customers!$G$1:$G$1001,,0)</f>
        <v>Ireland</v>
      </c>
      <c r="I103" t="str">
        <f>INDEX(products!$A$1:$G$49,MATCH(orders!$D103,products!$A$1:$A$49,0),MATCH(orders!I$1,products!$A$1:$G$1,0))</f>
        <v>Lib</v>
      </c>
      <c r="J103" t="str">
        <f>INDEX(products!$A$1:$G$49,MATCH(orders!$D103,products!$A$1:$A$49,0),MATCH(orders!J$1,products!$A$1:$G$1,0))</f>
        <v>D</v>
      </c>
      <c r="K103" s="7">
        <f>INDEX(products!$A$1:$G$49,MATCH(orders!$D103,products!$A$1:$A$49,0),MATCH(orders!K$1,products!$A$1:$G$1,0))</f>
        <v>2.5</v>
      </c>
      <c r="L103" s="4">
        <f>INDEX(products!$A$1:$G$49,MATCH(orders!$D103,products!$A$1:$A$49,0),MATCH(orders!L$1,products!$A$1:$G$1,0))</f>
        <v>29.784999999999997</v>
      </c>
      <c r="M103" s="4">
        <f t="shared" si="1"/>
        <v>148.92499999999998</v>
      </c>
      <c r="N103" t="str" cm="1">
        <f t="array" ref="N103">_xlfn.IFS(I103="Rob","Robusta",I103="Exc","Excelsa",I103="Ara","Arabica",I103="Lib","Liberica")</f>
        <v>Liberica</v>
      </c>
      <c r="O103" t="str" cm="1">
        <f t="array" ref="O103">_xlfn.IFS(J103="M","Medium",J103="L","Large",J103="D","Dark")</f>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_xlfn.XLOOKUP(C104,customers!$A$1:$A$1001,customers!$B$1:$B$1001,,0)</f>
        <v>Dyanna Aizikovitz</v>
      </c>
      <c r="G104" s="2" t="str">
        <f>IF(_xlfn.XLOOKUP(C104,customers!$A$1:$A$1001,customers!$C$1:$C$1001,,0)=0,"",_xlfn.XLOOKUP(C104,customers!$A$1:$A$1001,customers!$C$1:$C$1001,,0))</f>
        <v>daizikovitz2u@answers.com</v>
      </c>
      <c r="H104" s="2" t="str">
        <f>_xlfn.XLOOKUP(C104,customers!$A$1:$A$1001,customers!$G$1:$G$1001,,0)</f>
        <v>Ireland</v>
      </c>
      <c r="I104" t="str">
        <f>INDEX(products!$A$1:$G$49,MATCH(orders!$D104,products!$A$1:$A$49,0),MATCH(orders!I$1,products!$A$1:$G$1,0))</f>
        <v>Lib</v>
      </c>
      <c r="J104" t="str">
        <f>INDEX(products!$A$1:$G$49,MATCH(orders!$D104,products!$A$1:$A$49,0),MATCH(orders!J$1,products!$A$1:$G$1,0))</f>
        <v>D</v>
      </c>
      <c r="K104" s="7">
        <f>INDEX(products!$A$1:$G$49,MATCH(orders!$D104,products!$A$1:$A$49,0),MATCH(orders!K$1,products!$A$1:$G$1,0))</f>
        <v>1</v>
      </c>
      <c r="L104" s="4">
        <f>INDEX(products!$A$1:$G$49,MATCH(orders!$D104,products!$A$1:$A$49,0),MATCH(orders!L$1,products!$A$1:$G$1,0))</f>
        <v>12.95</v>
      </c>
      <c r="M104" s="4">
        <f t="shared" si="1"/>
        <v>38.849999999999994</v>
      </c>
      <c r="N104" t="str" cm="1">
        <f t="array" ref="N104">_xlfn.IFS(I104="Rob","Robusta",I104="Exc","Excelsa",I104="Ara","Arabica",I104="Lib","Liberica")</f>
        <v>Liberica</v>
      </c>
      <c r="O104" t="str" cm="1">
        <f t="array" ref="O104">_xlfn.IFS(J104="M","Medium",J104="L","Large",J104="D","Dark")</f>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_xlfn.XLOOKUP(C105,customers!$A$1:$A$1001,customers!$B$1:$B$1001,,0)</f>
        <v>Bram Revel</v>
      </c>
      <c r="G105" s="2" t="str">
        <f>IF(_xlfn.XLOOKUP(C105,customers!$A$1:$A$1001,customers!$C$1:$C$1001,,0)=0,"",_xlfn.XLOOKUP(C105,customers!$A$1:$A$1001,customers!$C$1:$C$1001,,0))</f>
        <v>brevel2v@fastcompany.com</v>
      </c>
      <c r="H105" s="2" t="str">
        <f>_xlfn.XLOOKUP(C105,customers!$A$1:$A$1001,customers!$G$1:$G$1001,,0)</f>
        <v>United States</v>
      </c>
      <c r="I105" t="str">
        <f>INDEX(products!$A$1:$G$49,MATCH(orders!$D105,products!$A$1:$A$49,0),MATCH(orders!I$1,products!$A$1:$G$1,0))</f>
        <v>Rob</v>
      </c>
      <c r="J105" t="str">
        <f>INDEX(products!$A$1:$G$49,MATCH(orders!$D105,products!$A$1:$A$49,0),MATCH(orders!J$1,products!$A$1:$G$1,0))</f>
        <v>M</v>
      </c>
      <c r="K105" s="7">
        <f>INDEX(products!$A$1:$G$49,MATCH(orders!$D105,products!$A$1:$A$49,0),MATCH(orders!K$1,products!$A$1:$G$1,0))</f>
        <v>0.2</v>
      </c>
      <c r="L105" s="4">
        <f>INDEX(products!$A$1:$G$49,MATCH(orders!$D105,products!$A$1:$A$49,0),MATCH(orders!L$1,products!$A$1:$G$1,0))</f>
        <v>2.9849999999999999</v>
      </c>
      <c r="M105" s="4">
        <f t="shared" si="1"/>
        <v>11.94</v>
      </c>
      <c r="N105" t="str" cm="1">
        <f t="array" ref="N105">_xlfn.IFS(I105="Rob","Robusta",I105="Exc","Excelsa",I105="Ara","Arabica",I105="Lib","Liberica")</f>
        <v>Robusta</v>
      </c>
      <c r="O105" t="str" cm="1">
        <f t="array" ref="O105">_xlfn.IFS(J105="M","Medium",J105="L","Large",J105="D","Dark")</f>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_xlfn.XLOOKUP(C106,customers!$A$1:$A$1001,customers!$B$1:$B$1001,,0)</f>
        <v>Emiline Priddis</v>
      </c>
      <c r="G106" s="2" t="str">
        <f>IF(_xlfn.XLOOKUP(C106,customers!$A$1:$A$1001,customers!$C$1:$C$1001,,0)=0,"",_xlfn.XLOOKUP(C106,customers!$A$1:$A$1001,customers!$C$1:$C$1001,,0))</f>
        <v>epriddis2w@nationalgeographic.com</v>
      </c>
      <c r="H106" s="2" t="str">
        <f>_xlfn.XLOOKUP(C106,customers!$A$1:$A$1001,customers!$G$1:$G$1001,,0)</f>
        <v>United States</v>
      </c>
      <c r="I106" t="str">
        <f>INDEX(products!$A$1:$G$49,MATCH(orders!$D106,products!$A$1:$A$49,0),MATCH(orders!I$1,products!$A$1:$G$1,0))</f>
        <v>Lib</v>
      </c>
      <c r="J106" t="str">
        <f>INDEX(products!$A$1:$G$49,MATCH(orders!$D106,products!$A$1:$A$49,0),MATCH(orders!J$1,products!$A$1:$G$1,0))</f>
        <v>M</v>
      </c>
      <c r="K106" s="7">
        <f>INDEX(products!$A$1:$G$49,MATCH(orders!$D106,products!$A$1:$A$49,0),MATCH(orders!K$1,products!$A$1:$G$1,0))</f>
        <v>1</v>
      </c>
      <c r="L106" s="4">
        <f>INDEX(products!$A$1:$G$49,MATCH(orders!$D106,products!$A$1:$A$49,0),MATCH(orders!L$1,products!$A$1:$G$1,0))</f>
        <v>14.55</v>
      </c>
      <c r="M106" s="4">
        <f t="shared" si="1"/>
        <v>87.300000000000011</v>
      </c>
      <c r="N106" t="str" cm="1">
        <f t="array" ref="N106">_xlfn.IFS(I106="Rob","Robusta",I106="Exc","Excelsa",I106="Ara","Arabica",I106="Lib","Liberica")</f>
        <v>Liberica</v>
      </c>
      <c r="O106" t="str" cm="1">
        <f t="array" ref="O106">_xlfn.IFS(J106="M","Medium",J106="L","Large",J106="D","Dark")</f>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_xlfn.XLOOKUP(C107,customers!$A$1:$A$1001,customers!$B$1:$B$1001,,0)</f>
        <v>Queenie Veel</v>
      </c>
      <c r="G107" s="2" t="str">
        <f>IF(_xlfn.XLOOKUP(C107,customers!$A$1:$A$1001,customers!$C$1:$C$1001,,0)=0,"",_xlfn.XLOOKUP(C107,customers!$A$1:$A$1001,customers!$C$1:$C$1001,,0))</f>
        <v>qveel2x@jugem.jp</v>
      </c>
      <c r="H107" s="2" t="str">
        <f>_xlfn.XLOOKUP(C107,customers!$A$1:$A$1001,customers!$G$1:$G$1001,,0)</f>
        <v>United States</v>
      </c>
      <c r="I107" t="str">
        <f>INDEX(products!$A$1:$G$49,MATCH(orders!$D107,products!$A$1:$A$49,0),MATCH(orders!I$1,products!$A$1:$G$1,0))</f>
        <v>Ara</v>
      </c>
      <c r="J107" t="str">
        <f>INDEX(products!$A$1:$G$49,MATCH(orders!$D107,products!$A$1:$A$49,0),MATCH(orders!J$1,products!$A$1:$G$1,0))</f>
        <v>M</v>
      </c>
      <c r="K107" s="7">
        <f>INDEX(products!$A$1:$G$49,MATCH(orders!$D107,products!$A$1:$A$49,0),MATCH(orders!K$1,products!$A$1:$G$1,0))</f>
        <v>0.5</v>
      </c>
      <c r="L107" s="4">
        <f>INDEX(products!$A$1:$G$49,MATCH(orders!$D107,products!$A$1:$A$49,0),MATCH(orders!L$1,products!$A$1:$G$1,0))</f>
        <v>6.75</v>
      </c>
      <c r="M107" s="4">
        <f t="shared" si="1"/>
        <v>40.5</v>
      </c>
      <c r="N107" t="str" cm="1">
        <f t="array" ref="N107">_xlfn.IFS(I107="Rob","Robusta",I107="Exc","Excelsa",I107="Ara","Arabica",I107="Lib","Liberica")</f>
        <v>Arabica</v>
      </c>
      <c r="O107" t="str" cm="1">
        <f t="array" ref="O107">_xlfn.IFS(J107="M","Medium",J107="L","Large",J107="D","Dark")</f>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_xlfn.XLOOKUP(C108,customers!$A$1:$A$1001,customers!$B$1:$B$1001,,0)</f>
        <v>Lind Conyers</v>
      </c>
      <c r="G108" s="2" t="str">
        <f>IF(_xlfn.XLOOKUP(C108,customers!$A$1:$A$1001,customers!$C$1:$C$1001,,0)=0,"",_xlfn.XLOOKUP(C108,customers!$A$1:$A$1001,customers!$C$1:$C$1001,,0))</f>
        <v>lconyers2y@twitter.com</v>
      </c>
      <c r="H108" s="2" t="str">
        <f>_xlfn.XLOOKUP(C108,customers!$A$1:$A$1001,customers!$G$1:$G$1001,,0)</f>
        <v>United States</v>
      </c>
      <c r="I108" t="str">
        <f>INDEX(products!$A$1:$G$49,MATCH(orders!$D108,products!$A$1:$A$49,0),MATCH(orders!I$1,products!$A$1:$G$1,0))</f>
        <v>Exc</v>
      </c>
      <c r="J108" t="str">
        <f>INDEX(products!$A$1:$G$49,MATCH(orders!$D108,products!$A$1:$A$49,0),MATCH(orders!J$1,products!$A$1:$G$1,0))</f>
        <v>D</v>
      </c>
      <c r="K108" s="7">
        <f>INDEX(products!$A$1:$G$49,MATCH(orders!$D108,products!$A$1:$A$49,0),MATCH(orders!K$1,products!$A$1:$G$1,0))</f>
        <v>1</v>
      </c>
      <c r="L108" s="4">
        <f>INDEX(products!$A$1:$G$49,MATCH(orders!$D108,products!$A$1:$A$49,0),MATCH(orders!L$1,products!$A$1:$G$1,0))</f>
        <v>12.15</v>
      </c>
      <c r="M108" s="4">
        <f t="shared" si="1"/>
        <v>24.3</v>
      </c>
      <c r="N108" t="str" cm="1">
        <f t="array" ref="N108">_xlfn.IFS(I108="Rob","Robusta",I108="Exc","Excelsa",I108="Ara","Arabica",I108="Lib","Liberica")</f>
        <v>Excelsa</v>
      </c>
      <c r="O108" t="str" cm="1">
        <f t="array" ref="O108">_xlfn.IFS(J108="M","Medium",J108="L","Large",J108="D","Dark")</f>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_xlfn.XLOOKUP(C109,customers!$A$1:$A$1001,customers!$B$1:$B$1001,,0)</f>
        <v>Pen Wye</v>
      </c>
      <c r="G109" s="2" t="str">
        <f>IF(_xlfn.XLOOKUP(C109,customers!$A$1:$A$1001,customers!$C$1:$C$1001,,0)=0,"",_xlfn.XLOOKUP(C109,customers!$A$1:$A$1001,customers!$C$1:$C$1001,,0))</f>
        <v>pwye2z@dagondesign.com</v>
      </c>
      <c r="H109" s="2" t="str">
        <f>_xlfn.XLOOKUP(C109,customers!$A$1:$A$1001,customers!$G$1:$G$1001,,0)</f>
        <v>United States</v>
      </c>
      <c r="I109" t="str">
        <f>INDEX(products!$A$1:$G$49,MATCH(orders!$D109,products!$A$1:$A$49,0),MATCH(orders!I$1,products!$A$1:$G$1,0))</f>
        <v>Rob</v>
      </c>
      <c r="J109" t="str">
        <f>INDEX(products!$A$1:$G$49,MATCH(orders!$D109,products!$A$1:$A$49,0),MATCH(orders!J$1,products!$A$1:$G$1,0))</f>
        <v>M</v>
      </c>
      <c r="K109" s="7">
        <f>INDEX(products!$A$1:$G$49,MATCH(orders!$D109,products!$A$1:$A$49,0),MATCH(orders!K$1,products!$A$1:$G$1,0))</f>
        <v>0.5</v>
      </c>
      <c r="L109" s="4">
        <f>INDEX(products!$A$1:$G$49,MATCH(orders!$D109,products!$A$1:$A$49,0),MATCH(orders!L$1,products!$A$1:$G$1,0))</f>
        <v>5.97</v>
      </c>
      <c r="M109" s="4">
        <f t="shared" si="1"/>
        <v>17.91</v>
      </c>
      <c r="N109" t="str" cm="1">
        <f t="array" ref="N109">_xlfn.IFS(I109="Rob","Robusta",I109="Exc","Excelsa",I109="Ara","Arabica",I109="Lib","Liberica")</f>
        <v>Robusta</v>
      </c>
      <c r="O109" t="str" cm="1">
        <f t="array" ref="O109">_xlfn.IFS(J109="M","Medium",J109="L","Large",J109="D","Dark")</f>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_xlfn.XLOOKUP(C110,customers!$A$1:$A$1001,customers!$B$1:$B$1001,,0)</f>
        <v>Isahella Hagland</v>
      </c>
      <c r="G110" s="2" t="str">
        <f>IF(_xlfn.XLOOKUP(C110,customers!$A$1:$A$1001,customers!$C$1:$C$1001,,0)=0,"",_xlfn.XLOOKUP(C110,customers!$A$1:$A$1001,customers!$C$1:$C$1001,,0))</f>
        <v/>
      </c>
      <c r="H110" s="2" t="str">
        <f>_xlfn.XLOOKUP(C110,customers!$A$1:$A$1001,customers!$G$1:$G$1001,,0)</f>
        <v>United States</v>
      </c>
      <c r="I110" t="str">
        <f>INDEX(products!$A$1:$G$49,MATCH(orders!$D110,products!$A$1:$A$49,0),MATCH(orders!I$1,products!$A$1:$G$1,0))</f>
        <v>Ara</v>
      </c>
      <c r="J110" t="str">
        <f>INDEX(products!$A$1:$G$49,MATCH(orders!$D110,products!$A$1:$A$49,0),MATCH(orders!J$1,products!$A$1:$G$1,0))</f>
        <v>M</v>
      </c>
      <c r="K110" s="7">
        <f>INDEX(products!$A$1:$G$49,MATCH(orders!$D110,products!$A$1:$A$49,0),MATCH(orders!K$1,products!$A$1:$G$1,0))</f>
        <v>0.5</v>
      </c>
      <c r="L110" s="4">
        <f>INDEX(products!$A$1:$G$49,MATCH(orders!$D110,products!$A$1:$A$49,0),MATCH(orders!L$1,products!$A$1:$G$1,0))</f>
        <v>6.75</v>
      </c>
      <c r="M110" s="4">
        <f t="shared" si="1"/>
        <v>27</v>
      </c>
      <c r="N110" t="str" cm="1">
        <f t="array" ref="N110">_xlfn.IFS(I110="Rob","Robusta",I110="Exc","Excelsa",I110="Ara","Arabica",I110="Lib","Liberica")</f>
        <v>Arabica</v>
      </c>
      <c r="O110" t="str" cm="1">
        <f t="array" ref="O110">_xlfn.IFS(J110="M","Medium",J110="L","Large",J110="D","Dark")</f>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_xlfn.XLOOKUP(C111,customers!$A$1:$A$1001,customers!$B$1:$B$1001,,0)</f>
        <v>Terry Sheryn</v>
      </c>
      <c r="G111" s="2" t="str">
        <f>IF(_xlfn.XLOOKUP(C111,customers!$A$1:$A$1001,customers!$C$1:$C$1001,,0)=0,"",_xlfn.XLOOKUP(C111,customers!$A$1:$A$1001,customers!$C$1:$C$1001,,0))</f>
        <v>tsheryn31@mtv.com</v>
      </c>
      <c r="H111" s="2" t="str">
        <f>_xlfn.XLOOKUP(C111,customers!$A$1:$A$1001,customers!$G$1:$G$1001,,0)</f>
        <v>United States</v>
      </c>
      <c r="I111" t="str">
        <f>INDEX(products!$A$1:$G$49,MATCH(orders!$D111,products!$A$1:$A$49,0),MATCH(orders!I$1,products!$A$1:$G$1,0))</f>
        <v>Lib</v>
      </c>
      <c r="J111" t="str">
        <f>INDEX(products!$A$1:$G$49,MATCH(orders!$D111,products!$A$1:$A$49,0),MATCH(orders!J$1,products!$A$1:$G$1,0))</f>
        <v>D</v>
      </c>
      <c r="K111" s="7">
        <f>INDEX(products!$A$1:$G$49,MATCH(orders!$D111,products!$A$1:$A$49,0),MATCH(orders!K$1,products!$A$1:$G$1,0))</f>
        <v>0.5</v>
      </c>
      <c r="L111" s="4">
        <f>INDEX(products!$A$1:$G$49,MATCH(orders!$D111,products!$A$1:$A$49,0),MATCH(orders!L$1,products!$A$1:$G$1,0))</f>
        <v>7.77</v>
      </c>
      <c r="M111" s="4">
        <f t="shared" si="1"/>
        <v>7.77</v>
      </c>
      <c r="N111" t="str" cm="1">
        <f t="array" ref="N111">_xlfn.IFS(I111="Rob","Robusta",I111="Exc","Excelsa",I111="Ara","Arabica",I111="Lib","Liberica")</f>
        <v>Liberica</v>
      </c>
      <c r="O111" t="str" cm="1">
        <f t="array" ref="O111">_xlfn.IFS(J111="M","Medium",J111="L","Large",J111="D","Dark")</f>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_xlfn.XLOOKUP(C112,customers!$A$1:$A$1001,customers!$B$1:$B$1001,,0)</f>
        <v>Marie-jeanne Redgrave</v>
      </c>
      <c r="G112" s="2" t="str">
        <f>IF(_xlfn.XLOOKUP(C112,customers!$A$1:$A$1001,customers!$C$1:$C$1001,,0)=0,"",_xlfn.XLOOKUP(C112,customers!$A$1:$A$1001,customers!$C$1:$C$1001,,0))</f>
        <v>mredgrave32@cargocollective.com</v>
      </c>
      <c r="H112" s="2" t="str">
        <f>_xlfn.XLOOKUP(C112,customers!$A$1:$A$1001,customers!$G$1:$G$1001,,0)</f>
        <v>United States</v>
      </c>
      <c r="I112" t="str">
        <f>INDEX(products!$A$1:$G$49,MATCH(orders!$D112,products!$A$1:$A$49,0),MATCH(orders!I$1,products!$A$1:$G$1,0))</f>
        <v>Exc</v>
      </c>
      <c r="J112" t="str">
        <f>INDEX(products!$A$1:$G$49,MATCH(orders!$D112,products!$A$1:$A$49,0),MATCH(orders!J$1,products!$A$1:$G$1,0))</f>
        <v>L</v>
      </c>
      <c r="K112" s="7">
        <f>INDEX(products!$A$1:$G$49,MATCH(orders!$D112,products!$A$1:$A$49,0),MATCH(orders!K$1,products!$A$1:$G$1,0))</f>
        <v>0.2</v>
      </c>
      <c r="L112" s="4">
        <f>INDEX(products!$A$1:$G$49,MATCH(orders!$D112,products!$A$1:$A$49,0),MATCH(orders!L$1,products!$A$1:$G$1,0))</f>
        <v>4.4550000000000001</v>
      </c>
      <c r="M112" s="4">
        <f t="shared" si="1"/>
        <v>13.365</v>
      </c>
      <c r="N112" t="str" cm="1">
        <f t="array" ref="N112">_xlfn.IFS(I112="Rob","Robusta",I112="Exc","Excelsa",I112="Ara","Arabica",I112="Lib","Liberica")</f>
        <v>Excelsa</v>
      </c>
      <c r="O112" t="str" cm="1">
        <f t="array" ref="O112">_xlfn.IFS(J112="M","Medium",J112="L","Large",J112="D","Dark")</f>
        <v>Large</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_xlfn.XLOOKUP(C113,customers!$A$1:$A$1001,customers!$B$1:$B$1001,,0)</f>
        <v>Betty Fominov</v>
      </c>
      <c r="G113" s="2" t="str">
        <f>IF(_xlfn.XLOOKUP(C113,customers!$A$1:$A$1001,customers!$C$1:$C$1001,,0)=0,"",_xlfn.XLOOKUP(C113,customers!$A$1:$A$1001,customers!$C$1:$C$1001,,0))</f>
        <v>bfominov33@yale.edu</v>
      </c>
      <c r="H113" s="2" t="str">
        <f>_xlfn.XLOOKUP(C113,customers!$A$1:$A$1001,customers!$G$1:$G$1001,,0)</f>
        <v>United States</v>
      </c>
      <c r="I113" t="str">
        <f>INDEX(products!$A$1:$G$49,MATCH(orders!$D113,products!$A$1:$A$49,0),MATCH(orders!I$1,products!$A$1:$G$1,0))</f>
        <v>Rob</v>
      </c>
      <c r="J113" t="str">
        <f>INDEX(products!$A$1:$G$49,MATCH(orders!$D113,products!$A$1:$A$49,0),MATCH(orders!J$1,products!$A$1:$G$1,0))</f>
        <v>D</v>
      </c>
      <c r="K113" s="7">
        <f>INDEX(products!$A$1:$G$49,MATCH(orders!$D113,products!$A$1:$A$49,0),MATCH(orders!K$1,products!$A$1:$G$1,0))</f>
        <v>0.5</v>
      </c>
      <c r="L113" s="4">
        <f>INDEX(products!$A$1:$G$49,MATCH(orders!$D113,products!$A$1:$A$49,0),MATCH(orders!L$1,products!$A$1:$G$1,0))</f>
        <v>5.3699999999999992</v>
      </c>
      <c r="M113" s="4">
        <f t="shared" si="1"/>
        <v>26.849999999999994</v>
      </c>
      <c r="N113" t="str" cm="1">
        <f t="array" ref="N113">_xlfn.IFS(I113="Rob","Robusta",I113="Exc","Excelsa",I113="Ara","Arabica",I113="Lib","Liberica")</f>
        <v>Robusta</v>
      </c>
      <c r="O113" t="str" cm="1">
        <f t="array" ref="O113">_xlfn.IFS(J113="M","Medium",J113="L","Large",J113="D","Dark")</f>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_xlfn.XLOOKUP(C114,customers!$A$1:$A$1001,customers!$B$1:$B$1001,,0)</f>
        <v>Shawnee Critchlow</v>
      </c>
      <c r="G114" s="2" t="str">
        <f>IF(_xlfn.XLOOKUP(C114,customers!$A$1:$A$1001,customers!$C$1:$C$1001,,0)=0,"",_xlfn.XLOOKUP(C114,customers!$A$1:$A$1001,customers!$C$1:$C$1001,,0))</f>
        <v>scritchlow34@un.org</v>
      </c>
      <c r="H114" s="2" t="str">
        <f>_xlfn.XLOOKUP(C114,customers!$A$1:$A$1001,customers!$G$1:$G$1001,,0)</f>
        <v>United States</v>
      </c>
      <c r="I114" t="str">
        <f>INDEX(products!$A$1:$G$49,MATCH(orders!$D114,products!$A$1:$A$49,0),MATCH(orders!I$1,products!$A$1:$G$1,0))</f>
        <v>Ara</v>
      </c>
      <c r="J114" t="str">
        <f>INDEX(products!$A$1:$G$49,MATCH(orders!$D114,products!$A$1:$A$49,0),MATCH(orders!J$1,products!$A$1:$G$1,0))</f>
        <v>M</v>
      </c>
      <c r="K114" s="7">
        <f>INDEX(products!$A$1:$G$49,MATCH(orders!$D114,products!$A$1:$A$49,0),MATCH(orders!K$1,products!$A$1:$G$1,0))</f>
        <v>1</v>
      </c>
      <c r="L114" s="4">
        <f>INDEX(products!$A$1:$G$49,MATCH(orders!$D114,products!$A$1:$A$49,0),MATCH(orders!L$1,products!$A$1:$G$1,0))</f>
        <v>11.25</v>
      </c>
      <c r="M114" s="4">
        <f t="shared" si="1"/>
        <v>11.25</v>
      </c>
      <c r="N114" t="str" cm="1">
        <f t="array" ref="N114">_xlfn.IFS(I114="Rob","Robusta",I114="Exc","Excelsa",I114="Ara","Arabica",I114="Lib","Liberica")</f>
        <v>Arabica</v>
      </c>
      <c r="O114" t="str" cm="1">
        <f t="array" ref="O114">_xlfn.IFS(J114="M","Medium",J114="L","Large",J114="D","Dark")</f>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_xlfn.XLOOKUP(C115,customers!$A$1:$A$1001,customers!$B$1:$B$1001,,0)</f>
        <v>Merrel Steptow</v>
      </c>
      <c r="G115" s="2" t="str">
        <f>IF(_xlfn.XLOOKUP(C115,customers!$A$1:$A$1001,customers!$C$1:$C$1001,,0)=0,"",_xlfn.XLOOKUP(C115,customers!$A$1:$A$1001,customers!$C$1:$C$1001,,0))</f>
        <v>msteptow35@earthlink.net</v>
      </c>
      <c r="H115" s="2" t="str">
        <f>_xlfn.XLOOKUP(C115,customers!$A$1:$A$1001,customers!$G$1:$G$1001,,0)</f>
        <v>Ireland</v>
      </c>
      <c r="I115" t="str">
        <f>INDEX(products!$A$1:$G$49,MATCH(orders!$D115,products!$A$1:$A$49,0),MATCH(orders!I$1,products!$A$1:$G$1,0))</f>
        <v>Lib</v>
      </c>
      <c r="J115" t="str">
        <f>INDEX(products!$A$1:$G$49,MATCH(orders!$D115,products!$A$1:$A$49,0),MATCH(orders!J$1,products!$A$1:$G$1,0))</f>
        <v>M</v>
      </c>
      <c r="K115" s="7">
        <f>INDEX(products!$A$1:$G$49,MATCH(orders!$D115,products!$A$1:$A$49,0),MATCH(orders!K$1,products!$A$1:$G$1,0))</f>
        <v>1</v>
      </c>
      <c r="L115" s="4">
        <f>INDEX(products!$A$1:$G$49,MATCH(orders!$D115,products!$A$1:$A$49,0),MATCH(orders!L$1,products!$A$1:$G$1,0))</f>
        <v>14.55</v>
      </c>
      <c r="M115" s="4">
        <f t="shared" si="1"/>
        <v>14.55</v>
      </c>
      <c r="N115" t="str" cm="1">
        <f t="array" ref="N115">_xlfn.IFS(I115="Rob","Robusta",I115="Exc","Excelsa",I115="Ara","Arabica",I115="Lib","Liberica")</f>
        <v>Liberica</v>
      </c>
      <c r="O115" t="str" cm="1">
        <f t="array" ref="O115">_xlfn.IFS(J115="M","Medium",J115="L","Large",J115="D","Dark")</f>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_xlfn.XLOOKUP(C116,customers!$A$1:$A$1001,customers!$B$1:$B$1001,,0)</f>
        <v>Carmina Hubbuck</v>
      </c>
      <c r="G116" s="2" t="str">
        <f>IF(_xlfn.XLOOKUP(C116,customers!$A$1:$A$1001,customers!$C$1:$C$1001,,0)=0,"",_xlfn.XLOOKUP(C116,customers!$A$1:$A$1001,customers!$C$1:$C$1001,,0))</f>
        <v/>
      </c>
      <c r="H116" s="2" t="str">
        <f>_xlfn.XLOOKUP(C116,customers!$A$1:$A$1001,customers!$G$1:$G$1001,,0)</f>
        <v>United States</v>
      </c>
      <c r="I116" t="str">
        <f>INDEX(products!$A$1:$G$49,MATCH(orders!$D116,products!$A$1:$A$49,0),MATCH(orders!I$1,products!$A$1:$G$1,0))</f>
        <v>Rob</v>
      </c>
      <c r="J116" t="str">
        <f>INDEX(products!$A$1:$G$49,MATCH(orders!$D116,products!$A$1:$A$49,0),MATCH(orders!J$1,products!$A$1:$G$1,0))</f>
        <v>L</v>
      </c>
      <c r="K116" s="7">
        <f>INDEX(products!$A$1:$G$49,MATCH(orders!$D116,products!$A$1:$A$49,0),MATCH(orders!K$1,products!$A$1:$G$1,0))</f>
        <v>0.2</v>
      </c>
      <c r="L116" s="4">
        <f>INDEX(products!$A$1:$G$49,MATCH(orders!$D116,products!$A$1:$A$49,0),MATCH(orders!L$1,products!$A$1:$G$1,0))</f>
        <v>3.5849999999999995</v>
      </c>
      <c r="M116" s="4">
        <f t="shared" si="1"/>
        <v>14.339999999999998</v>
      </c>
      <c r="N116" t="str" cm="1">
        <f t="array" ref="N116">_xlfn.IFS(I116="Rob","Robusta",I116="Exc","Excelsa",I116="Ara","Arabica",I116="Lib","Liberica")</f>
        <v>Robusta</v>
      </c>
      <c r="O116" t="str" cm="1">
        <f t="array" ref="O116">_xlfn.IFS(J116="M","Medium",J116="L","Large",J116="D","Dark")</f>
        <v>Large</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_xlfn.XLOOKUP(C117,customers!$A$1:$A$1001,customers!$B$1:$B$1001,,0)</f>
        <v>Ingeberg Mulliner</v>
      </c>
      <c r="G117" s="2" t="str">
        <f>IF(_xlfn.XLOOKUP(C117,customers!$A$1:$A$1001,customers!$C$1:$C$1001,,0)=0,"",_xlfn.XLOOKUP(C117,customers!$A$1:$A$1001,customers!$C$1:$C$1001,,0))</f>
        <v>imulliner37@pinterest.com</v>
      </c>
      <c r="H117" s="2" t="str">
        <f>_xlfn.XLOOKUP(C117,customers!$A$1:$A$1001,customers!$G$1:$G$1001,,0)</f>
        <v>United Kingdom</v>
      </c>
      <c r="I117" t="str">
        <f>INDEX(products!$A$1:$G$49,MATCH(orders!$D117,products!$A$1:$A$49,0),MATCH(orders!I$1,products!$A$1:$G$1,0))</f>
        <v>Lib</v>
      </c>
      <c r="J117" t="str">
        <f>INDEX(products!$A$1:$G$49,MATCH(orders!$D117,products!$A$1:$A$49,0),MATCH(orders!J$1,products!$A$1:$G$1,0))</f>
        <v>L</v>
      </c>
      <c r="K117" s="7">
        <f>INDEX(products!$A$1:$G$49,MATCH(orders!$D117,products!$A$1:$A$49,0),MATCH(orders!K$1,products!$A$1:$G$1,0))</f>
        <v>1</v>
      </c>
      <c r="L117" s="4">
        <f>INDEX(products!$A$1:$G$49,MATCH(orders!$D117,products!$A$1:$A$49,0),MATCH(orders!L$1,products!$A$1:$G$1,0))</f>
        <v>15.85</v>
      </c>
      <c r="M117" s="4">
        <f t="shared" si="1"/>
        <v>15.85</v>
      </c>
      <c r="N117" t="str" cm="1">
        <f t="array" ref="N117">_xlfn.IFS(I117="Rob","Robusta",I117="Exc","Excelsa",I117="Ara","Arabica",I117="Lib","Liberica")</f>
        <v>Liberica</v>
      </c>
      <c r="O117" t="str" cm="1">
        <f t="array" ref="O117">_xlfn.IFS(J117="M","Medium",J117="L","Large",J117="D","Dark")</f>
        <v>Large</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_xlfn.XLOOKUP(C118,customers!$A$1:$A$1001,customers!$B$1:$B$1001,,0)</f>
        <v>Geneva Standley</v>
      </c>
      <c r="G118" s="2" t="str">
        <f>IF(_xlfn.XLOOKUP(C118,customers!$A$1:$A$1001,customers!$C$1:$C$1001,,0)=0,"",_xlfn.XLOOKUP(C118,customers!$A$1:$A$1001,customers!$C$1:$C$1001,,0))</f>
        <v>gstandley38@dion.ne.jp</v>
      </c>
      <c r="H118" s="2" t="str">
        <f>_xlfn.XLOOKUP(C118,customers!$A$1:$A$1001,customers!$G$1:$G$1001,,0)</f>
        <v>Ireland</v>
      </c>
      <c r="I118" t="str">
        <f>INDEX(products!$A$1:$G$49,MATCH(orders!$D118,products!$A$1:$A$49,0),MATCH(orders!I$1,products!$A$1:$G$1,0))</f>
        <v>Lib</v>
      </c>
      <c r="J118" t="str">
        <f>INDEX(products!$A$1:$G$49,MATCH(orders!$D118,products!$A$1:$A$49,0),MATCH(orders!J$1,products!$A$1:$G$1,0))</f>
        <v>L</v>
      </c>
      <c r="K118" s="7">
        <f>INDEX(products!$A$1:$G$49,MATCH(orders!$D118,products!$A$1:$A$49,0),MATCH(orders!K$1,products!$A$1:$G$1,0))</f>
        <v>0.2</v>
      </c>
      <c r="L118" s="4">
        <f>INDEX(products!$A$1:$G$49,MATCH(orders!$D118,products!$A$1:$A$49,0),MATCH(orders!L$1,products!$A$1:$G$1,0))</f>
        <v>4.7549999999999999</v>
      </c>
      <c r="M118" s="4">
        <f t="shared" si="1"/>
        <v>19.02</v>
      </c>
      <c r="N118" t="str" cm="1">
        <f t="array" ref="N118">_xlfn.IFS(I118="Rob","Robusta",I118="Exc","Excelsa",I118="Ara","Arabica",I118="Lib","Liberica")</f>
        <v>Liberica</v>
      </c>
      <c r="O118" t="str" cm="1">
        <f t="array" ref="O118">_xlfn.IFS(J118="M","Medium",J118="L","Large",J118="D","Dark")</f>
        <v>Large</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_xlfn.XLOOKUP(C119,customers!$A$1:$A$1001,customers!$B$1:$B$1001,,0)</f>
        <v>Brook Drage</v>
      </c>
      <c r="G119" s="2" t="str">
        <f>IF(_xlfn.XLOOKUP(C119,customers!$A$1:$A$1001,customers!$C$1:$C$1001,,0)=0,"",_xlfn.XLOOKUP(C119,customers!$A$1:$A$1001,customers!$C$1:$C$1001,,0))</f>
        <v>bdrage39@youku.com</v>
      </c>
      <c r="H119" s="2" t="str">
        <f>_xlfn.XLOOKUP(C119,customers!$A$1:$A$1001,customers!$G$1:$G$1001,,0)</f>
        <v>United States</v>
      </c>
      <c r="I119" t="str">
        <f>INDEX(products!$A$1:$G$49,MATCH(orders!$D119,products!$A$1:$A$49,0),MATCH(orders!I$1,products!$A$1:$G$1,0))</f>
        <v>Lib</v>
      </c>
      <c r="J119" t="str">
        <f>INDEX(products!$A$1:$G$49,MATCH(orders!$D119,products!$A$1:$A$49,0),MATCH(orders!J$1,products!$A$1:$G$1,0))</f>
        <v>L</v>
      </c>
      <c r="K119" s="7">
        <f>INDEX(products!$A$1:$G$49,MATCH(orders!$D119,products!$A$1:$A$49,0),MATCH(orders!K$1,products!$A$1:$G$1,0))</f>
        <v>0.5</v>
      </c>
      <c r="L119" s="4">
        <f>INDEX(products!$A$1:$G$49,MATCH(orders!$D119,products!$A$1:$A$49,0),MATCH(orders!L$1,products!$A$1:$G$1,0))</f>
        <v>9.51</v>
      </c>
      <c r="M119" s="4">
        <f t="shared" si="1"/>
        <v>38.04</v>
      </c>
      <c r="N119" t="str" cm="1">
        <f t="array" ref="N119">_xlfn.IFS(I119="Rob","Robusta",I119="Exc","Excelsa",I119="Ara","Arabica",I119="Lib","Liberica")</f>
        <v>Liberica</v>
      </c>
      <c r="O119" t="str" cm="1">
        <f t="array" ref="O119">_xlfn.IFS(J119="M","Medium",J119="L","Large",J119="D","Dark")</f>
        <v>Large</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_xlfn.XLOOKUP(C120,customers!$A$1:$A$1001,customers!$B$1:$B$1001,,0)</f>
        <v>Muffin Yallop</v>
      </c>
      <c r="G120" s="2" t="str">
        <f>IF(_xlfn.XLOOKUP(C120,customers!$A$1:$A$1001,customers!$C$1:$C$1001,,0)=0,"",_xlfn.XLOOKUP(C120,customers!$A$1:$A$1001,customers!$C$1:$C$1001,,0))</f>
        <v>myallop3a@fema.gov</v>
      </c>
      <c r="H120" s="2" t="str">
        <f>_xlfn.XLOOKUP(C120,customers!$A$1:$A$1001,customers!$G$1:$G$1001,,0)</f>
        <v>United States</v>
      </c>
      <c r="I120" t="str">
        <f>INDEX(products!$A$1:$G$49,MATCH(orders!$D120,products!$A$1:$A$49,0),MATCH(orders!I$1,products!$A$1:$G$1,0))</f>
        <v>Exc</v>
      </c>
      <c r="J120" t="str">
        <f>INDEX(products!$A$1:$G$49,MATCH(orders!$D120,products!$A$1:$A$49,0),MATCH(orders!J$1,products!$A$1:$G$1,0))</f>
        <v>D</v>
      </c>
      <c r="K120" s="7">
        <f>INDEX(products!$A$1:$G$49,MATCH(orders!$D120,products!$A$1:$A$49,0),MATCH(orders!K$1,products!$A$1:$G$1,0))</f>
        <v>0.5</v>
      </c>
      <c r="L120" s="4">
        <f>INDEX(products!$A$1:$G$49,MATCH(orders!$D120,products!$A$1:$A$49,0),MATCH(orders!L$1,products!$A$1:$G$1,0))</f>
        <v>7.29</v>
      </c>
      <c r="M120" s="4">
        <f t="shared" si="1"/>
        <v>21.87</v>
      </c>
      <c r="N120" t="str" cm="1">
        <f t="array" ref="N120">_xlfn.IFS(I120="Rob","Robusta",I120="Exc","Excelsa",I120="Ara","Arabica",I120="Lib","Liberica")</f>
        <v>Excelsa</v>
      </c>
      <c r="O120" t="str" cm="1">
        <f t="array" ref="O120">_xlfn.IFS(J120="M","Medium",J120="L","Large",J120="D","Dark")</f>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_xlfn.XLOOKUP(C121,customers!$A$1:$A$1001,customers!$B$1:$B$1001,,0)</f>
        <v>Cordi Switsur</v>
      </c>
      <c r="G121" s="2" t="str">
        <f>IF(_xlfn.XLOOKUP(C121,customers!$A$1:$A$1001,customers!$C$1:$C$1001,,0)=0,"",_xlfn.XLOOKUP(C121,customers!$A$1:$A$1001,customers!$C$1:$C$1001,,0))</f>
        <v>cswitsur3b@chronoengine.com</v>
      </c>
      <c r="H121" s="2" t="str">
        <f>_xlfn.XLOOKUP(C121,customers!$A$1:$A$1001,customers!$G$1:$G$1001,,0)</f>
        <v>United States</v>
      </c>
      <c r="I121" t="str">
        <f>INDEX(products!$A$1:$G$49,MATCH(orders!$D121,products!$A$1:$A$49,0),MATCH(orders!I$1,products!$A$1:$G$1,0))</f>
        <v>Exc</v>
      </c>
      <c r="J121" t="str">
        <f>INDEX(products!$A$1:$G$49,MATCH(orders!$D121,products!$A$1:$A$49,0),MATCH(orders!J$1,products!$A$1:$G$1,0))</f>
        <v>M</v>
      </c>
      <c r="K121" s="7">
        <f>INDEX(products!$A$1:$G$49,MATCH(orders!$D121,products!$A$1:$A$49,0),MATCH(orders!K$1,products!$A$1:$G$1,0))</f>
        <v>0.2</v>
      </c>
      <c r="L121" s="4">
        <f>INDEX(products!$A$1:$G$49,MATCH(orders!$D121,products!$A$1:$A$49,0),MATCH(orders!L$1,products!$A$1:$G$1,0))</f>
        <v>4.125</v>
      </c>
      <c r="M121" s="4">
        <f t="shared" si="1"/>
        <v>4.125</v>
      </c>
      <c r="N121" t="str" cm="1">
        <f t="array" ref="N121">_xlfn.IFS(I121="Rob","Robusta",I121="Exc","Excelsa",I121="Ara","Arabica",I121="Lib","Liberica")</f>
        <v>Excelsa</v>
      </c>
      <c r="O121" t="str" cm="1">
        <f t="array" ref="O121">_xlfn.IFS(J121="M","Medium",J121="L","Large",J121="D","Dark")</f>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_xlfn.XLOOKUP(C122,customers!$A$1:$A$1001,customers!$B$1:$B$1001,,0)</f>
        <v>Cordi Switsur</v>
      </c>
      <c r="G122" s="2" t="str">
        <f>IF(_xlfn.XLOOKUP(C122,customers!$A$1:$A$1001,customers!$C$1:$C$1001,,0)=0,"",_xlfn.XLOOKUP(C122,customers!$A$1:$A$1001,customers!$C$1:$C$1001,,0))</f>
        <v>cswitsur3b@chronoengine.com</v>
      </c>
      <c r="H122" s="2" t="str">
        <f>_xlfn.XLOOKUP(C122,customers!$A$1:$A$1001,customers!$G$1:$G$1001,,0)</f>
        <v>United States</v>
      </c>
      <c r="I122" t="str">
        <f>INDEX(products!$A$1:$G$49,MATCH(orders!$D122,products!$A$1:$A$49,0),MATCH(orders!I$1,products!$A$1:$G$1,0))</f>
        <v>Ara</v>
      </c>
      <c r="J122" t="str">
        <f>INDEX(products!$A$1:$G$49,MATCH(orders!$D122,products!$A$1:$A$49,0),MATCH(orders!J$1,products!$A$1:$G$1,0))</f>
        <v>L</v>
      </c>
      <c r="K122" s="7">
        <f>INDEX(products!$A$1:$G$49,MATCH(orders!$D122,products!$A$1:$A$49,0),MATCH(orders!K$1,products!$A$1:$G$1,0))</f>
        <v>0.2</v>
      </c>
      <c r="L122" s="4">
        <f>INDEX(products!$A$1:$G$49,MATCH(orders!$D122,products!$A$1:$A$49,0),MATCH(orders!L$1,products!$A$1:$G$1,0))</f>
        <v>3.8849999999999998</v>
      </c>
      <c r="M122" s="4">
        <f t="shared" si="1"/>
        <v>3.8849999999999998</v>
      </c>
      <c r="N122" t="str" cm="1">
        <f t="array" ref="N122">_xlfn.IFS(I122="Rob","Robusta",I122="Exc","Excelsa",I122="Ara","Arabica",I122="Lib","Liberica")</f>
        <v>Arabica</v>
      </c>
      <c r="O122" t="str" cm="1">
        <f t="array" ref="O122">_xlfn.IFS(J122="M","Medium",J122="L","Large",J122="D","Dark")</f>
        <v>Large</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_xlfn.XLOOKUP(C123,customers!$A$1:$A$1001,customers!$B$1:$B$1001,,0)</f>
        <v>Cordi Switsur</v>
      </c>
      <c r="G123" s="2" t="str">
        <f>IF(_xlfn.XLOOKUP(C123,customers!$A$1:$A$1001,customers!$C$1:$C$1001,,0)=0,"",_xlfn.XLOOKUP(C123,customers!$A$1:$A$1001,customers!$C$1:$C$1001,,0))</f>
        <v>cswitsur3b@chronoengine.com</v>
      </c>
      <c r="H123" s="2" t="str">
        <f>_xlfn.XLOOKUP(C123,customers!$A$1:$A$1001,customers!$G$1:$G$1001,,0)</f>
        <v>United States</v>
      </c>
      <c r="I123" t="str">
        <f>INDEX(products!$A$1:$G$49,MATCH(orders!$D123,products!$A$1:$A$49,0),MATCH(orders!I$1,products!$A$1:$G$1,0))</f>
        <v>Exc</v>
      </c>
      <c r="J123" t="str">
        <f>INDEX(products!$A$1:$G$49,MATCH(orders!$D123,products!$A$1:$A$49,0),MATCH(orders!J$1,products!$A$1:$G$1,0))</f>
        <v>M</v>
      </c>
      <c r="K123" s="7">
        <f>INDEX(products!$A$1:$G$49,MATCH(orders!$D123,products!$A$1:$A$49,0),MATCH(orders!K$1,products!$A$1:$G$1,0))</f>
        <v>1</v>
      </c>
      <c r="L123" s="4">
        <f>INDEX(products!$A$1:$G$49,MATCH(orders!$D123,products!$A$1:$A$49,0),MATCH(orders!L$1,products!$A$1:$G$1,0))</f>
        <v>13.75</v>
      </c>
      <c r="M123" s="4">
        <f t="shared" si="1"/>
        <v>68.75</v>
      </c>
      <c r="N123" t="str" cm="1">
        <f t="array" ref="N123">_xlfn.IFS(I123="Rob","Robusta",I123="Exc","Excelsa",I123="Ara","Arabica",I123="Lib","Liberica")</f>
        <v>Excelsa</v>
      </c>
      <c r="O123" t="str" cm="1">
        <f t="array" ref="O123">_xlfn.IFS(J123="M","Medium",J123="L","Large",J123="D","Dark")</f>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_xlfn.XLOOKUP(C124,customers!$A$1:$A$1001,customers!$B$1:$B$1001,,0)</f>
        <v>Mahala Ludwell</v>
      </c>
      <c r="G124" s="2" t="str">
        <f>IF(_xlfn.XLOOKUP(C124,customers!$A$1:$A$1001,customers!$C$1:$C$1001,,0)=0,"",_xlfn.XLOOKUP(C124,customers!$A$1:$A$1001,customers!$C$1:$C$1001,,0))</f>
        <v>mludwell3e@blogger.com</v>
      </c>
      <c r="H124" s="2" t="str">
        <f>_xlfn.XLOOKUP(C124,customers!$A$1:$A$1001,customers!$G$1:$G$1001,,0)</f>
        <v>United States</v>
      </c>
      <c r="I124" t="str">
        <f>INDEX(products!$A$1:$G$49,MATCH(orders!$D124,products!$A$1:$A$49,0),MATCH(orders!I$1,products!$A$1:$G$1,0))</f>
        <v>Ara</v>
      </c>
      <c r="J124" t="str">
        <f>INDEX(products!$A$1:$G$49,MATCH(orders!$D124,products!$A$1:$A$49,0),MATCH(orders!J$1,products!$A$1:$G$1,0))</f>
        <v>D</v>
      </c>
      <c r="K124" s="7">
        <f>INDEX(products!$A$1:$G$49,MATCH(orders!$D124,products!$A$1:$A$49,0),MATCH(orders!K$1,products!$A$1:$G$1,0))</f>
        <v>0.5</v>
      </c>
      <c r="L124" s="4">
        <f>INDEX(products!$A$1:$G$49,MATCH(orders!$D124,products!$A$1:$A$49,0),MATCH(orders!L$1,products!$A$1:$G$1,0))</f>
        <v>5.97</v>
      </c>
      <c r="M124" s="4">
        <f t="shared" si="1"/>
        <v>23.88</v>
      </c>
      <c r="N124" t="str" cm="1">
        <f t="array" ref="N124">_xlfn.IFS(I124="Rob","Robusta",I124="Exc","Excelsa",I124="Ara","Arabica",I124="Lib","Liberica")</f>
        <v>Arabica</v>
      </c>
      <c r="O124" t="str" cm="1">
        <f t="array" ref="O124">_xlfn.IFS(J124="M","Medium",J124="L","Large",J124="D","Dark")</f>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_xlfn.XLOOKUP(C125,customers!$A$1:$A$1001,customers!$B$1:$B$1001,,0)</f>
        <v>Doll Beauchamp</v>
      </c>
      <c r="G125" s="2" t="str">
        <f>IF(_xlfn.XLOOKUP(C125,customers!$A$1:$A$1001,customers!$C$1:$C$1001,,0)=0,"",_xlfn.XLOOKUP(C125,customers!$A$1:$A$1001,customers!$C$1:$C$1001,,0))</f>
        <v>dbeauchamp3f@usda.gov</v>
      </c>
      <c r="H125" s="2" t="str">
        <f>_xlfn.XLOOKUP(C125,customers!$A$1:$A$1001,customers!$G$1:$G$1001,,0)</f>
        <v>United States</v>
      </c>
      <c r="I125" t="str">
        <f>INDEX(products!$A$1:$G$49,MATCH(orders!$D125,products!$A$1:$A$49,0),MATCH(orders!I$1,products!$A$1:$G$1,0))</f>
        <v>Lib</v>
      </c>
      <c r="J125" t="str">
        <f>INDEX(products!$A$1:$G$49,MATCH(orders!$D125,products!$A$1:$A$49,0),MATCH(orders!J$1,products!$A$1:$G$1,0))</f>
        <v>L</v>
      </c>
      <c r="K125" s="7">
        <f>INDEX(products!$A$1:$G$49,MATCH(orders!$D125,products!$A$1:$A$49,0),MATCH(orders!K$1,products!$A$1:$G$1,0))</f>
        <v>2.5</v>
      </c>
      <c r="L125" s="4">
        <f>INDEX(products!$A$1:$G$49,MATCH(orders!$D125,products!$A$1:$A$49,0),MATCH(orders!L$1,products!$A$1:$G$1,0))</f>
        <v>36.454999999999998</v>
      </c>
      <c r="M125" s="4">
        <f t="shared" si="1"/>
        <v>145.82</v>
      </c>
      <c r="N125" t="str" cm="1">
        <f t="array" ref="N125">_xlfn.IFS(I125="Rob","Robusta",I125="Exc","Excelsa",I125="Ara","Arabica",I125="Lib","Liberica")</f>
        <v>Liberica</v>
      </c>
      <c r="O125" t="str" cm="1">
        <f t="array" ref="O125">_xlfn.IFS(J125="M","Medium",J125="L","Large",J125="D","Dark")</f>
        <v>Large</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_xlfn.XLOOKUP(C126,customers!$A$1:$A$1001,customers!$B$1:$B$1001,,0)</f>
        <v>Stanford Rodliff</v>
      </c>
      <c r="G126" s="2" t="str">
        <f>IF(_xlfn.XLOOKUP(C126,customers!$A$1:$A$1001,customers!$C$1:$C$1001,,0)=0,"",_xlfn.XLOOKUP(C126,customers!$A$1:$A$1001,customers!$C$1:$C$1001,,0))</f>
        <v>srodliff3g@ted.com</v>
      </c>
      <c r="H126" s="2" t="str">
        <f>_xlfn.XLOOKUP(C126,customers!$A$1:$A$1001,customers!$G$1:$G$1001,,0)</f>
        <v>United States</v>
      </c>
      <c r="I126" t="str">
        <f>INDEX(products!$A$1:$G$49,MATCH(orders!$D126,products!$A$1:$A$49,0),MATCH(orders!I$1,products!$A$1:$G$1,0))</f>
        <v>Lib</v>
      </c>
      <c r="J126" t="str">
        <f>INDEX(products!$A$1:$G$49,MATCH(orders!$D126,products!$A$1:$A$49,0),MATCH(orders!J$1,products!$A$1:$G$1,0))</f>
        <v>M</v>
      </c>
      <c r="K126" s="7">
        <f>INDEX(products!$A$1:$G$49,MATCH(orders!$D126,products!$A$1:$A$49,0),MATCH(orders!K$1,products!$A$1:$G$1,0))</f>
        <v>0.2</v>
      </c>
      <c r="L126" s="4">
        <f>INDEX(products!$A$1:$G$49,MATCH(orders!$D126,products!$A$1:$A$49,0),MATCH(orders!L$1,products!$A$1:$G$1,0))</f>
        <v>4.3650000000000002</v>
      </c>
      <c r="M126" s="4">
        <f t="shared" si="1"/>
        <v>21.825000000000003</v>
      </c>
      <c r="N126" t="str" cm="1">
        <f t="array" ref="N126">_xlfn.IFS(I126="Rob","Robusta",I126="Exc","Excelsa",I126="Ara","Arabica",I126="Lib","Liberica")</f>
        <v>Liberica</v>
      </c>
      <c r="O126" t="str" cm="1">
        <f t="array" ref="O126">_xlfn.IFS(J126="M","Medium",J126="L","Large",J126="D","Dark")</f>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_xlfn.XLOOKUP(C127,customers!$A$1:$A$1001,customers!$B$1:$B$1001,,0)</f>
        <v>Stevana Woodham</v>
      </c>
      <c r="G127" s="2" t="str">
        <f>IF(_xlfn.XLOOKUP(C127,customers!$A$1:$A$1001,customers!$C$1:$C$1001,,0)=0,"",_xlfn.XLOOKUP(C127,customers!$A$1:$A$1001,customers!$C$1:$C$1001,,0))</f>
        <v>swoodham3h@businesswire.com</v>
      </c>
      <c r="H127" s="2" t="str">
        <f>_xlfn.XLOOKUP(C127,customers!$A$1:$A$1001,customers!$G$1:$G$1001,,0)</f>
        <v>Ireland</v>
      </c>
      <c r="I127" t="str">
        <f>INDEX(products!$A$1:$G$49,MATCH(orders!$D127,products!$A$1:$A$49,0),MATCH(orders!I$1,products!$A$1:$G$1,0))</f>
        <v>Lib</v>
      </c>
      <c r="J127" t="str">
        <f>INDEX(products!$A$1:$G$49,MATCH(orders!$D127,products!$A$1:$A$49,0),MATCH(orders!J$1,products!$A$1:$G$1,0))</f>
        <v>M</v>
      </c>
      <c r="K127" s="7">
        <f>INDEX(products!$A$1:$G$49,MATCH(orders!$D127,products!$A$1:$A$49,0),MATCH(orders!K$1,products!$A$1:$G$1,0))</f>
        <v>0.5</v>
      </c>
      <c r="L127" s="4">
        <f>INDEX(products!$A$1:$G$49,MATCH(orders!$D127,products!$A$1:$A$49,0),MATCH(orders!L$1,products!$A$1:$G$1,0))</f>
        <v>8.73</v>
      </c>
      <c r="M127" s="4">
        <f t="shared" si="1"/>
        <v>26.19</v>
      </c>
      <c r="N127" t="str" cm="1">
        <f t="array" ref="N127">_xlfn.IFS(I127="Rob","Robusta",I127="Exc","Excelsa",I127="Ara","Arabica",I127="Lib","Liberica")</f>
        <v>Liberica</v>
      </c>
      <c r="O127" t="str" cm="1">
        <f t="array" ref="O127">_xlfn.IFS(J127="M","Medium",J127="L","Large",J127="D","Dark")</f>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_xlfn.XLOOKUP(C128,customers!$A$1:$A$1001,customers!$B$1:$B$1001,,0)</f>
        <v>Hewet Synnot</v>
      </c>
      <c r="G128" s="2" t="str">
        <f>IF(_xlfn.XLOOKUP(C128,customers!$A$1:$A$1001,customers!$C$1:$C$1001,,0)=0,"",_xlfn.XLOOKUP(C128,customers!$A$1:$A$1001,customers!$C$1:$C$1001,,0))</f>
        <v>hsynnot3i@about.com</v>
      </c>
      <c r="H128" s="2" t="str">
        <f>_xlfn.XLOOKUP(C128,customers!$A$1:$A$1001,customers!$G$1:$G$1001,,0)</f>
        <v>United States</v>
      </c>
      <c r="I128" t="str">
        <f>INDEX(products!$A$1:$G$49,MATCH(orders!$D128,products!$A$1:$A$49,0),MATCH(orders!I$1,products!$A$1:$G$1,0))</f>
        <v>Ara</v>
      </c>
      <c r="J128" t="str">
        <f>INDEX(products!$A$1:$G$49,MATCH(orders!$D128,products!$A$1:$A$49,0),MATCH(orders!J$1,products!$A$1:$G$1,0))</f>
        <v>M</v>
      </c>
      <c r="K128" s="7">
        <f>INDEX(products!$A$1:$G$49,MATCH(orders!$D128,products!$A$1:$A$49,0),MATCH(orders!K$1,products!$A$1:$G$1,0))</f>
        <v>1</v>
      </c>
      <c r="L128" s="4">
        <f>INDEX(products!$A$1:$G$49,MATCH(orders!$D128,products!$A$1:$A$49,0),MATCH(orders!L$1,products!$A$1:$G$1,0))</f>
        <v>11.25</v>
      </c>
      <c r="M128" s="4">
        <f t="shared" si="1"/>
        <v>11.25</v>
      </c>
      <c r="N128" t="str" cm="1">
        <f t="array" ref="N128">_xlfn.IFS(I128="Rob","Robusta",I128="Exc","Excelsa",I128="Ara","Arabica",I128="Lib","Liberica")</f>
        <v>Arabica</v>
      </c>
      <c r="O128" t="str" cm="1">
        <f t="array" ref="O128">_xlfn.IFS(J128="M","Medium",J128="L","Large",J128="D","Dark")</f>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_xlfn.XLOOKUP(C129,customers!$A$1:$A$1001,customers!$B$1:$B$1001,,0)</f>
        <v>Raleigh Lepere</v>
      </c>
      <c r="G129" s="2" t="str">
        <f>IF(_xlfn.XLOOKUP(C129,customers!$A$1:$A$1001,customers!$C$1:$C$1001,,0)=0,"",_xlfn.XLOOKUP(C129,customers!$A$1:$A$1001,customers!$C$1:$C$1001,,0))</f>
        <v>rlepere3j@shop-pro.jp</v>
      </c>
      <c r="H129" s="2" t="str">
        <f>_xlfn.XLOOKUP(C129,customers!$A$1:$A$1001,customers!$G$1:$G$1001,,0)</f>
        <v>Ireland</v>
      </c>
      <c r="I129" t="str">
        <f>INDEX(products!$A$1:$G$49,MATCH(orders!$D129,products!$A$1:$A$49,0),MATCH(orders!I$1,products!$A$1:$G$1,0))</f>
        <v>Lib</v>
      </c>
      <c r="J129" t="str">
        <f>INDEX(products!$A$1:$G$49,MATCH(orders!$D129,products!$A$1:$A$49,0),MATCH(orders!J$1,products!$A$1:$G$1,0))</f>
        <v>D</v>
      </c>
      <c r="K129" s="7">
        <f>INDEX(products!$A$1:$G$49,MATCH(orders!$D129,products!$A$1:$A$49,0),MATCH(orders!K$1,products!$A$1:$G$1,0))</f>
        <v>1</v>
      </c>
      <c r="L129" s="4">
        <f>INDEX(products!$A$1:$G$49,MATCH(orders!$D129,products!$A$1:$A$49,0),MATCH(orders!L$1,products!$A$1:$G$1,0))</f>
        <v>12.95</v>
      </c>
      <c r="M129" s="4">
        <f t="shared" si="1"/>
        <v>77.699999999999989</v>
      </c>
      <c r="N129" t="str" cm="1">
        <f t="array" ref="N129">_xlfn.IFS(I129="Rob","Robusta",I129="Exc","Excelsa",I129="Ara","Arabica",I129="Lib","Liberica")</f>
        <v>Liberica</v>
      </c>
      <c r="O129" t="str" cm="1">
        <f t="array" ref="O129">_xlfn.IFS(J129="M","Medium",J129="L","Large",J129="D","Dark")</f>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_xlfn.XLOOKUP(C130,customers!$A$1:$A$1001,customers!$B$1:$B$1001,,0)</f>
        <v>Timofei Woofinden</v>
      </c>
      <c r="G130" s="2" t="str">
        <f>IF(_xlfn.XLOOKUP(C130,customers!$A$1:$A$1001,customers!$C$1:$C$1001,,0)=0,"",_xlfn.XLOOKUP(C130,customers!$A$1:$A$1001,customers!$C$1:$C$1001,,0))</f>
        <v>twoofinden3k@businesswire.com</v>
      </c>
      <c r="H130" s="2" t="str">
        <f>_xlfn.XLOOKUP(C130,customers!$A$1:$A$1001,customers!$G$1:$G$1001,,0)</f>
        <v>United States</v>
      </c>
      <c r="I130" t="str">
        <f>INDEX(products!$A$1:$G$49,MATCH(orders!$D130,products!$A$1:$A$49,0),MATCH(orders!I$1,products!$A$1:$G$1,0))</f>
        <v>Ara</v>
      </c>
      <c r="J130" t="str">
        <f>INDEX(products!$A$1:$G$49,MATCH(orders!$D130,products!$A$1:$A$49,0),MATCH(orders!J$1,products!$A$1:$G$1,0))</f>
        <v>M</v>
      </c>
      <c r="K130" s="7">
        <f>INDEX(products!$A$1:$G$49,MATCH(orders!$D130,products!$A$1:$A$49,0),MATCH(orders!K$1,products!$A$1:$G$1,0))</f>
        <v>0.5</v>
      </c>
      <c r="L130" s="4">
        <f>INDEX(products!$A$1:$G$49,MATCH(orders!$D130,products!$A$1:$A$49,0),MATCH(orders!L$1,products!$A$1:$G$1,0))</f>
        <v>6.75</v>
      </c>
      <c r="M130" s="4">
        <f t="shared" si="1"/>
        <v>6.75</v>
      </c>
      <c r="N130" t="str" cm="1">
        <f t="array" ref="N130">_xlfn.IFS(I130="Rob","Robusta",I130="Exc","Excelsa",I130="Ara","Arabica",I130="Lib","Liberica")</f>
        <v>Arabica</v>
      </c>
      <c r="O130" t="str" cm="1">
        <f t="array" ref="O130">_xlfn.IFS(J130="M","Medium",J130="L","Large",J130="D","Dark")</f>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_xlfn.XLOOKUP(C131,customers!$A$1:$A$1001,customers!$B$1:$B$1001,,0)</f>
        <v>Evelina Dacca</v>
      </c>
      <c r="G131" s="2" t="str">
        <f>IF(_xlfn.XLOOKUP(C131,customers!$A$1:$A$1001,customers!$C$1:$C$1001,,0)=0,"",_xlfn.XLOOKUP(C131,customers!$A$1:$A$1001,customers!$C$1:$C$1001,,0))</f>
        <v>edacca3l@google.pl</v>
      </c>
      <c r="H131" s="2" t="str">
        <f>_xlfn.XLOOKUP(C131,customers!$A$1:$A$1001,customers!$G$1:$G$1001,,0)</f>
        <v>United States</v>
      </c>
      <c r="I131" t="str">
        <f>INDEX(products!$A$1:$G$49,MATCH(orders!$D131,products!$A$1:$A$49,0),MATCH(orders!I$1,products!$A$1:$G$1,0))</f>
        <v>Exc</v>
      </c>
      <c r="J131" t="str">
        <f>INDEX(products!$A$1:$G$49,MATCH(orders!$D131,products!$A$1:$A$49,0),MATCH(orders!J$1,products!$A$1:$G$1,0))</f>
        <v>D</v>
      </c>
      <c r="K131" s="7">
        <f>INDEX(products!$A$1:$G$49,MATCH(orders!$D131,products!$A$1:$A$49,0),MATCH(orders!K$1,products!$A$1:$G$1,0))</f>
        <v>1</v>
      </c>
      <c r="L131" s="4">
        <f>INDEX(products!$A$1:$G$49,MATCH(orders!$D131,products!$A$1:$A$49,0),MATCH(orders!L$1,products!$A$1:$G$1,0))</f>
        <v>12.15</v>
      </c>
      <c r="M131" s="4">
        <f t="shared" ref="M131:M194" si="2">L131*E131</f>
        <v>12.15</v>
      </c>
      <c r="N131" t="str" cm="1">
        <f t="array" ref="N131">_xlfn.IFS(I131="Rob","Robusta",I131="Exc","Excelsa",I131="Ara","Arabica",I131="Lib","Liberica")</f>
        <v>Excelsa</v>
      </c>
      <c r="O131" t="str" cm="1">
        <f t="array" ref="O131">_xlfn.IFS(J131="M","Medium",J131="L","Large",J131="D","Dark")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_xlfn.XLOOKUP(C132,customers!$A$1:$A$1001,customers!$B$1:$B$1001,,0)</f>
        <v>Bidget Tremellier</v>
      </c>
      <c r="G132" s="2" t="str">
        <f>IF(_xlfn.XLOOKUP(C132,customers!$A$1:$A$1001,customers!$C$1:$C$1001,,0)=0,"",_xlfn.XLOOKUP(C132,customers!$A$1:$A$1001,customers!$C$1:$C$1001,,0))</f>
        <v/>
      </c>
      <c r="H132" s="2" t="str">
        <f>_xlfn.XLOOKUP(C132,customers!$A$1:$A$1001,customers!$G$1:$G$1001,,0)</f>
        <v>Ireland</v>
      </c>
      <c r="I132" t="str">
        <f>INDEX(products!$A$1:$G$49,MATCH(orders!$D132,products!$A$1:$A$49,0),MATCH(orders!I$1,products!$A$1:$G$1,0))</f>
        <v>Ara</v>
      </c>
      <c r="J132" t="str">
        <f>INDEX(products!$A$1:$G$49,MATCH(orders!$D132,products!$A$1:$A$49,0),MATCH(orders!J$1,products!$A$1:$G$1,0))</f>
        <v>L</v>
      </c>
      <c r="K132" s="7">
        <f>INDEX(products!$A$1:$G$49,MATCH(orders!$D132,products!$A$1:$A$49,0),MATCH(orders!K$1,products!$A$1:$G$1,0))</f>
        <v>2.5</v>
      </c>
      <c r="L132" s="4">
        <f>INDEX(products!$A$1:$G$49,MATCH(orders!$D132,products!$A$1:$A$49,0),MATCH(orders!L$1,products!$A$1:$G$1,0))</f>
        <v>29.784999999999997</v>
      </c>
      <c r="M132" s="4">
        <f t="shared" si="2"/>
        <v>148.92499999999998</v>
      </c>
      <c r="N132" t="str" cm="1">
        <f t="array" ref="N132">_xlfn.IFS(I132="Rob","Robusta",I132="Exc","Excelsa",I132="Ara","Arabica",I132="Lib","Liberica")</f>
        <v>Arabica</v>
      </c>
      <c r="O132" t="str" cm="1">
        <f t="array" ref="O132">_xlfn.IFS(J132="M","Medium",J132="L","Large",J132="D","Dark")</f>
        <v>Large</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_xlfn.XLOOKUP(C133,customers!$A$1:$A$1001,customers!$B$1:$B$1001,,0)</f>
        <v>Bobinette Hindsberg</v>
      </c>
      <c r="G133" s="2" t="str">
        <f>IF(_xlfn.XLOOKUP(C133,customers!$A$1:$A$1001,customers!$C$1:$C$1001,,0)=0,"",_xlfn.XLOOKUP(C133,customers!$A$1:$A$1001,customers!$C$1:$C$1001,,0))</f>
        <v>bhindsberg3n@blogs.com</v>
      </c>
      <c r="H133" s="2" t="str">
        <f>_xlfn.XLOOKUP(C133,customers!$A$1:$A$1001,customers!$G$1:$G$1001,,0)</f>
        <v>United States</v>
      </c>
      <c r="I133" t="str">
        <f>INDEX(products!$A$1:$G$49,MATCH(orders!$D133,products!$A$1:$A$49,0),MATCH(orders!I$1,products!$A$1:$G$1,0))</f>
        <v>Exc</v>
      </c>
      <c r="J133" t="str">
        <f>INDEX(products!$A$1:$G$49,MATCH(orders!$D133,products!$A$1:$A$49,0),MATCH(orders!J$1,products!$A$1:$G$1,0))</f>
        <v>D</v>
      </c>
      <c r="K133" s="7">
        <f>INDEX(products!$A$1:$G$49,MATCH(orders!$D133,products!$A$1:$A$49,0),MATCH(orders!K$1,products!$A$1:$G$1,0))</f>
        <v>0.5</v>
      </c>
      <c r="L133" s="4">
        <f>INDEX(products!$A$1:$G$49,MATCH(orders!$D133,products!$A$1:$A$49,0),MATCH(orders!L$1,products!$A$1:$G$1,0))</f>
        <v>7.29</v>
      </c>
      <c r="M133" s="4">
        <f t="shared" si="2"/>
        <v>14.58</v>
      </c>
      <c r="N133" t="str" cm="1">
        <f t="array" ref="N133">_xlfn.IFS(I133="Rob","Robusta",I133="Exc","Excelsa",I133="Ara","Arabica",I133="Lib","Liberica")</f>
        <v>Excelsa</v>
      </c>
      <c r="O133" t="str" cm="1">
        <f t="array" ref="O133">_xlfn.IFS(J133="M","Medium",J133="L","Large",J133="D","Dark")</f>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_xlfn.XLOOKUP(C134,customers!$A$1:$A$1001,customers!$B$1:$B$1001,,0)</f>
        <v>Osbert Robins</v>
      </c>
      <c r="G134" s="2" t="str">
        <f>IF(_xlfn.XLOOKUP(C134,customers!$A$1:$A$1001,customers!$C$1:$C$1001,,0)=0,"",_xlfn.XLOOKUP(C134,customers!$A$1:$A$1001,customers!$C$1:$C$1001,,0))</f>
        <v>orobins3o@salon.com</v>
      </c>
      <c r="H134" s="2" t="str">
        <f>_xlfn.XLOOKUP(C134,customers!$A$1:$A$1001,customers!$G$1:$G$1001,,0)</f>
        <v>United States</v>
      </c>
      <c r="I134" t="str">
        <f>INDEX(products!$A$1:$G$49,MATCH(orders!$D134,products!$A$1:$A$49,0),MATCH(orders!I$1,products!$A$1:$G$1,0))</f>
        <v>Ara</v>
      </c>
      <c r="J134" t="str">
        <f>INDEX(products!$A$1:$G$49,MATCH(orders!$D134,products!$A$1:$A$49,0),MATCH(orders!J$1,products!$A$1:$G$1,0))</f>
        <v>L</v>
      </c>
      <c r="K134" s="7">
        <f>INDEX(products!$A$1:$G$49,MATCH(orders!$D134,products!$A$1:$A$49,0),MATCH(orders!K$1,products!$A$1:$G$1,0))</f>
        <v>2.5</v>
      </c>
      <c r="L134" s="4">
        <f>INDEX(products!$A$1:$G$49,MATCH(orders!$D134,products!$A$1:$A$49,0),MATCH(orders!L$1,products!$A$1:$G$1,0))</f>
        <v>29.784999999999997</v>
      </c>
      <c r="M134" s="4">
        <f t="shared" si="2"/>
        <v>148.92499999999998</v>
      </c>
      <c r="N134" t="str" cm="1">
        <f t="array" ref="N134">_xlfn.IFS(I134="Rob","Robusta",I134="Exc","Excelsa",I134="Ara","Arabica",I134="Lib","Liberica")</f>
        <v>Arabica</v>
      </c>
      <c r="O134" t="str" cm="1">
        <f t="array" ref="O134">_xlfn.IFS(J134="M","Medium",J134="L","Large",J134="D","Dark")</f>
        <v>Large</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_xlfn.XLOOKUP(C135,customers!$A$1:$A$1001,customers!$B$1:$B$1001,,0)</f>
        <v>Othello Syseland</v>
      </c>
      <c r="G135" s="2" t="str">
        <f>IF(_xlfn.XLOOKUP(C135,customers!$A$1:$A$1001,customers!$C$1:$C$1001,,0)=0,"",_xlfn.XLOOKUP(C135,customers!$A$1:$A$1001,customers!$C$1:$C$1001,,0))</f>
        <v>osyseland3p@independent.co.uk</v>
      </c>
      <c r="H135" s="2" t="str">
        <f>_xlfn.XLOOKUP(C135,customers!$A$1:$A$1001,customers!$G$1:$G$1001,,0)</f>
        <v>United States</v>
      </c>
      <c r="I135" t="str">
        <f>INDEX(products!$A$1:$G$49,MATCH(orders!$D135,products!$A$1:$A$49,0),MATCH(orders!I$1,products!$A$1:$G$1,0))</f>
        <v>Lib</v>
      </c>
      <c r="J135" t="str">
        <f>INDEX(products!$A$1:$G$49,MATCH(orders!$D135,products!$A$1:$A$49,0),MATCH(orders!J$1,products!$A$1:$G$1,0))</f>
        <v>D</v>
      </c>
      <c r="K135" s="7">
        <f>INDEX(products!$A$1:$G$49,MATCH(orders!$D135,products!$A$1:$A$49,0),MATCH(orders!K$1,products!$A$1:$G$1,0))</f>
        <v>1</v>
      </c>
      <c r="L135" s="4">
        <f>INDEX(products!$A$1:$G$49,MATCH(orders!$D135,products!$A$1:$A$49,0),MATCH(orders!L$1,products!$A$1:$G$1,0))</f>
        <v>12.95</v>
      </c>
      <c r="M135" s="4">
        <f t="shared" si="2"/>
        <v>12.95</v>
      </c>
      <c r="N135" t="str" cm="1">
        <f t="array" ref="N135">_xlfn.IFS(I135="Rob","Robusta",I135="Exc","Excelsa",I135="Ara","Arabica",I135="Lib","Liberica")</f>
        <v>Liberica</v>
      </c>
      <c r="O135" t="str" cm="1">
        <f t="array" ref="O135">_xlfn.IFS(J135="M","Medium",J135="L","Large",J135="D","Dark")</f>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_xlfn.XLOOKUP(C136,customers!$A$1:$A$1001,customers!$B$1:$B$1001,,0)</f>
        <v>Ewell Hanby</v>
      </c>
      <c r="G136" s="2" t="str">
        <f>IF(_xlfn.XLOOKUP(C136,customers!$A$1:$A$1001,customers!$C$1:$C$1001,,0)=0,"",_xlfn.XLOOKUP(C136,customers!$A$1:$A$1001,customers!$C$1:$C$1001,,0))</f>
        <v/>
      </c>
      <c r="H136" s="2" t="str">
        <f>_xlfn.XLOOKUP(C136,customers!$A$1:$A$1001,customers!$G$1:$G$1001,,0)</f>
        <v>United States</v>
      </c>
      <c r="I136" t="str">
        <f>INDEX(products!$A$1:$G$49,MATCH(orders!$D136,products!$A$1:$A$49,0),MATCH(orders!I$1,products!$A$1:$G$1,0))</f>
        <v>Exc</v>
      </c>
      <c r="J136" t="str">
        <f>INDEX(products!$A$1:$G$49,MATCH(orders!$D136,products!$A$1:$A$49,0),MATCH(orders!J$1,products!$A$1:$G$1,0))</f>
        <v>M</v>
      </c>
      <c r="K136" s="7">
        <f>INDEX(products!$A$1:$G$49,MATCH(orders!$D136,products!$A$1:$A$49,0),MATCH(orders!K$1,products!$A$1:$G$1,0))</f>
        <v>2.5</v>
      </c>
      <c r="L136" s="4">
        <f>INDEX(products!$A$1:$G$49,MATCH(orders!$D136,products!$A$1:$A$49,0),MATCH(orders!L$1,products!$A$1:$G$1,0))</f>
        <v>31.624999999999996</v>
      </c>
      <c r="M136" s="4">
        <f t="shared" si="2"/>
        <v>94.874999999999986</v>
      </c>
      <c r="N136" t="str" cm="1">
        <f t="array" ref="N136">_xlfn.IFS(I136="Rob","Robusta",I136="Exc","Excelsa",I136="Ara","Arabica",I136="Lib","Liberica")</f>
        <v>Excelsa</v>
      </c>
      <c r="O136" t="str" cm="1">
        <f t="array" ref="O136">_xlfn.IFS(J136="M","Medium",J136="L","Large",J136="D","Dark")</f>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_xlfn.XLOOKUP(C137,customers!$A$1:$A$1001,customers!$B$1:$B$1001,,0)</f>
        <v>Blancha McAmish</v>
      </c>
      <c r="G137" s="2" t="str">
        <f>IF(_xlfn.XLOOKUP(C137,customers!$A$1:$A$1001,customers!$C$1:$C$1001,,0)=0,"",_xlfn.XLOOKUP(C137,customers!$A$1:$A$1001,customers!$C$1:$C$1001,,0))</f>
        <v>bmcamish2e@tripadvisor.com</v>
      </c>
      <c r="H137" s="2" t="str">
        <f>_xlfn.XLOOKUP(C137,customers!$A$1:$A$1001,customers!$G$1:$G$1001,,0)</f>
        <v>United States</v>
      </c>
      <c r="I137" t="str">
        <f>INDEX(products!$A$1:$G$49,MATCH(orders!$D137,products!$A$1:$A$49,0),MATCH(orders!I$1,products!$A$1:$G$1,0))</f>
        <v>Ara</v>
      </c>
      <c r="J137" t="str">
        <f>INDEX(products!$A$1:$G$49,MATCH(orders!$D137,products!$A$1:$A$49,0),MATCH(orders!J$1,products!$A$1:$G$1,0))</f>
        <v>L</v>
      </c>
      <c r="K137" s="7">
        <f>INDEX(products!$A$1:$G$49,MATCH(orders!$D137,products!$A$1:$A$49,0),MATCH(orders!K$1,products!$A$1:$G$1,0))</f>
        <v>0.5</v>
      </c>
      <c r="L137" s="4">
        <f>INDEX(products!$A$1:$G$49,MATCH(orders!$D137,products!$A$1:$A$49,0),MATCH(orders!L$1,products!$A$1:$G$1,0))</f>
        <v>7.77</v>
      </c>
      <c r="M137" s="4">
        <f t="shared" si="2"/>
        <v>38.849999999999994</v>
      </c>
      <c r="N137" t="str" cm="1">
        <f t="array" ref="N137">_xlfn.IFS(I137="Rob","Robusta",I137="Exc","Excelsa",I137="Ara","Arabica",I137="Lib","Liberica")</f>
        <v>Arabica</v>
      </c>
      <c r="O137" t="str" cm="1">
        <f t="array" ref="O137">_xlfn.IFS(J137="M","Medium",J137="L","Large",J137="D","Dark")</f>
        <v>Large</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_xlfn.XLOOKUP(C138,customers!$A$1:$A$1001,customers!$B$1:$B$1001,,0)</f>
        <v>Lowell Keenleyside</v>
      </c>
      <c r="G138" s="2" t="str">
        <f>IF(_xlfn.XLOOKUP(C138,customers!$A$1:$A$1001,customers!$C$1:$C$1001,,0)=0,"",_xlfn.XLOOKUP(C138,customers!$A$1:$A$1001,customers!$C$1:$C$1001,,0))</f>
        <v>lkeenleyside3s@topsy.com</v>
      </c>
      <c r="H138" s="2" t="str">
        <f>_xlfn.XLOOKUP(C138,customers!$A$1:$A$1001,customers!$G$1:$G$1001,,0)</f>
        <v>United States</v>
      </c>
      <c r="I138" t="str">
        <f>INDEX(products!$A$1:$G$49,MATCH(orders!$D138,products!$A$1:$A$49,0),MATCH(orders!I$1,products!$A$1:$G$1,0))</f>
        <v>Ara</v>
      </c>
      <c r="J138" t="str">
        <f>INDEX(products!$A$1:$G$49,MATCH(orders!$D138,products!$A$1:$A$49,0),MATCH(orders!J$1,products!$A$1:$G$1,0))</f>
        <v>D</v>
      </c>
      <c r="K138" s="7">
        <f>INDEX(products!$A$1:$G$49,MATCH(orders!$D138,products!$A$1:$A$49,0),MATCH(orders!K$1,products!$A$1:$G$1,0))</f>
        <v>0.2</v>
      </c>
      <c r="L138" s="4">
        <f>INDEX(products!$A$1:$G$49,MATCH(orders!$D138,products!$A$1:$A$49,0),MATCH(orders!L$1,products!$A$1:$G$1,0))</f>
        <v>2.9849999999999999</v>
      </c>
      <c r="M138" s="4">
        <f t="shared" si="2"/>
        <v>11.94</v>
      </c>
      <c r="N138" t="str" cm="1">
        <f t="array" ref="N138">_xlfn.IFS(I138="Rob","Robusta",I138="Exc","Excelsa",I138="Ara","Arabica",I138="Lib","Liberica")</f>
        <v>Arabica</v>
      </c>
      <c r="O138" t="str" cm="1">
        <f t="array" ref="O138">_xlfn.IFS(J138="M","Medium",J138="L","Large",J138="D","Dark")</f>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_xlfn.XLOOKUP(C139,customers!$A$1:$A$1001,customers!$B$1:$B$1001,,0)</f>
        <v>Elonore Joliffe</v>
      </c>
      <c r="G139" s="2" t="str">
        <f>IF(_xlfn.XLOOKUP(C139,customers!$A$1:$A$1001,customers!$C$1:$C$1001,,0)=0,"",_xlfn.XLOOKUP(C139,customers!$A$1:$A$1001,customers!$C$1:$C$1001,,0))</f>
        <v/>
      </c>
      <c r="H139" s="2" t="str">
        <f>_xlfn.XLOOKUP(C139,customers!$A$1:$A$1001,customers!$G$1:$G$1001,,0)</f>
        <v>Ireland</v>
      </c>
      <c r="I139" t="str">
        <f>INDEX(products!$A$1:$G$49,MATCH(orders!$D139,products!$A$1:$A$49,0),MATCH(orders!I$1,products!$A$1:$G$1,0))</f>
        <v>Exc</v>
      </c>
      <c r="J139" t="str">
        <f>INDEX(products!$A$1:$G$49,MATCH(orders!$D139,products!$A$1:$A$49,0),MATCH(orders!J$1,products!$A$1:$G$1,0))</f>
        <v>L</v>
      </c>
      <c r="K139" s="7">
        <f>INDEX(products!$A$1:$G$49,MATCH(orders!$D139,products!$A$1:$A$49,0),MATCH(orders!K$1,products!$A$1:$G$1,0))</f>
        <v>2.5</v>
      </c>
      <c r="L139" s="4">
        <f>INDEX(products!$A$1:$G$49,MATCH(orders!$D139,products!$A$1:$A$49,0),MATCH(orders!L$1,products!$A$1:$G$1,0))</f>
        <v>34.154999999999994</v>
      </c>
      <c r="M139" s="4">
        <f t="shared" si="2"/>
        <v>102.46499999999997</v>
      </c>
      <c r="N139" t="str" cm="1">
        <f t="array" ref="N139">_xlfn.IFS(I139="Rob","Robusta",I139="Exc","Excelsa",I139="Ara","Arabica",I139="Lib","Liberica")</f>
        <v>Excelsa</v>
      </c>
      <c r="O139" t="str" cm="1">
        <f t="array" ref="O139">_xlfn.IFS(J139="M","Medium",J139="L","Large",J139="D","Dark")</f>
        <v>Large</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_xlfn.XLOOKUP(C140,customers!$A$1:$A$1001,customers!$B$1:$B$1001,,0)</f>
        <v>Abraham Coleman</v>
      </c>
      <c r="G140" s="2" t="str">
        <f>IF(_xlfn.XLOOKUP(C140,customers!$A$1:$A$1001,customers!$C$1:$C$1001,,0)=0,"",_xlfn.XLOOKUP(C140,customers!$A$1:$A$1001,customers!$C$1:$C$1001,,0))</f>
        <v/>
      </c>
      <c r="H140" s="2" t="str">
        <f>_xlfn.XLOOKUP(C140,customers!$A$1:$A$1001,customers!$G$1:$G$1001,,0)</f>
        <v>United States</v>
      </c>
      <c r="I140" t="str">
        <f>INDEX(products!$A$1:$G$49,MATCH(orders!$D140,products!$A$1:$A$49,0),MATCH(orders!I$1,products!$A$1:$G$1,0))</f>
        <v>Exc</v>
      </c>
      <c r="J140" t="str">
        <f>INDEX(products!$A$1:$G$49,MATCH(orders!$D140,products!$A$1:$A$49,0),MATCH(orders!J$1,products!$A$1:$G$1,0))</f>
        <v>D</v>
      </c>
      <c r="K140" s="7">
        <f>INDEX(products!$A$1:$G$49,MATCH(orders!$D140,products!$A$1:$A$49,0),MATCH(orders!K$1,products!$A$1:$G$1,0))</f>
        <v>1</v>
      </c>
      <c r="L140" s="4">
        <f>INDEX(products!$A$1:$G$49,MATCH(orders!$D140,products!$A$1:$A$49,0),MATCH(orders!L$1,products!$A$1:$G$1,0))</f>
        <v>12.15</v>
      </c>
      <c r="M140" s="4">
        <f t="shared" si="2"/>
        <v>48.6</v>
      </c>
      <c r="N140" t="str" cm="1">
        <f t="array" ref="N140">_xlfn.IFS(I140="Rob","Robusta",I140="Exc","Excelsa",I140="Ara","Arabica",I140="Lib","Liberica")</f>
        <v>Excelsa</v>
      </c>
      <c r="O140" t="str" cm="1">
        <f t="array" ref="O140">_xlfn.IFS(J140="M","Medium",J140="L","Large",J140="D","Dark")</f>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_xlfn.XLOOKUP(C141,customers!$A$1:$A$1001,customers!$B$1:$B$1001,,0)</f>
        <v>Rivy Farington</v>
      </c>
      <c r="G141" s="2" t="str">
        <f>IF(_xlfn.XLOOKUP(C141,customers!$A$1:$A$1001,customers!$C$1:$C$1001,,0)=0,"",_xlfn.XLOOKUP(C141,customers!$A$1:$A$1001,customers!$C$1:$C$1001,,0))</f>
        <v/>
      </c>
      <c r="H141" s="2" t="str">
        <f>_xlfn.XLOOKUP(C141,customers!$A$1:$A$1001,customers!$G$1:$G$1001,,0)</f>
        <v>United States</v>
      </c>
      <c r="I141" t="str">
        <f>INDEX(products!$A$1:$G$49,MATCH(orders!$D141,products!$A$1:$A$49,0),MATCH(orders!I$1,products!$A$1:$G$1,0))</f>
        <v>Lib</v>
      </c>
      <c r="J141" t="str">
        <f>INDEX(products!$A$1:$G$49,MATCH(orders!$D141,products!$A$1:$A$49,0),MATCH(orders!J$1,products!$A$1:$G$1,0))</f>
        <v>D</v>
      </c>
      <c r="K141" s="7">
        <f>INDEX(products!$A$1:$G$49,MATCH(orders!$D141,products!$A$1:$A$49,0),MATCH(orders!K$1,products!$A$1:$G$1,0))</f>
        <v>1</v>
      </c>
      <c r="L141" s="4">
        <f>INDEX(products!$A$1:$G$49,MATCH(orders!$D141,products!$A$1:$A$49,0),MATCH(orders!L$1,products!$A$1:$G$1,0))</f>
        <v>12.95</v>
      </c>
      <c r="M141" s="4">
        <f t="shared" si="2"/>
        <v>77.699999999999989</v>
      </c>
      <c r="N141" t="str" cm="1">
        <f t="array" ref="N141">_xlfn.IFS(I141="Rob","Robusta",I141="Exc","Excelsa",I141="Ara","Arabica",I141="Lib","Liberica")</f>
        <v>Liberica</v>
      </c>
      <c r="O141" t="str" cm="1">
        <f t="array" ref="O141">_xlfn.IFS(J141="M","Medium",J141="L","Large",J141="D","Dark")</f>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_xlfn.XLOOKUP(C142,customers!$A$1:$A$1001,customers!$B$1:$B$1001,,0)</f>
        <v>Vallie Kundt</v>
      </c>
      <c r="G142" s="2" t="str">
        <f>IF(_xlfn.XLOOKUP(C142,customers!$A$1:$A$1001,customers!$C$1:$C$1001,,0)=0,"",_xlfn.XLOOKUP(C142,customers!$A$1:$A$1001,customers!$C$1:$C$1001,,0))</f>
        <v>vkundt3w@bigcartel.com</v>
      </c>
      <c r="H142" s="2" t="str">
        <f>_xlfn.XLOOKUP(C142,customers!$A$1:$A$1001,customers!$G$1:$G$1001,,0)</f>
        <v>Ireland</v>
      </c>
      <c r="I142" t="str">
        <f>INDEX(products!$A$1:$G$49,MATCH(orders!$D142,products!$A$1:$A$49,0),MATCH(orders!I$1,products!$A$1:$G$1,0))</f>
        <v>Lib</v>
      </c>
      <c r="J142" t="str">
        <f>INDEX(products!$A$1:$G$49,MATCH(orders!$D142,products!$A$1:$A$49,0),MATCH(orders!J$1,products!$A$1:$G$1,0))</f>
        <v>D</v>
      </c>
      <c r="K142" s="7">
        <f>INDEX(products!$A$1:$G$49,MATCH(orders!$D142,products!$A$1:$A$49,0),MATCH(orders!K$1,products!$A$1:$G$1,0))</f>
        <v>2.5</v>
      </c>
      <c r="L142" s="4">
        <f>INDEX(products!$A$1:$G$49,MATCH(orders!$D142,products!$A$1:$A$49,0),MATCH(orders!L$1,products!$A$1:$G$1,0))</f>
        <v>29.784999999999997</v>
      </c>
      <c r="M142" s="4">
        <f t="shared" si="2"/>
        <v>29.784999999999997</v>
      </c>
      <c r="N142" t="str" cm="1">
        <f t="array" ref="N142">_xlfn.IFS(I142="Rob","Robusta",I142="Exc","Excelsa",I142="Ara","Arabica",I142="Lib","Liberica")</f>
        <v>Liberica</v>
      </c>
      <c r="O142" t="str" cm="1">
        <f t="array" ref="O142">_xlfn.IFS(J142="M","Medium",J142="L","Large",J142="D","Dark")</f>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_xlfn.XLOOKUP(C143,customers!$A$1:$A$1001,customers!$B$1:$B$1001,,0)</f>
        <v>Boyd Bett</v>
      </c>
      <c r="G143" s="2" t="str">
        <f>IF(_xlfn.XLOOKUP(C143,customers!$A$1:$A$1001,customers!$C$1:$C$1001,,0)=0,"",_xlfn.XLOOKUP(C143,customers!$A$1:$A$1001,customers!$C$1:$C$1001,,0))</f>
        <v>bbett3x@google.de</v>
      </c>
      <c r="H143" s="2" t="str">
        <f>_xlfn.XLOOKUP(C143,customers!$A$1:$A$1001,customers!$G$1:$G$1001,,0)</f>
        <v>United States</v>
      </c>
      <c r="I143" t="str">
        <f>INDEX(products!$A$1:$G$49,MATCH(orders!$D143,products!$A$1:$A$49,0),MATCH(orders!I$1,products!$A$1:$G$1,0))</f>
        <v>Ara</v>
      </c>
      <c r="J143" t="str">
        <f>INDEX(products!$A$1:$G$49,MATCH(orders!$D143,products!$A$1:$A$49,0),MATCH(orders!J$1,products!$A$1:$G$1,0))</f>
        <v>L</v>
      </c>
      <c r="K143" s="7">
        <f>INDEX(products!$A$1:$G$49,MATCH(orders!$D143,products!$A$1:$A$49,0),MATCH(orders!K$1,products!$A$1:$G$1,0))</f>
        <v>0.2</v>
      </c>
      <c r="L143" s="4">
        <f>INDEX(products!$A$1:$G$49,MATCH(orders!$D143,products!$A$1:$A$49,0),MATCH(orders!L$1,products!$A$1:$G$1,0))</f>
        <v>3.8849999999999998</v>
      </c>
      <c r="M143" s="4">
        <f t="shared" si="2"/>
        <v>15.54</v>
      </c>
      <c r="N143" t="str" cm="1">
        <f t="array" ref="N143">_xlfn.IFS(I143="Rob","Robusta",I143="Exc","Excelsa",I143="Ara","Arabica",I143="Lib","Liberica")</f>
        <v>Arabica</v>
      </c>
      <c r="O143" t="str" cm="1">
        <f t="array" ref="O143">_xlfn.IFS(J143="M","Medium",J143="L","Large",J143="D","Dark")</f>
        <v>Large</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_xlfn.XLOOKUP(C144,customers!$A$1:$A$1001,customers!$B$1:$B$1001,,0)</f>
        <v>Julio Armytage</v>
      </c>
      <c r="G144" s="2" t="str">
        <f>IF(_xlfn.XLOOKUP(C144,customers!$A$1:$A$1001,customers!$C$1:$C$1001,,0)=0,"",_xlfn.XLOOKUP(C144,customers!$A$1:$A$1001,customers!$C$1:$C$1001,,0))</f>
        <v/>
      </c>
      <c r="H144" s="2" t="str">
        <f>_xlfn.XLOOKUP(C144,customers!$A$1:$A$1001,customers!$G$1:$G$1001,,0)</f>
        <v>Ireland</v>
      </c>
      <c r="I144" t="str">
        <f>INDEX(products!$A$1:$G$49,MATCH(orders!$D144,products!$A$1:$A$49,0),MATCH(orders!I$1,products!$A$1:$G$1,0))</f>
        <v>Exc</v>
      </c>
      <c r="J144" t="str">
        <f>INDEX(products!$A$1:$G$49,MATCH(orders!$D144,products!$A$1:$A$49,0),MATCH(orders!J$1,products!$A$1:$G$1,0))</f>
        <v>L</v>
      </c>
      <c r="K144" s="7">
        <f>INDEX(products!$A$1:$G$49,MATCH(orders!$D144,products!$A$1:$A$49,0),MATCH(orders!K$1,products!$A$1:$G$1,0))</f>
        <v>2.5</v>
      </c>
      <c r="L144" s="4">
        <f>INDEX(products!$A$1:$G$49,MATCH(orders!$D144,products!$A$1:$A$49,0),MATCH(orders!L$1,products!$A$1:$G$1,0))</f>
        <v>34.154999999999994</v>
      </c>
      <c r="M144" s="4">
        <f t="shared" si="2"/>
        <v>136.61999999999998</v>
      </c>
      <c r="N144" t="str" cm="1">
        <f t="array" ref="N144">_xlfn.IFS(I144="Rob","Robusta",I144="Exc","Excelsa",I144="Ara","Arabica",I144="Lib","Liberica")</f>
        <v>Excelsa</v>
      </c>
      <c r="O144" t="str" cm="1">
        <f t="array" ref="O144">_xlfn.IFS(J144="M","Medium",J144="L","Large",J144="D","Dark")</f>
        <v>Large</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_xlfn.XLOOKUP(C145,customers!$A$1:$A$1001,customers!$B$1:$B$1001,,0)</f>
        <v>Deana Staite</v>
      </c>
      <c r="G145" s="2" t="str">
        <f>IF(_xlfn.XLOOKUP(C145,customers!$A$1:$A$1001,customers!$C$1:$C$1001,,0)=0,"",_xlfn.XLOOKUP(C145,customers!$A$1:$A$1001,customers!$C$1:$C$1001,,0))</f>
        <v>dstaite3z@scientificamerican.com</v>
      </c>
      <c r="H145" s="2" t="str">
        <f>_xlfn.XLOOKUP(C145,customers!$A$1:$A$1001,customers!$G$1:$G$1001,,0)</f>
        <v>United States</v>
      </c>
      <c r="I145" t="str">
        <f>INDEX(products!$A$1:$G$49,MATCH(orders!$D145,products!$A$1:$A$49,0),MATCH(orders!I$1,products!$A$1:$G$1,0))</f>
        <v>Lib</v>
      </c>
      <c r="J145" t="str">
        <f>INDEX(products!$A$1:$G$49,MATCH(orders!$D145,products!$A$1:$A$49,0),MATCH(orders!J$1,products!$A$1:$G$1,0))</f>
        <v>M</v>
      </c>
      <c r="K145" s="7">
        <f>INDEX(products!$A$1:$G$49,MATCH(orders!$D145,products!$A$1:$A$49,0),MATCH(orders!K$1,products!$A$1:$G$1,0))</f>
        <v>0.5</v>
      </c>
      <c r="L145" s="4">
        <f>INDEX(products!$A$1:$G$49,MATCH(orders!$D145,products!$A$1:$A$49,0),MATCH(orders!L$1,products!$A$1:$G$1,0))</f>
        <v>8.73</v>
      </c>
      <c r="M145" s="4">
        <f t="shared" si="2"/>
        <v>17.46</v>
      </c>
      <c r="N145" t="str" cm="1">
        <f t="array" ref="N145">_xlfn.IFS(I145="Rob","Robusta",I145="Exc","Excelsa",I145="Ara","Arabica",I145="Lib","Liberica")</f>
        <v>Liberica</v>
      </c>
      <c r="O145" t="str" cm="1">
        <f t="array" ref="O145">_xlfn.IFS(J145="M","Medium",J145="L","Large",J145="D","Dark")</f>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_xlfn.XLOOKUP(C146,customers!$A$1:$A$1001,customers!$B$1:$B$1001,,0)</f>
        <v>Winn Keyse</v>
      </c>
      <c r="G146" s="2" t="str">
        <f>IF(_xlfn.XLOOKUP(C146,customers!$A$1:$A$1001,customers!$C$1:$C$1001,,0)=0,"",_xlfn.XLOOKUP(C146,customers!$A$1:$A$1001,customers!$C$1:$C$1001,,0))</f>
        <v>wkeyse40@apple.com</v>
      </c>
      <c r="H146" s="2" t="str">
        <f>_xlfn.XLOOKUP(C146,customers!$A$1:$A$1001,customers!$G$1:$G$1001,,0)</f>
        <v>United States</v>
      </c>
      <c r="I146" t="str">
        <f>INDEX(products!$A$1:$G$49,MATCH(orders!$D146,products!$A$1:$A$49,0),MATCH(orders!I$1,products!$A$1:$G$1,0))</f>
        <v>Exc</v>
      </c>
      <c r="J146" t="str">
        <f>INDEX(products!$A$1:$G$49,MATCH(orders!$D146,products!$A$1:$A$49,0),MATCH(orders!J$1,products!$A$1:$G$1,0))</f>
        <v>L</v>
      </c>
      <c r="K146" s="7">
        <f>INDEX(products!$A$1:$G$49,MATCH(orders!$D146,products!$A$1:$A$49,0),MATCH(orders!K$1,products!$A$1:$G$1,0))</f>
        <v>2.5</v>
      </c>
      <c r="L146" s="4">
        <f>INDEX(products!$A$1:$G$49,MATCH(orders!$D146,products!$A$1:$A$49,0),MATCH(orders!L$1,products!$A$1:$G$1,0))</f>
        <v>34.154999999999994</v>
      </c>
      <c r="M146" s="4">
        <f t="shared" si="2"/>
        <v>68.309999999999988</v>
      </c>
      <c r="N146" t="str" cm="1">
        <f t="array" ref="N146">_xlfn.IFS(I146="Rob","Robusta",I146="Exc","Excelsa",I146="Ara","Arabica",I146="Lib","Liberica")</f>
        <v>Excelsa</v>
      </c>
      <c r="O146" t="str" cm="1">
        <f t="array" ref="O146">_xlfn.IFS(J146="M","Medium",J146="L","Large",J146="D","Dark")</f>
        <v>Large</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_xlfn.XLOOKUP(C147,customers!$A$1:$A$1001,customers!$B$1:$B$1001,,0)</f>
        <v>Osmund Clausen-Thue</v>
      </c>
      <c r="G147" s="2" t="str">
        <f>IF(_xlfn.XLOOKUP(C147,customers!$A$1:$A$1001,customers!$C$1:$C$1001,,0)=0,"",_xlfn.XLOOKUP(C147,customers!$A$1:$A$1001,customers!$C$1:$C$1001,,0))</f>
        <v>oclausenthue41@marriott.com</v>
      </c>
      <c r="H147" s="2" t="str">
        <f>_xlfn.XLOOKUP(C147,customers!$A$1:$A$1001,customers!$G$1:$G$1001,,0)</f>
        <v>United States</v>
      </c>
      <c r="I147" t="str">
        <f>INDEX(products!$A$1:$G$49,MATCH(orders!$D147,products!$A$1:$A$49,0),MATCH(orders!I$1,products!$A$1:$G$1,0))</f>
        <v>Lib</v>
      </c>
      <c r="J147" t="str">
        <f>INDEX(products!$A$1:$G$49,MATCH(orders!$D147,products!$A$1:$A$49,0),MATCH(orders!J$1,products!$A$1:$G$1,0))</f>
        <v>M</v>
      </c>
      <c r="K147" s="7">
        <f>INDEX(products!$A$1:$G$49,MATCH(orders!$D147,products!$A$1:$A$49,0),MATCH(orders!K$1,products!$A$1:$G$1,0))</f>
        <v>0.2</v>
      </c>
      <c r="L147" s="4">
        <f>INDEX(products!$A$1:$G$49,MATCH(orders!$D147,products!$A$1:$A$49,0),MATCH(orders!L$1,products!$A$1:$G$1,0))</f>
        <v>4.3650000000000002</v>
      </c>
      <c r="M147" s="4">
        <f t="shared" si="2"/>
        <v>17.46</v>
      </c>
      <c r="N147" t="str" cm="1">
        <f t="array" ref="N147">_xlfn.IFS(I147="Rob","Robusta",I147="Exc","Excelsa",I147="Ara","Arabica",I147="Lib","Liberica")</f>
        <v>Liberica</v>
      </c>
      <c r="O147" t="str" cm="1">
        <f t="array" ref="O147">_xlfn.IFS(J147="M","Medium",J147="L","Large",J147="D","Dark")</f>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_xlfn.XLOOKUP(C148,customers!$A$1:$A$1001,customers!$B$1:$B$1001,,0)</f>
        <v>Leonore Francisco</v>
      </c>
      <c r="G148" s="2" t="str">
        <f>IF(_xlfn.XLOOKUP(C148,customers!$A$1:$A$1001,customers!$C$1:$C$1001,,0)=0,"",_xlfn.XLOOKUP(C148,customers!$A$1:$A$1001,customers!$C$1:$C$1001,,0))</f>
        <v>lfrancisco42@fema.gov</v>
      </c>
      <c r="H148" s="2" t="str">
        <f>_xlfn.XLOOKUP(C148,customers!$A$1:$A$1001,customers!$G$1:$G$1001,,0)</f>
        <v>United States</v>
      </c>
      <c r="I148" t="str">
        <f>INDEX(products!$A$1:$G$49,MATCH(orders!$D148,products!$A$1:$A$49,0),MATCH(orders!I$1,products!$A$1:$G$1,0))</f>
        <v>Lib</v>
      </c>
      <c r="J148" t="str">
        <f>INDEX(products!$A$1:$G$49,MATCH(orders!$D148,products!$A$1:$A$49,0),MATCH(orders!J$1,products!$A$1:$G$1,0))</f>
        <v>M</v>
      </c>
      <c r="K148" s="7">
        <f>INDEX(products!$A$1:$G$49,MATCH(orders!$D148,products!$A$1:$A$49,0),MATCH(orders!K$1,products!$A$1:$G$1,0))</f>
        <v>1</v>
      </c>
      <c r="L148" s="4">
        <f>INDEX(products!$A$1:$G$49,MATCH(orders!$D148,products!$A$1:$A$49,0),MATCH(orders!L$1,products!$A$1:$G$1,0))</f>
        <v>14.55</v>
      </c>
      <c r="M148" s="4">
        <f t="shared" si="2"/>
        <v>43.650000000000006</v>
      </c>
      <c r="N148" t="str" cm="1">
        <f t="array" ref="N148">_xlfn.IFS(I148="Rob","Robusta",I148="Exc","Excelsa",I148="Ara","Arabica",I148="Lib","Liberica")</f>
        <v>Liberica</v>
      </c>
      <c r="O148" t="str" cm="1">
        <f t="array" ref="O148">_xlfn.IFS(J148="M","Medium",J148="L","Large",J148="D","Dark")</f>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_xlfn.XLOOKUP(C149,customers!$A$1:$A$1001,customers!$B$1:$B$1001,,0)</f>
        <v>Leonore Francisco</v>
      </c>
      <c r="G149" s="2" t="str">
        <f>IF(_xlfn.XLOOKUP(C149,customers!$A$1:$A$1001,customers!$C$1:$C$1001,,0)=0,"",_xlfn.XLOOKUP(C149,customers!$A$1:$A$1001,customers!$C$1:$C$1001,,0))</f>
        <v>lfrancisco42@fema.gov</v>
      </c>
      <c r="H149" s="2" t="str">
        <f>_xlfn.XLOOKUP(C149,customers!$A$1:$A$1001,customers!$G$1:$G$1001,,0)</f>
        <v>United States</v>
      </c>
      <c r="I149" t="str">
        <f>INDEX(products!$A$1:$G$49,MATCH(orders!$D149,products!$A$1:$A$49,0),MATCH(orders!I$1,products!$A$1:$G$1,0))</f>
        <v>Exc</v>
      </c>
      <c r="J149" t="str">
        <f>INDEX(products!$A$1:$G$49,MATCH(orders!$D149,products!$A$1:$A$49,0),MATCH(orders!J$1,products!$A$1:$G$1,0))</f>
        <v>M</v>
      </c>
      <c r="K149" s="7">
        <f>INDEX(products!$A$1:$G$49,MATCH(orders!$D149,products!$A$1:$A$49,0),MATCH(orders!K$1,products!$A$1:$G$1,0))</f>
        <v>1</v>
      </c>
      <c r="L149" s="4">
        <f>INDEX(products!$A$1:$G$49,MATCH(orders!$D149,products!$A$1:$A$49,0),MATCH(orders!L$1,products!$A$1:$G$1,0))</f>
        <v>13.75</v>
      </c>
      <c r="M149" s="4">
        <f t="shared" si="2"/>
        <v>27.5</v>
      </c>
      <c r="N149" t="str" cm="1">
        <f t="array" ref="N149">_xlfn.IFS(I149="Rob","Robusta",I149="Exc","Excelsa",I149="Ara","Arabica",I149="Lib","Liberica")</f>
        <v>Excelsa</v>
      </c>
      <c r="O149" t="str" cm="1">
        <f t="array" ref="O149">_xlfn.IFS(J149="M","Medium",J149="L","Large",J149="D","Dark")</f>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_xlfn.XLOOKUP(C150,customers!$A$1:$A$1001,customers!$B$1:$B$1001,,0)</f>
        <v>Giacobo Skingle</v>
      </c>
      <c r="G150" s="2" t="str">
        <f>IF(_xlfn.XLOOKUP(C150,customers!$A$1:$A$1001,customers!$C$1:$C$1001,,0)=0,"",_xlfn.XLOOKUP(C150,customers!$A$1:$A$1001,customers!$C$1:$C$1001,,0))</f>
        <v>gskingle44@clickbank.net</v>
      </c>
      <c r="H150" s="2" t="str">
        <f>_xlfn.XLOOKUP(C150,customers!$A$1:$A$1001,customers!$G$1:$G$1001,,0)</f>
        <v>United States</v>
      </c>
      <c r="I150" t="str">
        <f>INDEX(products!$A$1:$G$49,MATCH(orders!$D150,products!$A$1:$A$49,0),MATCH(orders!I$1,products!$A$1:$G$1,0))</f>
        <v>Exc</v>
      </c>
      <c r="J150" t="str">
        <f>INDEX(products!$A$1:$G$49,MATCH(orders!$D150,products!$A$1:$A$49,0),MATCH(orders!J$1,products!$A$1:$G$1,0))</f>
        <v>D</v>
      </c>
      <c r="K150" s="7">
        <f>INDEX(products!$A$1:$G$49,MATCH(orders!$D150,products!$A$1:$A$49,0),MATCH(orders!K$1,products!$A$1:$G$1,0))</f>
        <v>0.2</v>
      </c>
      <c r="L150" s="4">
        <f>INDEX(products!$A$1:$G$49,MATCH(orders!$D150,products!$A$1:$A$49,0),MATCH(orders!L$1,products!$A$1:$G$1,0))</f>
        <v>3.645</v>
      </c>
      <c r="M150" s="4">
        <f t="shared" si="2"/>
        <v>18.225000000000001</v>
      </c>
      <c r="N150" t="str" cm="1">
        <f t="array" ref="N150">_xlfn.IFS(I150="Rob","Robusta",I150="Exc","Excelsa",I150="Ara","Arabica",I150="Lib","Liberica")</f>
        <v>Excelsa</v>
      </c>
      <c r="O150" t="str" cm="1">
        <f t="array" ref="O150">_xlfn.IFS(J150="M","Medium",J150="L","Large",J150="D","Dark")</f>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_xlfn.XLOOKUP(C151,customers!$A$1:$A$1001,customers!$B$1:$B$1001,,0)</f>
        <v>Gerard Pirdy</v>
      </c>
      <c r="G151" s="2" t="str">
        <f>IF(_xlfn.XLOOKUP(C151,customers!$A$1:$A$1001,customers!$C$1:$C$1001,,0)=0,"",_xlfn.XLOOKUP(C151,customers!$A$1:$A$1001,customers!$C$1:$C$1001,,0))</f>
        <v/>
      </c>
      <c r="H151" s="2" t="str">
        <f>_xlfn.XLOOKUP(C151,customers!$A$1:$A$1001,customers!$G$1:$G$1001,,0)</f>
        <v>United States</v>
      </c>
      <c r="I151" t="str">
        <f>INDEX(products!$A$1:$G$49,MATCH(orders!$D151,products!$A$1:$A$49,0),MATCH(orders!I$1,products!$A$1:$G$1,0))</f>
        <v>Ara</v>
      </c>
      <c r="J151" t="str">
        <f>INDEX(products!$A$1:$G$49,MATCH(orders!$D151,products!$A$1:$A$49,0),MATCH(orders!J$1,products!$A$1:$G$1,0))</f>
        <v>M</v>
      </c>
      <c r="K151" s="7">
        <f>INDEX(products!$A$1:$G$49,MATCH(orders!$D151,products!$A$1:$A$49,0),MATCH(orders!K$1,products!$A$1:$G$1,0))</f>
        <v>2.5</v>
      </c>
      <c r="L151" s="4">
        <f>INDEX(products!$A$1:$G$49,MATCH(orders!$D151,products!$A$1:$A$49,0),MATCH(orders!L$1,products!$A$1:$G$1,0))</f>
        <v>25.874999999999996</v>
      </c>
      <c r="M151" s="4">
        <f t="shared" si="2"/>
        <v>51.749999999999993</v>
      </c>
      <c r="N151" t="str" cm="1">
        <f t="array" ref="N151">_xlfn.IFS(I151="Rob","Robusta",I151="Exc","Excelsa",I151="Ara","Arabica",I151="Lib","Liberica")</f>
        <v>Arabica</v>
      </c>
      <c r="O151" t="str" cm="1">
        <f t="array" ref="O151">_xlfn.IFS(J151="M","Medium",J151="L","Large",J151="D","Dark")</f>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_xlfn.XLOOKUP(C152,customers!$A$1:$A$1001,customers!$B$1:$B$1001,,0)</f>
        <v>Jacinthe Balsillie</v>
      </c>
      <c r="G152" s="2" t="str">
        <f>IF(_xlfn.XLOOKUP(C152,customers!$A$1:$A$1001,customers!$C$1:$C$1001,,0)=0,"",_xlfn.XLOOKUP(C152,customers!$A$1:$A$1001,customers!$C$1:$C$1001,,0))</f>
        <v>jbalsillie46@princeton.edu</v>
      </c>
      <c r="H152" s="2" t="str">
        <f>_xlfn.XLOOKUP(C152,customers!$A$1:$A$1001,customers!$G$1:$G$1001,,0)</f>
        <v>United States</v>
      </c>
      <c r="I152" t="str">
        <f>INDEX(products!$A$1:$G$49,MATCH(orders!$D152,products!$A$1:$A$49,0),MATCH(orders!I$1,products!$A$1:$G$1,0))</f>
        <v>Lib</v>
      </c>
      <c r="J152" t="str">
        <f>INDEX(products!$A$1:$G$49,MATCH(orders!$D152,products!$A$1:$A$49,0),MATCH(orders!J$1,products!$A$1:$G$1,0))</f>
        <v>D</v>
      </c>
      <c r="K152" s="7">
        <f>INDEX(products!$A$1:$G$49,MATCH(orders!$D152,products!$A$1:$A$49,0),MATCH(orders!K$1,products!$A$1:$G$1,0))</f>
        <v>1</v>
      </c>
      <c r="L152" s="4">
        <f>INDEX(products!$A$1:$G$49,MATCH(orders!$D152,products!$A$1:$A$49,0),MATCH(orders!L$1,products!$A$1:$G$1,0))</f>
        <v>12.95</v>
      </c>
      <c r="M152" s="4">
        <f t="shared" si="2"/>
        <v>12.95</v>
      </c>
      <c r="N152" t="str" cm="1">
        <f t="array" ref="N152">_xlfn.IFS(I152="Rob","Robusta",I152="Exc","Excelsa",I152="Ara","Arabica",I152="Lib","Liberica")</f>
        <v>Liberica</v>
      </c>
      <c r="O152" t="str" cm="1">
        <f t="array" ref="O152">_xlfn.IFS(J152="M","Medium",J152="L","Large",J152="D","Dark")</f>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_xlfn.XLOOKUP(C153,customers!$A$1:$A$1001,customers!$B$1:$B$1001,,0)</f>
        <v>Quinton Fouracres</v>
      </c>
      <c r="G153" s="2" t="str">
        <f>IF(_xlfn.XLOOKUP(C153,customers!$A$1:$A$1001,customers!$C$1:$C$1001,,0)=0,"",_xlfn.XLOOKUP(C153,customers!$A$1:$A$1001,customers!$C$1:$C$1001,,0))</f>
        <v/>
      </c>
      <c r="H153" s="2" t="str">
        <f>_xlfn.XLOOKUP(C153,customers!$A$1:$A$1001,customers!$G$1:$G$1001,,0)</f>
        <v>United States</v>
      </c>
      <c r="I153" t="str">
        <f>INDEX(products!$A$1:$G$49,MATCH(orders!$D153,products!$A$1:$A$49,0),MATCH(orders!I$1,products!$A$1:$G$1,0))</f>
        <v>Ara</v>
      </c>
      <c r="J153" t="str">
        <f>INDEX(products!$A$1:$G$49,MATCH(orders!$D153,products!$A$1:$A$49,0),MATCH(orders!J$1,products!$A$1:$G$1,0))</f>
        <v>M</v>
      </c>
      <c r="K153" s="7">
        <f>INDEX(products!$A$1:$G$49,MATCH(orders!$D153,products!$A$1:$A$49,0),MATCH(orders!K$1,products!$A$1:$G$1,0))</f>
        <v>1</v>
      </c>
      <c r="L153" s="4">
        <f>INDEX(products!$A$1:$G$49,MATCH(orders!$D153,products!$A$1:$A$49,0),MATCH(orders!L$1,products!$A$1:$G$1,0))</f>
        <v>11.25</v>
      </c>
      <c r="M153" s="4">
        <f t="shared" si="2"/>
        <v>33.75</v>
      </c>
      <c r="N153" t="str" cm="1">
        <f t="array" ref="N153">_xlfn.IFS(I153="Rob","Robusta",I153="Exc","Excelsa",I153="Ara","Arabica",I153="Lib","Liberica")</f>
        <v>Arabica</v>
      </c>
      <c r="O153" t="str" cm="1">
        <f t="array" ref="O153">_xlfn.IFS(J153="M","Medium",J153="L","Large",J153="D","Dark")</f>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_xlfn.XLOOKUP(C154,customers!$A$1:$A$1001,customers!$B$1:$B$1001,,0)</f>
        <v>Bettina Leffek</v>
      </c>
      <c r="G154" s="2" t="str">
        <f>IF(_xlfn.XLOOKUP(C154,customers!$A$1:$A$1001,customers!$C$1:$C$1001,,0)=0,"",_xlfn.XLOOKUP(C154,customers!$A$1:$A$1001,customers!$C$1:$C$1001,,0))</f>
        <v>bleffek48@ning.com</v>
      </c>
      <c r="H154" s="2" t="str">
        <f>_xlfn.XLOOKUP(C154,customers!$A$1:$A$1001,customers!$G$1:$G$1001,,0)</f>
        <v>United States</v>
      </c>
      <c r="I154" t="str">
        <f>INDEX(products!$A$1:$G$49,MATCH(orders!$D154,products!$A$1:$A$49,0),MATCH(orders!I$1,products!$A$1:$G$1,0))</f>
        <v>Rob</v>
      </c>
      <c r="J154" t="str">
        <f>INDEX(products!$A$1:$G$49,MATCH(orders!$D154,products!$A$1:$A$49,0),MATCH(orders!J$1,products!$A$1:$G$1,0))</f>
        <v>M</v>
      </c>
      <c r="K154" s="7">
        <f>INDEX(products!$A$1:$G$49,MATCH(orders!$D154,products!$A$1:$A$49,0),MATCH(orders!K$1,products!$A$1:$G$1,0))</f>
        <v>2.5</v>
      </c>
      <c r="L154" s="4">
        <f>INDEX(products!$A$1:$G$49,MATCH(orders!$D154,products!$A$1:$A$49,0),MATCH(orders!L$1,products!$A$1:$G$1,0))</f>
        <v>22.884999999999998</v>
      </c>
      <c r="M154" s="4">
        <f t="shared" si="2"/>
        <v>68.655000000000001</v>
      </c>
      <c r="N154" t="str" cm="1">
        <f t="array" ref="N154">_xlfn.IFS(I154="Rob","Robusta",I154="Exc","Excelsa",I154="Ara","Arabica",I154="Lib","Liberica")</f>
        <v>Robusta</v>
      </c>
      <c r="O154" t="str" cm="1">
        <f t="array" ref="O154">_xlfn.IFS(J154="M","Medium",J154="L","Large",J154="D","Dark")</f>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_xlfn.XLOOKUP(C155,customers!$A$1:$A$1001,customers!$B$1:$B$1001,,0)</f>
        <v>Hetti Penson</v>
      </c>
      <c r="G155" s="2" t="str">
        <f>IF(_xlfn.XLOOKUP(C155,customers!$A$1:$A$1001,customers!$C$1:$C$1001,,0)=0,"",_xlfn.XLOOKUP(C155,customers!$A$1:$A$1001,customers!$C$1:$C$1001,,0))</f>
        <v/>
      </c>
      <c r="H155" s="2" t="str">
        <f>_xlfn.XLOOKUP(C155,customers!$A$1:$A$1001,customers!$G$1:$G$1001,,0)</f>
        <v>United States</v>
      </c>
      <c r="I155" t="str">
        <f>INDEX(products!$A$1:$G$49,MATCH(orders!$D155,products!$A$1:$A$49,0),MATCH(orders!I$1,products!$A$1:$G$1,0))</f>
        <v>Rob</v>
      </c>
      <c r="J155" t="str">
        <f>INDEX(products!$A$1:$G$49,MATCH(orders!$D155,products!$A$1:$A$49,0),MATCH(orders!J$1,products!$A$1:$G$1,0))</f>
        <v>D</v>
      </c>
      <c r="K155" s="7">
        <f>INDEX(products!$A$1:$G$49,MATCH(orders!$D155,products!$A$1:$A$49,0),MATCH(orders!K$1,products!$A$1:$G$1,0))</f>
        <v>0.2</v>
      </c>
      <c r="L155" s="4">
        <f>INDEX(products!$A$1:$G$49,MATCH(orders!$D155,products!$A$1:$A$49,0),MATCH(orders!L$1,products!$A$1:$G$1,0))</f>
        <v>2.6849999999999996</v>
      </c>
      <c r="M155" s="4">
        <f t="shared" si="2"/>
        <v>2.6849999999999996</v>
      </c>
      <c r="N155" t="str" cm="1">
        <f t="array" ref="N155">_xlfn.IFS(I155="Rob","Robusta",I155="Exc","Excelsa",I155="Ara","Arabica",I155="Lib","Liberica")</f>
        <v>Robusta</v>
      </c>
      <c r="O155" t="str" cm="1">
        <f t="array" ref="O155">_xlfn.IFS(J155="M","Medium",J155="L","Large",J155="D","Dark")</f>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_xlfn.XLOOKUP(C156,customers!$A$1:$A$1001,customers!$B$1:$B$1001,,0)</f>
        <v>Jocko Pray</v>
      </c>
      <c r="G156" s="2" t="str">
        <f>IF(_xlfn.XLOOKUP(C156,customers!$A$1:$A$1001,customers!$C$1:$C$1001,,0)=0,"",_xlfn.XLOOKUP(C156,customers!$A$1:$A$1001,customers!$C$1:$C$1001,,0))</f>
        <v>jpray4a@youtube.com</v>
      </c>
      <c r="H156" s="2" t="str">
        <f>_xlfn.XLOOKUP(C156,customers!$A$1:$A$1001,customers!$G$1:$G$1001,,0)</f>
        <v>United States</v>
      </c>
      <c r="I156" t="str">
        <f>INDEX(products!$A$1:$G$49,MATCH(orders!$D156,products!$A$1:$A$49,0),MATCH(orders!I$1,products!$A$1:$G$1,0))</f>
        <v>Ara</v>
      </c>
      <c r="J156" t="str">
        <f>INDEX(products!$A$1:$G$49,MATCH(orders!$D156,products!$A$1:$A$49,0),MATCH(orders!J$1,products!$A$1:$G$1,0))</f>
        <v>D</v>
      </c>
      <c r="K156" s="7">
        <f>INDEX(products!$A$1:$G$49,MATCH(orders!$D156,products!$A$1:$A$49,0),MATCH(orders!K$1,products!$A$1:$G$1,0))</f>
        <v>2.5</v>
      </c>
      <c r="L156" s="4">
        <f>INDEX(products!$A$1:$G$49,MATCH(orders!$D156,products!$A$1:$A$49,0),MATCH(orders!L$1,products!$A$1:$G$1,0))</f>
        <v>22.884999999999998</v>
      </c>
      <c r="M156" s="4">
        <f t="shared" si="2"/>
        <v>114.42499999999998</v>
      </c>
      <c r="N156" t="str" cm="1">
        <f t="array" ref="N156">_xlfn.IFS(I156="Rob","Robusta",I156="Exc","Excelsa",I156="Ara","Arabica",I156="Lib","Liberica")</f>
        <v>Arabica</v>
      </c>
      <c r="O156" t="str" cm="1">
        <f t="array" ref="O156">_xlfn.IFS(J156="M","Medium",J156="L","Large",J156="D","Dark")</f>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_xlfn.XLOOKUP(C157,customers!$A$1:$A$1001,customers!$B$1:$B$1001,,0)</f>
        <v>Grete Holborn</v>
      </c>
      <c r="G157" s="2" t="str">
        <f>IF(_xlfn.XLOOKUP(C157,customers!$A$1:$A$1001,customers!$C$1:$C$1001,,0)=0,"",_xlfn.XLOOKUP(C157,customers!$A$1:$A$1001,customers!$C$1:$C$1001,,0))</f>
        <v>gholborn4b@ow.ly</v>
      </c>
      <c r="H157" s="2" t="str">
        <f>_xlfn.XLOOKUP(C157,customers!$A$1:$A$1001,customers!$G$1:$G$1001,,0)</f>
        <v>United States</v>
      </c>
      <c r="I157" t="str">
        <f>INDEX(products!$A$1:$G$49,MATCH(orders!$D157,products!$A$1:$A$49,0),MATCH(orders!I$1,products!$A$1:$G$1,0))</f>
        <v>Ara</v>
      </c>
      <c r="J157" t="str">
        <f>INDEX(products!$A$1:$G$49,MATCH(orders!$D157,products!$A$1:$A$49,0),MATCH(orders!J$1,products!$A$1:$G$1,0))</f>
        <v>M</v>
      </c>
      <c r="K157" s="7">
        <f>INDEX(products!$A$1:$G$49,MATCH(orders!$D157,products!$A$1:$A$49,0),MATCH(orders!K$1,products!$A$1:$G$1,0))</f>
        <v>2.5</v>
      </c>
      <c r="L157" s="4">
        <f>INDEX(products!$A$1:$G$49,MATCH(orders!$D157,products!$A$1:$A$49,0),MATCH(orders!L$1,products!$A$1:$G$1,0))</f>
        <v>25.874999999999996</v>
      </c>
      <c r="M157" s="4">
        <f t="shared" si="2"/>
        <v>155.24999999999997</v>
      </c>
      <c r="N157" t="str" cm="1">
        <f t="array" ref="N157">_xlfn.IFS(I157="Rob","Robusta",I157="Exc","Excelsa",I157="Ara","Arabica",I157="Lib","Liberica")</f>
        <v>Arabica</v>
      </c>
      <c r="O157" t="str" cm="1">
        <f t="array" ref="O157">_xlfn.IFS(J157="M","Medium",J157="L","Large",J157="D","Dark")</f>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_xlfn.XLOOKUP(C158,customers!$A$1:$A$1001,customers!$B$1:$B$1001,,0)</f>
        <v>Fielding Keinrat</v>
      </c>
      <c r="G158" s="2" t="str">
        <f>IF(_xlfn.XLOOKUP(C158,customers!$A$1:$A$1001,customers!$C$1:$C$1001,,0)=0,"",_xlfn.XLOOKUP(C158,customers!$A$1:$A$1001,customers!$C$1:$C$1001,,0))</f>
        <v>fkeinrat4c@dailymail.co.uk</v>
      </c>
      <c r="H158" s="2" t="str">
        <f>_xlfn.XLOOKUP(C158,customers!$A$1:$A$1001,customers!$G$1:$G$1001,,0)</f>
        <v>United States</v>
      </c>
      <c r="I158" t="str">
        <f>INDEX(products!$A$1:$G$49,MATCH(orders!$D158,products!$A$1:$A$49,0),MATCH(orders!I$1,products!$A$1:$G$1,0))</f>
        <v>Ara</v>
      </c>
      <c r="J158" t="str">
        <f>INDEX(products!$A$1:$G$49,MATCH(orders!$D158,products!$A$1:$A$49,0),MATCH(orders!J$1,products!$A$1:$G$1,0))</f>
        <v>M</v>
      </c>
      <c r="K158" s="7">
        <f>INDEX(products!$A$1:$G$49,MATCH(orders!$D158,products!$A$1:$A$49,0),MATCH(orders!K$1,products!$A$1:$G$1,0))</f>
        <v>2.5</v>
      </c>
      <c r="L158" s="4">
        <f>INDEX(products!$A$1:$G$49,MATCH(orders!$D158,products!$A$1:$A$49,0),MATCH(orders!L$1,products!$A$1:$G$1,0))</f>
        <v>25.874999999999996</v>
      </c>
      <c r="M158" s="4">
        <f t="shared" si="2"/>
        <v>77.624999999999986</v>
      </c>
      <c r="N158" t="str" cm="1">
        <f t="array" ref="N158">_xlfn.IFS(I158="Rob","Robusta",I158="Exc","Excelsa",I158="Ara","Arabica",I158="Lib","Liberica")</f>
        <v>Arabica</v>
      </c>
      <c r="O158" t="str" cm="1">
        <f t="array" ref="O158">_xlfn.IFS(J158="M","Medium",J158="L","Large",J158="D","Dark")</f>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_xlfn.XLOOKUP(C159,customers!$A$1:$A$1001,customers!$B$1:$B$1001,,0)</f>
        <v>Paulo Yea</v>
      </c>
      <c r="G159" s="2" t="str">
        <f>IF(_xlfn.XLOOKUP(C159,customers!$A$1:$A$1001,customers!$C$1:$C$1001,,0)=0,"",_xlfn.XLOOKUP(C159,customers!$A$1:$A$1001,customers!$C$1:$C$1001,,0))</f>
        <v>pyea4d@aol.com</v>
      </c>
      <c r="H159" s="2" t="str">
        <f>_xlfn.XLOOKUP(C159,customers!$A$1:$A$1001,customers!$G$1:$G$1001,,0)</f>
        <v>Ireland</v>
      </c>
      <c r="I159" t="str">
        <f>INDEX(products!$A$1:$G$49,MATCH(orders!$D159,products!$A$1:$A$49,0),MATCH(orders!I$1,products!$A$1:$G$1,0))</f>
        <v>Rob</v>
      </c>
      <c r="J159" t="str">
        <f>INDEX(products!$A$1:$G$49,MATCH(orders!$D159,products!$A$1:$A$49,0),MATCH(orders!J$1,products!$A$1:$G$1,0))</f>
        <v>D</v>
      </c>
      <c r="K159" s="7">
        <f>INDEX(products!$A$1:$G$49,MATCH(orders!$D159,products!$A$1:$A$49,0),MATCH(orders!K$1,products!$A$1:$G$1,0))</f>
        <v>2.5</v>
      </c>
      <c r="L159" s="4">
        <f>INDEX(products!$A$1:$G$49,MATCH(orders!$D159,products!$A$1:$A$49,0),MATCH(orders!L$1,products!$A$1:$G$1,0))</f>
        <v>20.584999999999997</v>
      </c>
      <c r="M159" s="4">
        <f t="shared" si="2"/>
        <v>61.754999999999995</v>
      </c>
      <c r="N159" t="str" cm="1">
        <f t="array" ref="N159">_xlfn.IFS(I159="Rob","Robusta",I159="Exc","Excelsa",I159="Ara","Arabica",I159="Lib","Liberica")</f>
        <v>Robusta</v>
      </c>
      <c r="O159" t="str" cm="1">
        <f t="array" ref="O159">_xlfn.IFS(J159="M","Medium",J159="L","Large",J159="D","Dark")</f>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_xlfn.XLOOKUP(C160,customers!$A$1:$A$1001,customers!$B$1:$B$1001,,0)</f>
        <v>Say Risborough</v>
      </c>
      <c r="G160" s="2" t="str">
        <f>IF(_xlfn.XLOOKUP(C160,customers!$A$1:$A$1001,customers!$C$1:$C$1001,,0)=0,"",_xlfn.XLOOKUP(C160,customers!$A$1:$A$1001,customers!$C$1:$C$1001,,0))</f>
        <v/>
      </c>
      <c r="H160" s="2" t="str">
        <f>_xlfn.XLOOKUP(C160,customers!$A$1:$A$1001,customers!$G$1:$G$1001,,0)</f>
        <v>United States</v>
      </c>
      <c r="I160" t="str">
        <f>INDEX(products!$A$1:$G$49,MATCH(orders!$D160,products!$A$1:$A$49,0),MATCH(orders!I$1,products!$A$1:$G$1,0))</f>
        <v>Rob</v>
      </c>
      <c r="J160" t="str">
        <f>INDEX(products!$A$1:$G$49,MATCH(orders!$D160,products!$A$1:$A$49,0),MATCH(orders!J$1,products!$A$1:$G$1,0))</f>
        <v>D</v>
      </c>
      <c r="K160" s="7">
        <f>INDEX(products!$A$1:$G$49,MATCH(orders!$D160,products!$A$1:$A$49,0),MATCH(orders!K$1,products!$A$1:$G$1,0))</f>
        <v>2.5</v>
      </c>
      <c r="L160" s="4">
        <f>INDEX(products!$A$1:$G$49,MATCH(orders!$D160,products!$A$1:$A$49,0),MATCH(orders!L$1,products!$A$1:$G$1,0))</f>
        <v>20.584999999999997</v>
      </c>
      <c r="M160" s="4">
        <f t="shared" si="2"/>
        <v>123.50999999999999</v>
      </c>
      <c r="N160" t="str" cm="1">
        <f t="array" ref="N160">_xlfn.IFS(I160="Rob","Robusta",I160="Exc","Excelsa",I160="Ara","Arabica",I160="Lib","Liberica")</f>
        <v>Robusta</v>
      </c>
      <c r="O160" t="str" cm="1">
        <f t="array" ref="O160">_xlfn.IFS(J160="M","Medium",J160="L","Large",J160="D","Dark")</f>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_xlfn.XLOOKUP(C161,customers!$A$1:$A$1001,customers!$B$1:$B$1001,,0)</f>
        <v>Alexa Sizey</v>
      </c>
      <c r="G161" s="2" t="str">
        <f>IF(_xlfn.XLOOKUP(C161,customers!$A$1:$A$1001,customers!$C$1:$C$1001,,0)=0,"",_xlfn.XLOOKUP(C161,customers!$A$1:$A$1001,customers!$C$1:$C$1001,,0))</f>
        <v/>
      </c>
      <c r="H161" s="2" t="str">
        <f>_xlfn.XLOOKUP(C161,customers!$A$1:$A$1001,customers!$G$1:$G$1001,,0)</f>
        <v>United States</v>
      </c>
      <c r="I161" t="str">
        <f>INDEX(products!$A$1:$G$49,MATCH(orders!$D161,products!$A$1:$A$49,0),MATCH(orders!I$1,products!$A$1:$G$1,0))</f>
        <v>Lib</v>
      </c>
      <c r="J161" t="str">
        <f>INDEX(products!$A$1:$G$49,MATCH(orders!$D161,products!$A$1:$A$49,0),MATCH(orders!J$1,products!$A$1:$G$1,0))</f>
        <v>L</v>
      </c>
      <c r="K161" s="7">
        <f>INDEX(products!$A$1:$G$49,MATCH(orders!$D161,products!$A$1:$A$49,0),MATCH(orders!K$1,products!$A$1:$G$1,0))</f>
        <v>2.5</v>
      </c>
      <c r="L161" s="4">
        <f>INDEX(products!$A$1:$G$49,MATCH(orders!$D161,products!$A$1:$A$49,0),MATCH(orders!L$1,products!$A$1:$G$1,0))</f>
        <v>36.454999999999998</v>
      </c>
      <c r="M161" s="4">
        <f t="shared" si="2"/>
        <v>218.73</v>
      </c>
      <c r="N161" t="str" cm="1">
        <f t="array" ref="N161">_xlfn.IFS(I161="Rob","Robusta",I161="Exc","Excelsa",I161="Ara","Arabica",I161="Lib","Liberica")</f>
        <v>Liberica</v>
      </c>
      <c r="O161" t="str" cm="1">
        <f t="array" ref="O161">_xlfn.IFS(J161="M","Medium",J161="L","Large",J161="D","Dark")</f>
        <v>Large</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_xlfn.XLOOKUP(C162,customers!$A$1:$A$1001,customers!$B$1:$B$1001,,0)</f>
        <v>Kari Swede</v>
      </c>
      <c r="G162" s="2" t="str">
        <f>IF(_xlfn.XLOOKUP(C162,customers!$A$1:$A$1001,customers!$C$1:$C$1001,,0)=0,"",_xlfn.XLOOKUP(C162,customers!$A$1:$A$1001,customers!$C$1:$C$1001,,0))</f>
        <v>kswede4g@addthis.com</v>
      </c>
      <c r="H162" s="2" t="str">
        <f>_xlfn.XLOOKUP(C162,customers!$A$1:$A$1001,customers!$G$1:$G$1001,,0)</f>
        <v>United States</v>
      </c>
      <c r="I162" t="str">
        <f>INDEX(products!$A$1:$G$49,MATCH(orders!$D162,products!$A$1:$A$49,0),MATCH(orders!I$1,products!$A$1:$G$1,0))</f>
        <v>Exc</v>
      </c>
      <c r="J162" t="str">
        <f>INDEX(products!$A$1:$G$49,MATCH(orders!$D162,products!$A$1:$A$49,0),MATCH(orders!J$1,products!$A$1:$G$1,0))</f>
        <v>M</v>
      </c>
      <c r="K162" s="7">
        <f>INDEX(products!$A$1:$G$49,MATCH(orders!$D162,products!$A$1:$A$49,0),MATCH(orders!K$1,products!$A$1:$G$1,0))</f>
        <v>0.5</v>
      </c>
      <c r="L162" s="4">
        <f>INDEX(products!$A$1:$G$49,MATCH(orders!$D162,products!$A$1:$A$49,0),MATCH(orders!L$1,products!$A$1:$G$1,0))</f>
        <v>8.25</v>
      </c>
      <c r="M162" s="4">
        <f t="shared" si="2"/>
        <v>33</v>
      </c>
      <c r="N162" t="str" cm="1">
        <f t="array" ref="N162">_xlfn.IFS(I162="Rob","Robusta",I162="Exc","Excelsa",I162="Ara","Arabica",I162="Lib","Liberica")</f>
        <v>Excelsa</v>
      </c>
      <c r="O162" t="str" cm="1">
        <f t="array" ref="O162">_xlfn.IFS(J162="M","Medium",J162="L","Large",J162="D","Dark")</f>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_xlfn.XLOOKUP(C163,customers!$A$1:$A$1001,customers!$B$1:$B$1001,,0)</f>
        <v>Leontine Rubrow</v>
      </c>
      <c r="G163" s="2" t="str">
        <f>IF(_xlfn.XLOOKUP(C163,customers!$A$1:$A$1001,customers!$C$1:$C$1001,,0)=0,"",_xlfn.XLOOKUP(C163,customers!$A$1:$A$1001,customers!$C$1:$C$1001,,0))</f>
        <v>lrubrow4h@microsoft.com</v>
      </c>
      <c r="H163" s="2" t="str">
        <f>_xlfn.XLOOKUP(C163,customers!$A$1:$A$1001,customers!$G$1:$G$1001,,0)</f>
        <v>United States</v>
      </c>
      <c r="I163" t="str">
        <f>INDEX(products!$A$1:$G$49,MATCH(orders!$D163,products!$A$1:$A$49,0),MATCH(orders!I$1,products!$A$1:$G$1,0))</f>
        <v>Ara</v>
      </c>
      <c r="J163" t="str">
        <f>INDEX(products!$A$1:$G$49,MATCH(orders!$D163,products!$A$1:$A$49,0),MATCH(orders!J$1,products!$A$1:$G$1,0))</f>
        <v>L</v>
      </c>
      <c r="K163" s="7">
        <f>INDEX(products!$A$1:$G$49,MATCH(orders!$D163,products!$A$1:$A$49,0),MATCH(orders!K$1,products!$A$1:$G$1,0))</f>
        <v>0.5</v>
      </c>
      <c r="L163" s="4">
        <f>INDEX(products!$A$1:$G$49,MATCH(orders!$D163,products!$A$1:$A$49,0),MATCH(orders!L$1,products!$A$1:$G$1,0))</f>
        <v>7.77</v>
      </c>
      <c r="M163" s="4">
        <f t="shared" si="2"/>
        <v>23.31</v>
      </c>
      <c r="N163" t="str" cm="1">
        <f t="array" ref="N163">_xlfn.IFS(I163="Rob","Robusta",I163="Exc","Excelsa",I163="Ara","Arabica",I163="Lib","Liberica")</f>
        <v>Arabica</v>
      </c>
      <c r="O163" t="str" cm="1">
        <f t="array" ref="O163">_xlfn.IFS(J163="M","Medium",J163="L","Large",J163="D","Dark")</f>
        <v>Large</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_xlfn.XLOOKUP(C164,customers!$A$1:$A$1001,customers!$B$1:$B$1001,,0)</f>
        <v>Dottie Tift</v>
      </c>
      <c r="G164" s="2" t="str">
        <f>IF(_xlfn.XLOOKUP(C164,customers!$A$1:$A$1001,customers!$C$1:$C$1001,,0)=0,"",_xlfn.XLOOKUP(C164,customers!$A$1:$A$1001,customers!$C$1:$C$1001,,0))</f>
        <v>dtift4i@netvibes.com</v>
      </c>
      <c r="H164" s="2" t="str">
        <f>_xlfn.XLOOKUP(C164,customers!$A$1:$A$1001,customers!$G$1:$G$1001,,0)</f>
        <v>United States</v>
      </c>
      <c r="I164" t="str">
        <f>INDEX(products!$A$1:$G$49,MATCH(orders!$D164,products!$A$1:$A$49,0),MATCH(orders!I$1,products!$A$1:$G$1,0))</f>
        <v>Exc</v>
      </c>
      <c r="J164" t="str">
        <f>INDEX(products!$A$1:$G$49,MATCH(orders!$D164,products!$A$1:$A$49,0),MATCH(orders!J$1,products!$A$1:$G$1,0))</f>
        <v>D</v>
      </c>
      <c r="K164" s="7">
        <f>INDEX(products!$A$1:$G$49,MATCH(orders!$D164,products!$A$1:$A$49,0),MATCH(orders!K$1,products!$A$1:$G$1,0))</f>
        <v>0.5</v>
      </c>
      <c r="L164" s="4">
        <f>INDEX(products!$A$1:$G$49,MATCH(orders!$D164,products!$A$1:$A$49,0),MATCH(orders!L$1,products!$A$1:$G$1,0))</f>
        <v>7.29</v>
      </c>
      <c r="M164" s="4">
        <f t="shared" si="2"/>
        <v>21.87</v>
      </c>
      <c r="N164" t="str" cm="1">
        <f t="array" ref="N164">_xlfn.IFS(I164="Rob","Robusta",I164="Exc","Excelsa",I164="Ara","Arabica",I164="Lib","Liberica")</f>
        <v>Excelsa</v>
      </c>
      <c r="O164" t="str" cm="1">
        <f t="array" ref="O164">_xlfn.IFS(J164="M","Medium",J164="L","Large",J164="D","Dark")</f>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_xlfn.XLOOKUP(C165,customers!$A$1:$A$1001,customers!$B$1:$B$1001,,0)</f>
        <v>Gerardo Schonfeld</v>
      </c>
      <c r="G165" s="2" t="str">
        <f>IF(_xlfn.XLOOKUP(C165,customers!$A$1:$A$1001,customers!$C$1:$C$1001,,0)=0,"",_xlfn.XLOOKUP(C165,customers!$A$1:$A$1001,customers!$C$1:$C$1001,,0))</f>
        <v>gschonfeld4j@oracle.com</v>
      </c>
      <c r="H165" s="2" t="str">
        <f>_xlfn.XLOOKUP(C165,customers!$A$1:$A$1001,customers!$G$1:$G$1001,,0)</f>
        <v>United States</v>
      </c>
      <c r="I165" t="str">
        <f>INDEX(products!$A$1:$G$49,MATCH(orders!$D165,products!$A$1:$A$49,0),MATCH(orders!I$1,products!$A$1:$G$1,0))</f>
        <v>Rob</v>
      </c>
      <c r="J165" t="str">
        <f>INDEX(products!$A$1:$G$49,MATCH(orders!$D165,products!$A$1:$A$49,0),MATCH(orders!J$1,products!$A$1:$G$1,0))</f>
        <v>D</v>
      </c>
      <c r="K165" s="7">
        <f>INDEX(products!$A$1:$G$49,MATCH(orders!$D165,products!$A$1:$A$49,0),MATCH(orders!K$1,products!$A$1:$G$1,0))</f>
        <v>0.2</v>
      </c>
      <c r="L165" s="4">
        <f>INDEX(products!$A$1:$G$49,MATCH(orders!$D165,products!$A$1:$A$49,0),MATCH(orders!L$1,products!$A$1:$G$1,0))</f>
        <v>2.6849999999999996</v>
      </c>
      <c r="M165" s="4">
        <f t="shared" si="2"/>
        <v>16.11</v>
      </c>
      <c r="N165" t="str" cm="1">
        <f t="array" ref="N165">_xlfn.IFS(I165="Rob","Robusta",I165="Exc","Excelsa",I165="Ara","Arabica",I165="Lib","Liberica")</f>
        <v>Robusta</v>
      </c>
      <c r="O165" t="str" cm="1">
        <f t="array" ref="O165">_xlfn.IFS(J165="M","Medium",J165="L","Large",J165="D","Dark")</f>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_xlfn.XLOOKUP(C166,customers!$A$1:$A$1001,customers!$B$1:$B$1001,,0)</f>
        <v>Claiborne Feye</v>
      </c>
      <c r="G166" s="2" t="str">
        <f>IF(_xlfn.XLOOKUP(C166,customers!$A$1:$A$1001,customers!$C$1:$C$1001,,0)=0,"",_xlfn.XLOOKUP(C166,customers!$A$1:$A$1001,customers!$C$1:$C$1001,,0))</f>
        <v>cfeye4k@google.co.jp</v>
      </c>
      <c r="H166" s="2" t="str">
        <f>_xlfn.XLOOKUP(C166,customers!$A$1:$A$1001,customers!$G$1:$G$1001,,0)</f>
        <v>Ireland</v>
      </c>
      <c r="I166" t="str">
        <f>INDEX(products!$A$1:$G$49,MATCH(orders!$D166,products!$A$1:$A$49,0),MATCH(orders!I$1,products!$A$1:$G$1,0))</f>
        <v>Exc</v>
      </c>
      <c r="J166" t="str">
        <f>INDEX(products!$A$1:$G$49,MATCH(orders!$D166,products!$A$1:$A$49,0),MATCH(orders!J$1,products!$A$1:$G$1,0))</f>
        <v>D</v>
      </c>
      <c r="K166" s="7">
        <f>INDEX(products!$A$1:$G$49,MATCH(orders!$D166,products!$A$1:$A$49,0),MATCH(orders!K$1,products!$A$1:$G$1,0))</f>
        <v>0.5</v>
      </c>
      <c r="L166" s="4">
        <f>INDEX(products!$A$1:$G$49,MATCH(orders!$D166,products!$A$1:$A$49,0),MATCH(orders!L$1,products!$A$1:$G$1,0))</f>
        <v>7.29</v>
      </c>
      <c r="M166" s="4">
        <f t="shared" si="2"/>
        <v>29.16</v>
      </c>
      <c r="N166" t="str" cm="1">
        <f t="array" ref="N166">_xlfn.IFS(I166="Rob","Robusta",I166="Exc","Excelsa",I166="Ara","Arabica",I166="Lib","Liberica")</f>
        <v>Excelsa</v>
      </c>
      <c r="O166" t="str" cm="1">
        <f t="array" ref="O166">_xlfn.IFS(J166="M","Medium",J166="L","Large",J166="D","Dark")</f>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_xlfn.XLOOKUP(C167,customers!$A$1:$A$1001,customers!$B$1:$B$1001,,0)</f>
        <v>Mina Elstone</v>
      </c>
      <c r="G167" s="2" t="str">
        <f>IF(_xlfn.XLOOKUP(C167,customers!$A$1:$A$1001,customers!$C$1:$C$1001,,0)=0,"",_xlfn.XLOOKUP(C167,customers!$A$1:$A$1001,customers!$C$1:$C$1001,,0))</f>
        <v/>
      </c>
      <c r="H167" s="2" t="str">
        <f>_xlfn.XLOOKUP(C167,customers!$A$1:$A$1001,customers!$G$1:$G$1001,,0)</f>
        <v>United States</v>
      </c>
      <c r="I167" t="str">
        <f>INDEX(products!$A$1:$G$49,MATCH(orders!$D167,products!$A$1:$A$49,0),MATCH(orders!I$1,products!$A$1:$G$1,0))</f>
        <v>Rob</v>
      </c>
      <c r="J167" t="str">
        <f>INDEX(products!$A$1:$G$49,MATCH(orders!$D167,products!$A$1:$A$49,0),MATCH(orders!J$1,products!$A$1:$G$1,0))</f>
        <v>D</v>
      </c>
      <c r="K167" s="7">
        <f>INDEX(products!$A$1:$G$49,MATCH(orders!$D167,products!$A$1:$A$49,0),MATCH(orders!K$1,products!$A$1:$G$1,0))</f>
        <v>1</v>
      </c>
      <c r="L167" s="4">
        <f>INDEX(products!$A$1:$G$49,MATCH(orders!$D167,products!$A$1:$A$49,0),MATCH(orders!L$1,products!$A$1:$G$1,0))</f>
        <v>8.9499999999999993</v>
      </c>
      <c r="M167" s="4">
        <f t="shared" si="2"/>
        <v>53.699999999999996</v>
      </c>
      <c r="N167" t="str" cm="1">
        <f t="array" ref="N167">_xlfn.IFS(I167="Rob","Robusta",I167="Exc","Excelsa",I167="Ara","Arabica",I167="Lib","Liberica")</f>
        <v>Robusta</v>
      </c>
      <c r="O167" t="str" cm="1">
        <f t="array" ref="O167">_xlfn.IFS(J167="M","Medium",J167="L","Large",J167="D","Dark")</f>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_xlfn.XLOOKUP(C168,customers!$A$1:$A$1001,customers!$B$1:$B$1001,,0)</f>
        <v>Sherman Mewrcik</v>
      </c>
      <c r="G168" s="2" t="str">
        <f>IF(_xlfn.XLOOKUP(C168,customers!$A$1:$A$1001,customers!$C$1:$C$1001,,0)=0,"",_xlfn.XLOOKUP(C168,customers!$A$1:$A$1001,customers!$C$1:$C$1001,,0))</f>
        <v/>
      </c>
      <c r="H168" s="2" t="str">
        <f>_xlfn.XLOOKUP(C168,customers!$A$1:$A$1001,customers!$G$1:$G$1001,,0)</f>
        <v>United States</v>
      </c>
      <c r="I168" t="str">
        <f>INDEX(products!$A$1:$G$49,MATCH(orders!$D168,products!$A$1:$A$49,0),MATCH(orders!I$1,products!$A$1:$G$1,0))</f>
        <v>Rob</v>
      </c>
      <c r="J168" t="str">
        <f>INDEX(products!$A$1:$G$49,MATCH(orders!$D168,products!$A$1:$A$49,0),MATCH(orders!J$1,products!$A$1:$G$1,0))</f>
        <v>D</v>
      </c>
      <c r="K168" s="7">
        <f>INDEX(products!$A$1:$G$49,MATCH(orders!$D168,products!$A$1:$A$49,0),MATCH(orders!K$1,products!$A$1:$G$1,0))</f>
        <v>0.5</v>
      </c>
      <c r="L168" s="4">
        <f>INDEX(products!$A$1:$G$49,MATCH(orders!$D168,products!$A$1:$A$49,0),MATCH(orders!L$1,products!$A$1:$G$1,0))</f>
        <v>5.3699999999999992</v>
      </c>
      <c r="M168" s="4">
        <f t="shared" si="2"/>
        <v>26.849999999999994</v>
      </c>
      <c r="N168" t="str" cm="1">
        <f t="array" ref="N168">_xlfn.IFS(I168="Rob","Robusta",I168="Exc","Excelsa",I168="Ara","Arabica",I168="Lib","Liberica")</f>
        <v>Robusta</v>
      </c>
      <c r="O168" t="str" cm="1">
        <f t="array" ref="O168">_xlfn.IFS(J168="M","Medium",J168="L","Large",J168="D","Dark")</f>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_xlfn.XLOOKUP(C169,customers!$A$1:$A$1001,customers!$B$1:$B$1001,,0)</f>
        <v>Tamarah Fero</v>
      </c>
      <c r="G169" s="2" t="str">
        <f>IF(_xlfn.XLOOKUP(C169,customers!$A$1:$A$1001,customers!$C$1:$C$1001,,0)=0,"",_xlfn.XLOOKUP(C169,customers!$A$1:$A$1001,customers!$C$1:$C$1001,,0))</f>
        <v>tfero4n@comsenz.com</v>
      </c>
      <c r="H169" s="2" t="str">
        <f>_xlfn.XLOOKUP(C169,customers!$A$1:$A$1001,customers!$G$1:$G$1001,,0)</f>
        <v>United States</v>
      </c>
      <c r="I169" t="str">
        <f>INDEX(products!$A$1:$G$49,MATCH(orders!$D169,products!$A$1:$A$49,0),MATCH(orders!I$1,products!$A$1:$G$1,0))</f>
        <v>Exc</v>
      </c>
      <c r="J169" t="str">
        <f>INDEX(products!$A$1:$G$49,MATCH(orders!$D169,products!$A$1:$A$49,0),MATCH(orders!J$1,products!$A$1:$G$1,0))</f>
        <v>M</v>
      </c>
      <c r="K169" s="7">
        <f>INDEX(products!$A$1:$G$49,MATCH(orders!$D169,products!$A$1:$A$49,0),MATCH(orders!K$1,products!$A$1:$G$1,0))</f>
        <v>0.5</v>
      </c>
      <c r="L169" s="4">
        <f>INDEX(products!$A$1:$G$49,MATCH(orders!$D169,products!$A$1:$A$49,0),MATCH(orders!L$1,products!$A$1:$G$1,0))</f>
        <v>8.25</v>
      </c>
      <c r="M169" s="4">
        <f t="shared" si="2"/>
        <v>41.25</v>
      </c>
      <c r="N169" t="str" cm="1">
        <f t="array" ref="N169">_xlfn.IFS(I169="Rob","Robusta",I169="Exc","Excelsa",I169="Ara","Arabica",I169="Lib","Liberica")</f>
        <v>Excelsa</v>
      </c>
      <c r="O169" t="str" cm="1">
        <f t="array" ref="O169">_xlfn.IFS(J169="M","Medium",J169="L","Large",J169="D","Dark")</f>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_xlfn.XLOOKUP(C170,customers!$A$1:$A$1001,customers!$B$1:$B$1001,,0)</f>
        <v>Stanislaus Valsler</v>
      </c>
      <c r="G170" s="2" t="str">
        <f>IF(_xlfn.XLOOKUP(C170,customers!$A$1:$A$1001,customers!$C$1:$C$1001,,0)=0,"",_xlfn.XLOOKUP(C170,customers!$A$1:$A$1001,customers!$C$1:$C$1001,,0))</f>
        <v/>
      </c>
      <c r="H170" s="2" t="str">
        <f>_xlfn.XLOOKUP(C170,customers!$A$1:$A$1001,customers!$G$1:$G$1001,,0)</f>
        <v>Ireland</v>
      </c>
      <c r="I170" t="str">
        <f>INDEX(products!$A$1:$G$49,MATCH(orders!$D170,products!$A$1:$A$49,0),MATCH(orders!I$1,products!$A$1:$G$1,0))</f>
        <v>Ara</v>
      </c>
      <c r="J170" t="str">
        <f>INDEX(products!$A$1:$G$49,MATCH(orders!$D170,products!$A$1:$A$49,0),MATCH(orders!J$1,products!$A$1:$G$1,0))</f>
        <v>M</v>
      </c>
      <c r="K170" s="7">
        <f>INDEX(products!$A$1:$G$49,MATCH(orders!$D170,products!$A$1:$A$49,0),MATCH(orders!K$1,products!$A$1:$G$1,0))</f>
        <v>0.5</v>
      </c>
      <c r="L170" s="4">
        <f>INDEX(products!$A$1:$G$49,MATCH(orders!$D170,products!$A$1:$A$49,0),MATCH(orders!L$1,products!$A$1:$G$1,0))</f>
        <v>6.75</v>
      </c>
      <c r="M170" s="4">
        <f t="shared" si="2"/>
        <v>40.5</v>
      </c>
      <c r="N170" t="str" cm="1">
        <f t="array" ref="N170">_xlfn.IFS(I170="Rob","Robusta",I170="Exc","Excelsa",I170="Ara","Arabica",I170="Lib","Liberica")</f>
        <v>Arabica</v>
      </c>
      <c r="O170" t="str" cm="1">
        <f t="array" ref="O170">_xlfn.IFS(J170="M","Medium",J170="L","Large",J170="D","Dark")</f>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_xlfn.XLOOKUP(C171,customers!$A$1:$A$1001,customers!$B$1:$B$1001,,0)</f>
        <v>Felita Dauney</v>
      </c>
      <c r="G171" s="2" t="str">
        <f>IF(_xlfn.XLOOKUP(C171,customers!$A$1:$A$1001,customers!$C$1:$C$1001,,0)=0,"",_xlfn.XLOOKUP(C171,customers!$A$1:$A$1001,customers!$C$1:$C$1001,,0))</f>
        <v>fdauney4p@sphinn.com</v>
      </c>
      <c r="H171" s="2" t="str">
        <f>_xlfn.XLOOKUP(C171,customers!$A$1:$A$1001,customers!$G$1:$G$1001,,0)</f>
        <v>Ireland</v>
      </c>
      <c r="I171" t="str">
        <f>INDEX(products!$A$1:$G$49,MATCH(orders!$D171,products!$A$1:$A$49,0),MATCH(orders!I$1,products!$A$1:$G$1,0))</f>
        <v>Rob</v>
      </c>
      <c r="J171" t="str">
        <f>INDEX(products!$A$1:$G$49,MATCH(orders!$D171,products!$A$1:$A$49,0),MATCH(orders!J$1,products!$A$1:$G$1,0))</f>
        <v>D</v>
      </c>
      <c r="K171" s="7">
        <f>INDEX(products!$A$1:$G$49,MATCH(orders!$D171,products!$A$1:$A$49,0),MATCH(orders!K$1,products!$A$1:$G$1,0))</f>
        <v>1</v>
      </c>
      <c r="L171" s="4">
        <f>INDEX(products!$A$1:$G$49,MATCH(orders!$D171,products!$A$1:$A$49,0),MATCH(orders!L$1,products!$A$1:$G$1,0))</f>
        <v>8.9499999999999993</v>
      </c>
      <c r="M171" s="4">
        <f t="shared" si="2"/>
        <v>17.899999999999999</v>
      </c>
      <c r="N171" t="str" cm="1">
        <f t="array" ref="N171">_xlfn.IFS(I171="Rob","Robusta",I171="Exc","Excelsa",I171="Ara","Arabica",I171="Lib","Liberica")</f>
        <v>Robusta</v>
      </c>
      <c r="O171" t="str" cm="1">
        <f t="array" ref="O171">_xlfn.IFS(J171="M","Medium",J171="L","Large",J171="D","Dark")</f>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_xlfn.XLOOKUP(C172,customers!$A$1:$A$1001,customers!$B$1:$B$1001,,0)</f>
        <v>Serena Earley</v>
      </c>
      <c r="G172" s="2" t="str">
        <f>IF(_xlfn.XLOOKUP(C172,customers!$A$1:$A$1001,customers!$C$1:$C$1001,,0)=0,"",_xlfn.XLOOKUP(C172,customers!$A$1:$A$1001,customers!$C$1:$C$1001,,0))</f>
        <v>searley4q@youku.com</v>
      </c>
      <c r="H172" s="2" t="str">
        <f>_xlfn.XLOOKUP(C172,customers!$A$1:$A$1001,customers!$G$1:$G$1001,,0)</f>
        <v>United Kingdom</v>
      </c>
      <c r="I172" t="str">
        <f>INDEX(products!$A$1:$G$49,MATCH(orders!$D172,products!$A$1:$A$49,0),MATCH(orders!I$1,products!$A$1:$G$1,0))</f>
        <v>Exc</v>
      </c>
      <c r="J172" t="str">
        <f>INDEX(products!$A$1:$G$49,MATCH(orders!$D172,products!$A$1:$A$49,0),MATCH(orders!J$1,products!$A$1:$G$1,0))</f>
        <v>L</v>
      </c>
      <c r="K172" s="7">
        <f>INDEX(products!$A$1:$G$49,MATCH(orders!$D172,products!$A$1:$A$49,0),MATCH(orders!K$1,products!$A$1:$G$1,0))</f>
        <v>2.5</v>
      </c>
      <c r="L172" s="4">
        <f>INDEX(products!$A$1:$G$49,MATCH(orders!$D172,products!$A$1:$A$49,0),MATCH(orders!L$1,products!$A$1:$G$1,0))</f>
        <v>34.154999999999994</v>
      </c>
      <c r="M172" s="4">
        <f t="shared" si="2"/>
        <v>68.309999999999988</v>
      </c>
      <c r="N172" t="str" cm="1">
        <f t="array" ref="N172">_xlfn.IFS(I172="Rob","Robusta",I172="Exc","Excelsa",I172="Ara","Arabica",I172="Lib","Liberica")</f>
        <v>Excelsa</v>
      </c>
      <c r="O172" t="str" cm="1">
        <f t="array" ref="O172">_xlfn.IFS(J172="M","Medium",J172="L","Large",J172="D","Dark")</f>
        <v>Large</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_xlfn.XLOOKUP(C173,customers!$A$1:$A$1001,customers!$B$1:$B$1001,,0)</f>
        <v>Minny Chamberlayne</v>
      </c>
      <c r="G173" s="2" t="str">
        <f>IF(_xlfn.XLOOKUP(C173,customers!$A$1:$A$1001,customers!$C$1:$C$1001,,0)=0,"",_xlfn.XLOOKUP(C173,customers!$A$1:$A$1001,customers!$C$1:$C$1001,,0))</f>
        <v>mchamberlayne4r@bigcartel.com</v>
      </c>
      <c r="H173" s="2" t="str">
        <f>_xlfn.XLOOKUP(C173,customers!$A$1:$A$1001,customers!$G$1:$G$1001,,0)</f>
        <v>United States</v>
      </c>
      <c r="I173" t="str">
        <f>INDEX(products!$A$1:$G$49,MATCH(orders!$D173,products!$A$1:$A$49,0),MATCH(orders!I$1,products!$A$1:$G$1,0))</f>
        <v>Exc</v>
      </c>
      <c r="J173" t="str">
        <f>INDEX(products!$A$1:$G$49,MATCH(orders!$D173,products!$A$1:$A$49,0),MATCH(orders!J$1,products!$A$1:$G$1,0))</f>
        <v>M</v>
      </c>
      <c r="K173" s="7">
        <f>INDEX(products!$A$1:$G$49,MATCH(orders!$D173,products!$A$1:$A$49,0),MATCH(orders!K$1,products!$A$1:$G$1,0))</f>
        <v>2.5</v>
      </c>
      <c r="L173" s="4">
        <f>INDEX(products!$A$1:$G$49,MATCH(orders!$D173,products!$A$1:$A$49,0),MATCH(orders!L$1,products!$A$1:$G$1,0))</f>
        <v>31.624999999999996</v>
      </c>
      <c r="M173" s="4">
        <f t="shared" si="2"/>
        <v>63.249999999999993</v>
      </c>
      <c r="N173" t="str" cm="1">
        <f t="array" ref="N173">_xlfn.IFS(I173="Rob","Robusta",I173="Exc","Excelsa",I173="Ara","Arabica",I173="Lib","Liberica")</f>
        <v>Excelsa</v>
      </c>
      <c r="O173" t="str" cm="1">
        <f t="array" ref="O173">_xlfn.IFS(J173="M","Medium",J173="L","Large",J173="D","Dark")</f>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_xlfn.XLOOKUP(C174,customers!$A$1:$A$1001,customers!$B$1:$B$1001,,0)</f>
        <v>Bartholemy Flaherty</v>
      </c>
      <c r="G174" s="2" t="str">
        <f>IF(_xlfn.XLOOKUP(C174,customers!$A$1:$A$1001,customers!$C$1:$C$1001,,0)=0,"",_xlfn.XLOOKUP(C174,customers!$A$1:$A$1001,customers!$C$1:$C$1001,,0))</f>
        <v>bflaherty4s@moonfruit.com</v>
      </c>
      <c r="H174" s="2" t="str">
        <f>_xlfn.XLOOKUP(C174,customers!$A$1:$A$1001,customers!$G$1:$G$1001,,0)</f>
        <v>Ireland</v>
      </c>
      <c r="I174" t="str">
        <f>INDEX(products!$A$1:$G$49,MATCH(orders!$D174,products!$A$1:$A$49,0),MATCH(orders!I$1,products!$A$1:$G$1,0))</f>
        <v>Exc</v>
      </c>
      <c r="J174" t="str">
        <f>INDEX(products!$A$1:$G$49,MATCH(orders!$D174,products!$A$1:$A$49,0),MATCH(orders!J$1,products!$A$1:$G$1,0))</f>
        <v>D</v>
      </c>
      <c r="K174" s="7">
        <f>INDEX(products!$A$1:$G$49,MATCH(orders!$D174,products!$A$1:$A$49,0),MATCH(orders!K$1,products!$A$1:$G$1,0))</f>
        <v>0.5</v>
      </c>
      <c r="L174" s="4">
        <f>INDEX(products!$A$1:$G$49,MATCH(orders!$D174,products!$A$1:$A$49,0),MATCH(orders!L$1,products!$A$1:$G$1,0))</f>
        <v>7.29</v>
      </c>
      <c r="M174" s="4">
        <f t="shared" si="2"/>
        <v>21.87</v>
      </c>
      <c r="N174" t="str" cm="1">
        <f t="array" ref="N174">_xlfn.IFS(I174="Rob","Robusta",I174="Exc","Excelsa",I174="Ara","Arabica",I174="Lib","Liberica")</f>
        <v>Excelsa</v>
      </c>
      <c r="O174" t="str" cm="1">
        <f t="array" ref="O174">_xlfn.IFS(J174="M","Medium",J174="L","Large",J174="D","Dark")</f>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_xlfn.XLOOKUP(C175,customers!$A$1:$A$1001,customers!$B$1:$B$1001,,0)</f>
        <v>Oran Colbeck</v>
      </c>
      <c r="G175" s="2" t="str">
        <f>IF(_xlfn.XLOOKUP(C175,customers!$A$1:$A$1001,customers!$C$1:$C$1001,,0)=0,"",_xlfn.XLOOKUP(C175,customers!$A$1:$A$1001,customers!$C$1:$C$1001,,0))</f>
        <v>ocolbeck4t@sina.com.cn</v>
      </c>
      <c r="H175" s="2" t="str">
        <f>_xlfn.XLOOKUP(C175,customers!$A$1:$A$1001,customers!$G$1:$G$1001,,0)</f>
        <v>United States</v>
      </c>
      <c r="I175" t="str">
        <f>INDEX(products!$A$1:$G$49,MATCH(orders!$D175,products!$A$1:$A$49,0),MATCH(orders!I$1,products!$A$1:$G$1,0))</f>
        <v>Rob</v>
      </c>
      <c r="J175" t="str">
        <f>INDEX(products!$A$1:$G$49,MATCH(orders!$D175,products!$A$1:$A$49,0),MATCH(orders!J$1,products!$A$1:$G$1,0))</f>
        <v>M</v>
      </c>
      <c r="K175" s="7">
        <f>INDEX(products!$A$1:$G$49,MATCH(orders!$D175,products!$A$1:$A$49,0),MATCH(orders!K$1,products!$A$1:$G$1,0))</f>
        <v>2.5</v>
      </c>
      <c r="L175" s="4">
        <f>INDEX(products!$A$1:$G$49,MATCH(orders!$D175,products!$A$1:$A$49,0),MATCH(orders!L$1,products!$A$1:$G$1,0))</f>
        <v>22.884999999999998</v>
      </c>
      <c r="M175" s="4">
        <f t="shared" si="2"/>
        <v>91.539999999999992</v>
      </c>
      <c r="N175" t="str" cm="1">
        <f t="array" ref="N175">_xlfn.IFS(I175="Rob","Robusta",I175="Exc","Excelsa",I175="Ara","Arabica",I175="Lib","Liberica")</f>
        <v>Robusta</v>
      </c>
      <c r="O175" t="str" cm="1">
        <f t="array" ref="O175">_xlfn.IFS(J175="M","Medium",J175="L","Large",J175="D","Dark")</f>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_xlfn.XLOOKUP(C176,customers!$A$1:$A$1001,customers!$B$1:$B$1001,,0)</f>
        <v>Elysee Sketch</v>
      </c>
      <c r="G176" s="2" t="str">
        <f>IF(_xlfn.XLOOKUP(C176,customers!$A$1:$A$1001,customers!$C$1:$C$1001,,0)=0,"",_xlfn.XLOOKUP(C176,customers!$A$1:$A$1001,customers!$C$1:$C$1001,,0))</f>
        <v/>
      </c>
      <c r="H176" s="2" t="str">
        <f>_xlfn.XLOOKUP(C176,customers!$A$1:$A$1001,customers!$G$1:$G$1001,,0)</f>
        <v>United States</v>
      </c>
      <c r="I176" t="str">
        <f>INDEX(products!$A$1:$G$49,MATCH(orders!$D176,products!$A$1:$A$49,0),MATCH(orders!I$1,products!$A$1:$G$1,0))</f>
        <v>Exc</v>
      </c>
      <c r="J176" t="str">
        <f>INDEX(products!$A$1:$G$49,MATCH(orders!$D176,products!$A$1:$A$49,0),MATCH(orders!J$1,products!$A$1:$G$1,0))</f>
        <v>L</v>
      </c>
      <c r="K176" s="7">
        <f>INDEX(products!$A$1:$G$49,MATCH(orders!$D176,products!$A$1:$A$49,0),MATCH(orders!K$1,products!$A$1:$G$1,0))</f>
        <v>2.5</v>
      </c>
      <c r="L176" s="4">
        <f>INDEX(products!$A$1:$G$49,MATCH(orders!$D176,products!$A$1:$A$49,0),MATCH(orders!L$1,products!$A$1:$G$1,0))</f>
        <v>34.154999999999994</v>
      </c>
      <c r="M176" s="4">
        <f t="shared" si="2"/>
        <v>204.92999999999995</v>
      </c>
      <c r="N176" t="str" cm="1">
        <f t="array" ref="N176">_xlfn.IFS(I176="Rob","Robusta",I176="Exc","Excelsa",I176="Ara","Arabica",I176="Lib","Liberica")</f>
        <v>Excelsa</v>
      </c>
      <c r="O176" t="str" cm="1">
        <f t="array" ref="O176">_xlfn.IFS(J176="M","Medium",J176="L","Large",J176="D","Dark")</f>
        <v>Large</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_xlfn.XLOOKUP(C177,customers!$A$1:$A$1001,customers!$B$1:$B$1001,,0)</f>
        <v>Ethelda Hobbing</v>
      </c>
      <c r="G177" s="2" t="str">
        <f>IF(_xlfn.XLOOKUP(C177,customers!$A$1:$A$1001,customers!$C$1:$C$1001,,0)=0,"",_xlfn.XLOOKUP(C177,customers!$A$1:$A$1001,customers!$C$1:$C$1001,,0))</f>
        <v>ehobbing4v@nsw.gov.au</v>
      </c>
      <c r="H177" s="2" t="str">
        <f>_xlfn.XLOOKUP(C177,customers!$A$1:$A$1001,customers!$G$1:$G$1001,,0)</f>
        <v>United States</v>
      </c>
      <c r="I177" t="str">
        <f>INDEX(products!$A$1:$G$49,MATCH(orders!$D177,products!$A$1:$A$49,0),MATCH(orders!I$1,products!$A$1:$G$1,0))</f>
        <v>Exc</v>
      </c>
      <c r="J177" t="str">
        <f>INDEX(products!$A$1:$G$49,MATCH(orders!$D177,products!$A$1:$A$49,0),MATCH(orders!J$1,products!$A$1:$G$1,0))</f>
        <v>M</v>
      </c>
      <c r="K177" s="7">
        <f>INDEX(products!$A$1:$G$49,MATCH(orders!$D177,products!$A$1:$A$49,0),MATCH(orders!K$1,products!$A$1:$G$1,0))</f>
        <v>2.5</v>
      </c>
      <c r="L177" s="4">
        <f>INDEX(products!$A$1:$G$49,MATCH(orders!$D177,products!$A$1:$A$49,0),MATCH(orders!L$1,products!$A$1:$G$1,0))</f>
        <v>31.624999999999996</v>
      </c>
      <c r="M177" s="4">
        <f t="shared" si="2"/>
        <v>63.249999999999993</v>
      </c>
      <c r="N177" t="str" cm="1">
        <f t="array" ref="N177">_xlfn.IFS(I177="Rob","Robusta",I177="Exc","Excelsa",I177="Ara","Arabica",I177="Lib","Liberica")</f>
        <v>Excelsa</v>
      </c>
      <c r="O177" t="str" cm="1">
        <f t="array" ref="O177">_xlfn.IFS(J177="M","Medium",J177="L","Large",J177="D","Dark")</f>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_xlfn.XLOOKUP(C178,customers!$A$1:$A$1001,customers!$B$1:$B$1001,,0)</f>
        <v>Odille Thynne</v>
      </c>
      <c r="G178" s="2" t="str">
        <f>IF(_xlfn.XLOOKUP(C178,customers!$A$1:$A$1001,customers!$C$1:$C$1001,,0)=0,"",_xlfn.XLOOKUP(C178,customers!$A$1:$A$1001,customers!$C$1:$C$1001,,0))</f>
        <v>othynne4w@auda.org.au</v>
      </c>
      <c r="H178" s="2" t="str">
        <f>_xlfn.XLOOKUP(C178,customers!$A$1:$A$1001,customers!$G$1:$G$1001,,0)</f>
        <v>United States</v>
      </c>
      <c r="I178" t="str">
        <f>INDEX(products!$A$1:$G$49,MATCH(orders!$D178,products!$A$1:$A$49,0),MATCH(orders!I$1,products!$A$1:$G$1,0))</f>
        <v>Exc</v>
      </c>
      <c r="J178" t="str">
        <f>INDEX(products!$A$1:$G$49,MATCH(orders!$D178,products!$A$1:$A$49,0),MATCH(orders!J$1,products!$A$1:$G$1,0))</f>
        <v>L</v>
      </c>
      <c r="K178" s="7">
        <f>INDEX(products!$A$1:$G$49,MATCH(orders!$D178,products!$A$1:$A$49,0),MATCH(orders!K$1,products!$A$1:$G$1,0))</f>
        <v>2.5</v>
      </c>
      <c r="L178" s="4">
        <f>INDEX(products!$A$1:$G$49,MATCH(orders!$D178,products!$A$1:$A$49,0),MATCH(orders!L$1,products!$A$1:$G$1,0))</f>
        <v>34.154999999999994</v>
      </c>
      <c r="M178" s="4">
        <f t="shared" si="2"/>
        <v>34.154999999999994</v>
      </c>
      <c r="N178" t="str" cm="1">
        <f t="array" ref="N178">_xlfn.IFS(I178="Rob","Robusta",I178="Exc","Excelsa",I178="Ara","Arabica",I178="Lib","Liberica")</f>
        <v>Excelsa</v>
      </c>
      <c r="O178" t="str" cm="1">
        <f t="array" ref="O178">_xlfn.IFS(J178="M","Medium",J178="L","Large",J178="D","Dark")</f>
        <v>Large</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_xlfn.XLOOKUP(C179,customers!$A$1:$A$1001,customers!$B$1:$B$1001,,0)</f>
        <v>Emlynne Heining</v>
      </c>
      <c r="G179" s="2" t="str">
        <f>IF(_xlfn.XLOOKUP(C179,customers!$A$1:$A$1001,customers!$C$1:$C$1001,,0)=0,"",_xlfn.XLOOKUP(C179,customers!$A$1:$A$1001,customers!$C$1:$C$1001,,0))</f>
        <v>eheining4x@flickr.com</v>
      </c>
      <c r="H179" s="2" t="str">
        <f>_xlfn.XLOOKUP(C179,customers!$A$1:$A$1001,customers!$G$1:$G$1001,,0)</f>
        <v>United States</v>
      </c>
      <c r="I179" t="str">
        <f>INDEX(products!$A$1:$G$49,MATCH(orders!$D179,products!$A$1:$A$49,0),MATCH(orders!I$1,products!$A$1:$G$1,0))</f>
        <v>Rob</v>
      </c>
      <c r="J179" t="str">
        <f>INDEX(products!$A$1:$G$49,MATCH(orders!$D179,products!$A$1:$A$49,0),MATCH(orders!J$1,products!$A$1:$G$1,0))</f>
        <v>L</v>
      </c>
      <c r="K179" s="7">
        <f>INDEX(products!$A$1:$G$49,MATCH(orders!$D179,products!$A$1:$A$49,0),MATCH(orders!K$1,products!$A$1:$G$1,0))</f>
        <v>2.5</v>
      </c>
      <c r="L179" s="4">
        <f>INDEX(products!$A$1:$G$49,MATCH(orders!$D179,products!$A$1:$A$49,0),MATCH(orders!L$1,products!$A$1:$G$1,0))</f>
        <v>27.484999999999996</v>
      </c>
      <c r="M179" s="4">
        <f t="shared" si="2"/>
        <v>109.93999999999998</v>
      </c>
      <c r="N179" t="str" cm="1">
        <f t="array" ref="N179">_xlfn.IFS(I179="Rob","Robusta",I179="Exc","Excelsa",I179="Ara","Arabica",I179="Lib","Liberica")</f>
        <v>Robusta</v>
      </c>
      <c r="O179" t="str" cm="1">
        <f t="array" ref="O179">_xlfn.IFS(J179="M","Medium",J179="L","Large",J179="D","Dark")</f>
        <v>Large</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_xlfn.XLOOKUP(C180,customers!$A$1:$A$1001,customers!$B$1:$B$1001,,0)</f>
        <v>Katerina Melloi</v>
      </c>
      <c r="G180" s="2" t="str">
        <f>IF(_xlfn.XLOOKUP(C180,customers!$A$1:$A$1001,customers!$C$1:$C$1001,,0)=0,"",_xlfn.XLOOKUP(C180,customers!$A$1:$A$1001,customers!$C$1:$C$1001,,0))</f>
        <v>kmelloi4y@imdb.com</v>
      </c>
      <c r="H180" s="2" t="str">
        <f>_xlfn.XLOOKUP(C180,customers!$A$1:$A$1001,customers!$G$1:$G$1001,,0)</f>
        <v>United States</v>
      </c>
      <c r="I180" t="str">
        <f>INDEX(products!$A$1:$G$49,MATCH(orders!$D180,products!$A$1:$A$49,0),MATCH(orders!I$1,products!$A$1:$G$1,0))</f>
        <v>Ara</v>
      </c>
      <c r="J180" t="str">
        <f>INDEX(products!$A$1:$G$49,MATCH(orders!$D180,products!$A$1:$A$49,0),MATCH(orders!J$1,products!$A$1:$G$1,0))</f>
        <v>L</v>
      </c>
      <c r="K180" s="7">
        <f>INDEX(products!$A$1:$G$49,MATCH(orders!$D180,products!$A$1:$A$49,0),MATCH(orders!K$1,products!$A$1:$G$1,0))</f>
        <v>1</v>
      </c>
      <c r="L180" s="4">
        <f>INDEX(products!$A$1:$G$49,MATCH(orders!$D180,products!$A$1:$A$49,0),MATCH(orders!L$1,products!$A$1:$G$1,0))</f>
        <v>12.95</v>
      </c>
      <c r="M180" s="4">
        <f t="shared" si="2"/>
        <v>25.9</v>
      </c>
      <c r="N180" t="str" cm="1">
        <f t="array" ref="N180">_xlfn.IFS(I180="Rob","Robusta",I180="Exc","Excelsa",I180="Ara","Arabica",I180="Lib","Liberica")</f>
        <v>Arabica</v>
      </c>
      <c r="O180" t="str" cm="1">
        <f t="array" ref="O180">_xlfn.IFS(J180="M","Medium",J180="L","Large",J180="D","Dark")</f>
        <v>Large</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_xlfn.XLOOKUP(C181,customers!$A$1:$A$1001,customers!$B$1:$B$1001,,0)</f>
        <v>Tiffany Scardafield</v>
      </c>
      <c r="G181" s="2" t="str">
        <f>IF(_xlfn.XLOOKUP(C181,customers!$A$1:$A$1001,customers!$C$1:$C$1001,,0)=0,"",_xlfn.XLOOKUP(C181,customers!$A$1:$A$1001,customers!$C$1:$C$1001,,0))</f>
        <v/>
      </c>
      <c r="H181" s="2" t="str">
        <f>_xlfn.XLOOKUP(C181,customers!$A$1:$A$1001,customers!$G$1:$G$1001,,0)</f>
        <v>Ireland</v>
      </c>
      <c r="I181" t="str">
        <f>INDEX(products!$A$1:$G$49,MATCH(orders!$D181,products!$A$1:$A$49,0),MATCH(orders!I$1,products!$A$1:$G$1,0))</f>
        <v>Ara</v>
      </c>
      <c r="J181" t="str">
        <f>INDEX(products!$A$1:$G$49,MATCH(orders!$D181,products!$A$1:$A$49,0),MATCH(orders!J$1,products!$A$1:$G$1,0))</f>
        <v>D</v>
      </c>
      <c r="K181" s="7">
        <f>INDEX(products!$A$1:$G$49,MATCH(orders!$D181,products!$A$1:$A$49,0),MATCH(orders!K$1,products!$A$1:$G$1,0))</f>
        <v>0.2</v>
      </c>
      <c r="L181" s="4">
        <f>INDEX(products!$A$1:$G$49,MATCH(orders!$D181,products!$A$1:$A$49,0),MATCH(orders!L$1,products!$A$1:$G$1,0))</f>
        <v>2.9849999999999999</v>
      </c>
      <c r="M181" s="4">
        <f t="shared" si="2"/>
        <v>2.9849999999999999</v>
      </c>
      <c r="N181" t="str" cm="1">
        <f t="array" ref="N181">_xlfn.IFS(I181="Rob","Robusta",I181="Exc","Excelsa",I181="Ara","Arabica",I181="Lib","Liberica")</f>
        <v>Arabica</v>
      </c>
      <c r="O181" t="str" cm="1">
        <f t="array" ref="O181">_xlfn.IFS(J181="M","Medium",J181="L","Large",J181="D","Dark")</f>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_xlfn.XLOOKUP(C182,customers!$A$1:$A$1001,customers!$B$1:$B$1001,,0)</f>
        <v>Abrahan Mussen</v>
      </c>
      <c r="G182" s="2" t="str">
        <f>IF(_xlfn.XLOOKUP(C182,customers!$A$1:$A$1001,customers!$C$1:$C$1001,,0)=0,"",_xlfn.XLOOKUP(C182,customers!$A$1:$A$1001,customers!$C$1:$C$1001,,0))</f>
        <v>amussen50@51.la</v>
      </c>
      <c r="H182" s="2" t="str">
        <f>_xlfn.XLOOKUP(C182,customers!$A$1:$A$1001,customers!$G$1:$G$1001,,0)</f>
        <v>United States</v>
      </c>
      <c r="I182" t="str">
        <f>INDEX(products!$A$1:$G$49,MATCH(orders!$D182,products!$A$1:$A$49,0),MATCH(orders!I$1,products!$A$1:$G$1,0))</f>
        <v>Exc</v>
      </c>
      <c r="J182" t="str">
        <f>INDEX(products!$A$1:$G$49,MATCH(orders!$D182,products!$A$1:$A$49,0),MATCH(orders!J$1,products!$A$1:$G$1,0))</f>
        <v>L</v>
      </c>
      <c r="K182" s="7">
        <f>INDEX(products!$A$1:$G$49,MATCH(orders!$D182,products!$A$1:$A$49,0),MATCH(orders!K$1,products!$A$1:$G$1,0))</f>
        <v>0.2</v>
      </c>
      <c r="L182" s="4">
        <f>INDEX(products!$A$1:$G$49,MATCH(orders!$D182,products!$A$1:$A$49,0),MATCH(orders!L$1,products!$A$1:$G$1,0))</f>
        <v>4.4550000000000001</v>
      </c>
      <c r="M182" s="4">
        <f t="shared" si="2"/>
        <v>22.274999999999999</v>
      </c>
      <c r="N182" t="str" cm="1">
        <f t="array" ref="N182">_xlfn.IFS(I182="Rob","Robusta",I182="Exc","Excelsa",I182="Ara","Arabica",I182="Lib","Liberica")</f>
        <v>Excelsa</v>
      </c>
      <c r="O182" t="str" cm="1">
        <f t="array" ref="O182">_xlfn.IFS(J182="M","Medium",J182="L","Large",J182="D","Dark")</f>
        <v>Large</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_xlfn.XLOOKUP(C183,customers!$A$1:$A$1001,customers!$B$1:$B$1001,,0)</f>
        <v>Abrahan Mussen</v>
      </c>
      <c r="G183" s="2" t="str">
        <f>IF(_xlfn.XLOOKUP(C183,customers!$A$1:$A$1001,customers!$C$1:$C$1001,,0)=0,"",_xlfn.XLOOKUP(C183,customers!$A$1:$A$1001,customers!$C$1:$C$1001,,0))</f>
        <v>amussen50@51.la</v>
      </c>
      <c r="H183" s="2" t="str">
        <f>_xlfn.XLOOKUP(C183,customers!$A$1:$A$1001,customers!$G$1:$G$1001,,0)</f>
        <v>United States</v>
      </c>
      <c r="I183" t="str">
        <f>INDEX(products!$A$1:$G$49,MATCH(orders!$D183,products!$A$1:$A$49,0),MATCH(orders!I$1,products!$A$1:$G$1,0))</f>
        <v>Ara</v>
      </c>
      <c r="J183" t="str">
        <f>INDEX(products!$A$1:$G$49,MATCH(orders!$D183,products!$A$1:$A$49,0),MATCH(orders!J$1,products!$A$1:$G$1,0))</f>
        <v>D</v>
      </c>
      <c r="K183" s="7">
        <f>INDEX(products!$A$1:$G$49,MATCH(orders!$D183,products!$A$1:$A$49,0),MATCH(orders!K$1,products!$A$1:$G$1,0))</f>
        <v>0.5</v>
      </c>
      <c r="L183" s="4">
        <f>INDEX(products!$A$1:$G$49,MATCH(orders!$D183,products!$A$1:$A$49,0),MATCH(orders!L$1,products!$A$1:$G$1,0))</f>
        <v>5.97</v>
      </c>
      <c r="M183" s="4">
        <f t="shared" si="2"/>
        <v>29.849999999999998</v>
      </c>
      <c r="N183" t="str" cm="1">
        <f t="array" ref="N183">_xlfn.IFS(I183="Rob","Robusta",I183="Exc","Excelsa",I183="Ara","Arabica",I183="Lib","Liberica")</f>
        <v>Arabica</v>
      </c>
      <c r="O183" t="str" cm="1">
        <f t="array" ref="O183">_xlfn.IFS(J183="M","Medium",J183="L","Large",J183="D","Dark")</f>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_xlfn.XLOOKUP(C184,customers!$A$1:$A$1001,customers!$B$1:$B$1001,,0)</f>
        <v>Anny Mundford</v>
      </c>
      <c r="G184" s="2" t="str">
        <f>IF(_xlfn.XLOOKUP(C184,customers!$A$1:$A$1001,customers!$C$1:$C$1001,,0)=0,"",_xlfn.XLOOKUP(C184,customers!$A$1:$A$1001,customers!$C$1:$C$1001,,0))</f>
        <v>amundford52@nbcnews.com</v>
      </c>
      <c r="H184" s="2" t="str">
        <f>_xlfn.XLOOKUP(C184,customers!$A$1:$A$1001,customers!$G$1:$G$1001,,0)</f>
        <v>United States</v>
      </c>
      <c r="I184" t="str">
        <f>INDEX(products!$A$1:$G$49,MATCH(orders!$D184,products!$A$1:$A$49,0),MATCH(orders!I$1,products!$A$1:$G$1,0))</f>
        <v>Rob</v>
      </c>
      <c r="J184" t="str">
        <f>INDEX(products!$A$1:$G$49,MATCH(orders!$D184,products!$A$1:$A$49,0),MATCH(orders!J$1,products!$A$1:$G$1,0))</f>
        <v>D</v>
      </c>
      <c r="K184" s="7">
        <f>INDEX(products!$A$1:$G$49,MATCH(orders!$D184,products!$A$1:$A$49,0),MATCH(orders!K$1,products!$A$1:$G$1,0))</f>
        <v>0.5</v>
      </c>
      <c r="L184" s="4">
        <f>INDEX(products!$A$1:$G$49,MATCH(orders!$D184,products!$A$1:$A$49,0),MATCH(orders!L$1,products!$A$1:$G$1,0))</f>
        <v>5.3699999999999992</v>
      </c>
      <c r="M184" s="4">
        <f t="shared" si="2"/>
        <v>32.22</v>
      </c>
      <c r="N184" t="str" cm="1">
        <f t="array" ref="N184">_xlfn.IFS(I184="Rob","Robusta",I184="Exc","Excelsa",I184="Ara","Arabica",I184="Lib","Liberica")</f>
        <v>Robusta</v>
      </c>
      <c r="O184" t="str" cm="1">
        <f t="array" ref="O184">_xlfn.IFS(J184="M","Medium",J184="L","Large",J184="D","Dark")</f>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_xlfn.XLOOKUP(C185,customers!$A$1:$A$1001,customers!$B$1:$B$1001,,0)</f>
        <v>Tory Walas</v>
      </c>
      <c r="G185" s="2" t="str">
        <f>IF(_xlfn.XLOOKUP(C185,customers!$A$1:$A$1001,customers!$C$1:$C$1001,,0)=0,"",_xlfn.XLOOKUP(C185,customers!$A$1:$A$1001,customers!$C$1:$C$1001,,0))</f>
        <v>twalas53@google.ca</v>
      </c>
      <c r="H185" s="2" t="str">
        <f>_xlfn.XLOOKUP(C185,customers!$A$1:$A$1001,customers!$G$1:$G$1001,,0)</f>
        <v>United States</v>
      </c>
      <c r="I185" t="str">
        <f>INDEX(products!$A$1:$G$49,MATCH(orders!$D185,products!$A$1:$A$49,0),MATCH(orders!I$1,products!$A$1:$G$1,0))</f>
        <v>Exc</v>
      </c>
      <c r="J185" t="str">
        <f>INDEX(products!$A$1:$G$49,MATCH(orders!$D185,products!$A$1:$A$49,0),MATCH(orders!J$1,products!$A$1:$G$1,0))</f>
        <v>M</v>
      </c>
      <c r="K185" s="7">
        <f>INDEX(products!$A$1:$G$49,MATCH(orders!$D185,products!$A$1:$A$49,0),MATCH(orders!K$1,products!$A$1:$G$1,0))</f>
        <v>0.2</v>
      </c>
      <c r="L185" s="4">
        <f>INDEX(products!$A$1:$G$49,MATCH(orders!$D185,products!$A$1:$A$49,0),MATCH(orders!L$1,products!$A$1:$G$1,0))</f>
        <v>4.125</v>
      </c>
      <c r="M185" s="4">
        <f t="shared" si="2"/>
        <v>8.25</v>
      </c>
      <c r="N185" t="str" cm="1">
        <f t="array" ref="N185">_xlfn.IFS(I185="Rob","Robusta",I185="Exc","Excelsa",I185="Ara","Arabica",I185="Lib","Liberica")</f>
        <v>Excelsa</v>
      </c>
      <c r="O185" t="str" cm="1">
        <f t="array" ref="O185">_xlfn.IFS(J185="M","Medium",J185="L","Large",J185="D","Dark")</f>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_xlfn.XLOOKUP(C186,customers!$A$1:$A$1001,customers!$B$1:$B$1001,,0)</f>
        <v>Isa Blazewicz</v>
      </c>
      <c r="G186" s="2" t="str">
        <f>IF(_xlfn.XLOOKUP(C186,customers!$A$1:$A$1001,customers!$C$1:$C$1001,,0)=0,"",_xlfn.XLOOKUP(C186,customers!$A$1:$A$1001,customers!$C$1:$C$1001,,0))</f>
        <v>iblazewicz54@thetimes.co.uk</v>
      </c>
      <c r="H186" s="2" t="str">
        <f>_xlfn.XLOOKUP(C186,customers!$A$1:$A$1001,customers!$G$1:$G$1001,,0)</f>
        <v>United States</v>
      </c>
      <c r="I186" t="str">
        <f>INDEX(products!$A$1:$G$49,MATCH(orders!$D186,products!$A$1:$A$49,0),MATCH(orders!I$1,products!$A$1:$G$1,0))</f>
        <v>Ara</v>
      </c>
      <c r="J186" t="str">
        <f>INDEX(products!$A$1:$G$49,MATCH(orders!$D186,products!$A$1:$A$49,0),MATCH(orders!J$1,products!$A$1:$G$1,0))</f>
        <v>L</v>
      </c>
      <c r="K186" s="7">
        <f>INDEX(products!$A$1:$G$49,MATCH(orders!$D186,products!$A$1:$A$49,0),MATCH(orders!K$1,products!$A$1:$G$1,0))</f>
        <v>0.5</v>
      </c>
      <c r="L186" s="4">
        <f>INDEX(products!$A$1:$G$49,MATCH(orders!$D186,products!$A$1:$A$49,0),MATCH(orders!L$1,products!$A$1:$G$1,0))</f>
        <v>7.77</v>
      </c>
      <c r="M186" s="4">
        <f t="shared" si="2"/>
        <v>31.08</v>
      </c>
      <c r="N186" t="str" cm="1">
        <f t="array" ref="N186">_xlfn.IFS(I186="Rob","Robusta",I186="Exc","Excelsa",I186="Ara","Arabica",I186="Lib","Liberica")</f>
        <v>Arabica</v>
      </c>
      <c r="O186" t="str" cm="1">
        <f t="array" ref="O186">_xlfn.IFS(J186="M","Medium",J186="L","Large",J186="D","Dark")</f>
        <v>Large</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_xlfn.XLOOKUP(C187,customers!$A$1:$A$1001,customers!$B$1:$B$1001,,0)</f>
        <v>Angie Rizzetti</v>
      </c>
      <c r="G187" s="2" t="str">
        <f>IF(_xlfn.XLOOKUP(C187,customers!$A$1:$A$1001,customers!$C$1:$C$1001,,0)=0,"",_xlfn.XLOOKUP(C187,customers!$A$1:$A$1001,customers!$C$1:$C$1001,,0))</f>
        <v>arizzetti55@naver.com</v>
      </c>
      <c r="H187" s="2" t="str">
        <f>_xlfn.XLOOKUP(C187,customers!$A$1:$A$1001,customers!$G$1:$G$1001,,0)</f>
        <v>United States</v>
      </c>
      <c r="I187" t="str">
        <f>INDEX(products!$A$1:$G$49,MATCH(orders!$D187,products!$A$1:$A$49,0),MATCH(orders!I$1,products!$A$1:$G$1,0))</f>
        <v>Exc</v>
      </c>
      <c r="J187" t="str">
        <f>INDEX(products!$A$1:$G$49,MATCH(orders!$D187,products!$A$1:$A$49,0),MATCH(orders!J$1,products!$A$1:$G$1,0))</f>
        <v>D</v>
      </c>
      <c r="K187" s="7">
        <f>INDEX(products!$A$1:$G$49,MATCH(orders!$D187,products!$A$1:$A$49,0),MATCH(orders!K$1,products!$A$1:$G$1,0))</f>
        <v>0.5</v>
      </c>
      <c r="L187" s="4">
        <f>INDEX(products!$A$1:$G$49,MATCH(orders!$D187,products!$A$1:$A$49,0),MATCH(orders!L$1,products!$A$1:$G$1,0))</f>
        <v>7.29</v>
      </c>
      <c r="M187" s="4">
        <f t="shared" si="2"/>
        <v>36.450000000000003</v>
      </c>
      <c r="N187" t="str" cm="1">
        <f t="array" ref="N187">_xlfn.IFS(I187="Rob","Robusta",I187="Exc","Excelsa",I187="Ara","Arabica",I187="Lib","Liberica")</f>
        <v>Excelsa</v>
      </c>
      <c r="O187" t="str" cm="1">
        <f t="array" ref="O187">_xlfn.IFS(J187="M","Medium",J187="L","Large",J187="D","Dark")</f>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_xlfn.XLOOKUP(C188,customers!$A$1:$A$1001,customers!$B$1:$B$1001,,0)</f>
        <v>Mord Meriet</v>
      </c>
      <c r="G188" s="2" t="str">
        <f>IF(_xlfn.XLOOKUP(C188,customers!$A$1:$A$1001,customers!$C$1:$C$1001,,0)=0,"",_xlfn.XLOOKUP(C188,customers!$A$1:$A$1001,customers!$C$1:$C$1001,,0))</f>
        <v>mmeriet56@noaa.gov</v>
      </c>
      <c r="H188" s="2" t="str">
        <f>_xlfn.XLOOKUP(C188,customers!$A$1:$A$1001,customers!$G$1:$G$1001,,0)</f>
        <v>United States</v>
      </c>
      <c r="I188" t="str">
        <f>INDEX(products!$A$1:$G$49,MATCH(orders!$D188,products!$A$1:$A$49,0),MATCH(orders!I$1,products!$A$1:$G$1,0))</f>
        <v>Rob</v>
      </c>
      <c r="J188" t="str">
        <f>INDEX(products!$A$1:$G$49,MATCH(orders!$D188,products!$A$1:$A$49,0),MATCH(orders!J$1,products!$A$1:$G$1,0))</f>
        <v>M</v>
      </c>
      <c r="K188" s="7">
        <f>INDEX(products!$A$1:$G$49,MATCH(orders!$D188,products!$A$1:$A$49,0),MATCH(orders!K$1,products!$A$1:$G$1,0))</f>
        <v>2.5</v>
      </c>
      <c r="L188" s="4">
        <f>INDEX(products!$A$1:$G$49,MATCH(orders!$D188,products!$A$1:$A$49,0),MATCH(orders!L$1,products!$A$1:$G$1,0))</f>
        <v>22.884999999999998</v>
      </c>
      <c r="M188" s="4">
        <f t="shared" si="2"/>
        <v>68.655000000000001</v>
      </c>
      <c r="N188" t="str" cm="1">
        <f t="array" ref="N188">_xlfn.IFS(I188="Rob","Robusta",I188="Exc","Excelsa",I188="Ara","Arabica",I188="Lib","Liberica")</f>
        <v>Robusta</v>
      </c>
      <c r="O188" t="str" cm="1">
        <f t="array" ref="O188">_xlfn.IFS(J188="M","Medium",J188="L","Large",J188="D","Dark")</f>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_xlfn.XLOOKUP(C189,customers!$A$1:$A$1001,customers!$B$1:$B$1001,,0)</f>
        <v>Lawrence Pratt</v>
      </c>
      <c r="G189" s="2" t="str">
        <f>IF(_xlfn.XLOOKUP(C189,customers!$A$1:$A$1001,customers!$C$1:$C$1001,,0)=0,"",_xlfn.XLOOKUP(C189,customers!$A$1:$A$1001,customers!$C$1:$C$1001,,0))</f>
        <v>lpratt57@netvibes.com</v>
      </c>
      <c r="H189" s="2" t="str">
        <f>_xlfn.XLOOKUP(C189,customers!$A$1:$A$1001,customers!$G$1:$G$1001,,0)</f>
        <v>United States</v>
      </c>
      <c r="I189" t="str">
        <f>INDEX(products!$A$1:$G$49,MATCH(orders!$D189,products!$A$1:$A$49,0),MATCH(orders!I$1,products!$A$1:$G$1,0))</f>
        <v>Lib</v>
      </c>
      <c r="J189" t="str">
        <f>INDEX(products!$A$1:$G$49,MATCH(orders!$D189,products!$A$1:$A$49,0),MATCH(orders!J$1,products!$A$1:$G$1,0))</f>
        <v>M</v>
      </c>
      <c r="K189" s="7">
        <f>INDEX(products!$A$1:$G$49,MATCH(orders!$D189,products!$A$1:$A$49,0),MATCH(orders!K$1,products!$A$1:$G$1,0))</f>
        <v>0.5</v>
      </c>
      <c r="L189" s="4">
        <f>INDEX(products!$A$1:$G$49,MATCH(orders!$D189,products!$A$1:$A$49,0),MATCH(orders!L$1,products!$A$1:$G$1,0))</f>
        <v>8.73</v>
      </c>
      <c r="M189" s="4">
        <f t="shared" si="2"/>
        <v>43.650000000000006</v>
      </c>
      <c r="N189" t="str" cm="1">
        <f t="array" ref="N189">_xlfn.IFS(I189="Rob","Robusta",I189="Exc","Excelsa",I189="Ara","Arabica",I189="Lib","Liberica")</f>
        <v>Liberica</v>
      </c>
      <c r="O189" t="str" cm="1">
        <f t="array" ref="O189">_xlfn.IFS(J189="M","Medium",J189="L","Large",J189="D","Dark")</f>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_xlfn.XLOOKUP(C190,customers!$A$1:$A$1001,customers!$B$1:$B$1001,,0)</f>
        <v>Astrix Kitchingham</v>
      </c>
      <c r="G190" s="2" t="str">
        <f>IF(_xlfn.XLOOKUP(C190,customers!$A$1:$A$1001,customers!$C$1:$C$1001,,0)=0,"",_xlfn.XLOOKUP(C190,customers!$A$1:$A$1001,customers!$C$1:$C$1001,,0))</f>
        <v>akitchingham58@com.com</v>
      </c>
      <c r="H190" s="2" t="str">
        <f>_xlfn.XLOOKUP(C190,customers!$A$1:$A$1001,customers!$G$1:$G$1001,,0)</f>
        <v>United States</v>
      </c>
      <c r="I190" t="str">
        <f>INDEX(products!$A$1:$G$49,MATCH(orders!$D190,products!$A$1:$A$49,0),MATCH(orders!I$1,products!$A$1:$G$1,0))</f>
        <v>Exc</v>
      </c>
      <c r="J190" t="str">
        <f>INDEX(products!$A$1:$G$49,MATCH(orders!$D190,products!$A$1:$A$49,0),MATCH(orders!J$1,products!$A$1:$G$1,0))</f>
        <v>L</v>
      </c>
      <c r="K190" s="7">
        <f>INDEX(products!$A$1:$G$49,MATCH(orders!$D190,products!$A$1:$A$49,0),MATCH(orders!K$1,products!$A$1:$G$1,0))</f>
        <v>0.2</v>
      </c>
      <c r="L190" s="4">
        <f>INDEX(products!$A$1:$G$49,MATCH(orders!$D190,products!$A$1:$A$49,0),MATCH(orders!L$1,products!$A$1:$G$1,0))</f>
        <v>4.4550000000000001</v>
      </c>
      <c r="M190" s="4">
        <f t="shared" si="2"/>
        <v>4.4550000000000001</v>
      </c>
      <c r="N190" t="str" cm="1">
        <f t="array" ref="N190">_xlfn.IFS(I190="Rob","Robusta",I190="Exc","Excelsa",I190="Ara","Arabica",I190="Lib","Liberica")</f>
        <v>Excelsa</v>
      </c>
      <c r="O190" t="str" cm="1">
        <f t="array" ref="O190">_xlfn.IFS(J190="M","Medium",J190="L","Large",J190="D","Dark")</f>
        <v>Large</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_xlfn.XLOOKUP(C191,customers!$A$1:$A$1001,customers!$B$1:$B$1001,,0)</f>
        <v>Burnard Bartholin</v>
      </c>
      <c r="G191" s="2" t="str">
        <f>IF(_xlfn.XLOOKUP(C191,customers!$A$1:$A$1001,customers!$C$1:$C$1001,,0)=0,"",_xlfn.XLOOKUP(C191,customers!$A$1:$A$1001,customers!$C$1:$C$1001,,0))</f>
        <v>bbartholin59@xinhuanet.com</v>
      </c>
      <c r="H191" s="2" t="str">
        <f>_xlfn.XLOOKUP(C191,customers!$A$1:$A$1001,customers!$G$1:$G$1001,,0)</f>
        <v>United States</v>
      </c>
      <c r="I191" t="str">
        <f>INDEX(products!$A$1:$G$49,MATCH(orders!$D191,products!$A$1:$A$49,0),MATCH(orders!I$1,products!$A$1:$G$1,0))</f>
        <v>Lib</v>
      </c>
      <c r="J191" t="str">
        <f>INDEX(products!$A$1:$G$49,MATCH(orders!$D191,products!$A$1:$A$49,0),MATCH(orders!J$1,products!$A$1:$G$1,0))</f>
        <v>M</v>
      </c>
      <c r="K191" s="7">
        <f>INDEX(products!$A$1:$G$49,MATCH(orders!$D191,products!$A$1:$A$49,0),MATCH(orders!K$1,products!$A$1:$G$1,0))</f>
        <v>1</v>
      </c>
      <c r="L191" s="4">
        <f>INDEX(products!$A$1:$G$49,MATCH(orders!$D191,products!$A$1:$A$49,0),MATCH(orders!L$1,products!$A$1:$G$1,0))</f>
        <v>14.55</v>
      </c>
      <c r="M191" s="4">
        <f t="shared" si="2"/>
        <v>43.650000000000006</v>
      </c>
      <c r="N191" t="str" cm="1">
        <f t="array" ref="N191">_xlfn.IFS(I191="Rob","Robusta",I191="Exc","Excelsa",I191="Ara","Arabica",I191="Lib","Liberica")</f>
        <v>Liberica</v>
      </c>
      <c r="O191" t="str" cm="1">
        <f t="array" ref="O191">_xlfn.IFS(J191="M","Medium",J191="L","Large",J191="D","Dark")</f>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_xlfn.XLOOKUP(C192,customers!$A$1:$A$1001,customers!$B$1:$B$1001,,0)</f>
        <v>Madelene Prinn</v>
      </c>
      <c r="G192" s="2" t="str">
        <f>IF(_xlfn.XLOOKUP(C192,customers!$A$1:$A$1001,customers!$C$1:$C$1001,,0)=0,"",_xlfn.XLOOKUP(C192,customers!$A$1:$A$1001,customers!$C$1:$C$1001,,0))</f>
        <v>mprinn5a@usa.gov</v>
      </c>
      <c r="H192" s="2" t="str">
        <f>_xlfn.XLOOKUP(C192,customers!$A$1:$A$1001,customers!$G$1:$G$1001,,0)</f>
        <v>United States</v>
      </c>
      <c r="I192" t="str">
        <f>INDEX(products!$A$1:$G$49,MATCH(orders!$D192,products!$A$1:$A$49,0),MATCH(orders!I$1,products!$A$1:$G$1,0))</f>
        <v>Lib</v>
      </c>
      <c r="J192" t="str">
        <f>INDEX(products!$A$1:$G$49,MATCH(orders!$D192,products!$A$1:$A$49,0),MATCH(orders!J$1,products!$A$1:$G$1,0))</f>
        <v>M</v>
      </c>
      <c r="K192" s="7">
        <f>INDEX(products!$A$1:$G$49,MATCH(orders!$D192,products!$A$1:$A$49,0),MATCH(orders!K$1,products!$A$1:$G$1,0))</f>
        <v>2.5</v>
      </c>
      <c r="L192" s="4">
        <f>INDEX(products!$A$1:$G$49,MATCH(orders!$D192,products!$A$1:$A$49,0),MATCH(orders!L$1,products!$A$1:$G$1,0))</f>
        <v>33.464999999999996</v>
      </c>
      <c r="M192" s="4">
        <f t="shared" si="2"/>
        <v>33.464999999999996</v>
      </c>
      <c r="N192" t="str" cm="1">
        <f t="array" ref="N192">_xlfn.IFS(I192="Rob","Robusta",I192="Exc","Excelsa",I192="Ara","Arabica",I192="Lib","Liberica")</f>
        <v>Liberica</v>
      </c>
      <c r="O192" t="str" cm="1">
        <f t="array" ref="O192">_xlfn.IFS(J192="M","Medium",J192="L","Large",J192="D","Dark")</f>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_xlfn.XLOOKUP(C193,customers!$A$1:$A$1001,customers!$B$1:$B$1001,,0)</f>
        <v>Alisun Baudino</v>
      </c>
      <c r="G193" s="2" t="str">
        <f>IF(_xlfn.XLOOKUP(C193,customers!$A$1:$A$1001,customers!$C$1:$C$1001,,0)=0,"",_xlfn.XLOOKUP(C193,customers!$A$1:$A$1001,customers!$C$1:$C$1001,,0))</f>
        <v>abaudino5b@netvibes.com</v>
      </c>
      <c r="H193" s="2" t="str">
        <f>_xlfn.XLOOKUP(C193,customers!$A$1:$A$1001,customers!$G$1:$G$1001,,0)</f>
        <v>United States</v>
      </c>
      <c r="I193" t="str">
        <f>INDEX(products!$A$1:$G$49,MATCH(orders!$D193,products!$A$1:$A$49,0),MATCH(orders!I$1,products!$A$1:$G$1,0))</f>
        <v>Lib</v>
      </c>
      <c r="J193" t="str">
        <f>INDEX(products!$A$1:$G$49,MATCH(orders!$D193,products!$A$1:$A$49,0),MATCH(orders!J$1,products!$A$1:$G$1,0))</f>
        <v>D</v>
      </c>
      <c r="K193" s="7">
        <f>INDEX(products!$A$1:$G$49,MATCH(orders!$D193,products!$A$1:$A$49,0),MATCH(orders!K$1,products!$A$1:$G$1,0))</f>
        <v>0.2</v>
      </c>
      <c r="L193" s="4">
        <f>INDEX(products!$A$1:$G$49,MATCH(orders!$D193,products!$A$1:$A$49,0),MATCH(orders!L$1,products!$A$1:$G$1,0))</f>
        <v>3.8849999999999998</v>
      </c>
      <c r="M193" s="4">
        <f t="shared" si="2"/>
        <v>19.424999999999997</v>
      </c>
      <c r="N193" t="str" cm="1">
        <f t="array" ref="N193">_xlfn.IFS(I193="Rob","Robusta",I193="Exc","Excelsa",I193="Ara","Arabica",I193="Lib","Liberica")</f>
        <v>Liberica</v>
      </c>
      <c r="O193" t="str" cm="1">
        <f t="array" ref="O193">_xlfn.IFS(J193="M","Medium",J193="L","Large",J193="D","Dark")</f>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_xlfn.XLOOKUP(C194,customers!$A$1:$A$1001,customers!$B$1:$B$1001,,0)</f>
        <v>Philipa Petrushanko</v>
      </c>
      <c r="G194" s="2" t="str">
        <f>IF(_xlfn.XLOOKUP(C194,customers!$A$1:$A$1001,customers!$C$1:$C$1001,,0)=0,"",_xlfn.XLOOKUP(C194,customers!$A$1:$A$1001,customers!$C$1:$C$1001,,0))</f>
        <v>ppetrushanko5c@blinklist.com</v>
      </c>
      <c r="H194" s="2" t="str">
        <f>_xlfn.XLOOKUP(C194,customers!$A$1:$A$1001,customers!$G$1:$G$1001,,0)</f>
        <v>Ireland</v>
      </c>
      <c r="I194" t="str">
        <f>INDEX(products!$A$1:$G$49,MATCH(orders!$D194,products!$A$1:$A$49,0),MATCH(orders!I$1,products!$A$1:$G$1,0))</f>
        <v>Exc</v>
      </c>
      <c r="J194" t="str">
        <f>INDEX(products!$A$1:$G$49,MATCH(orders!$D194,products!$A$1:$A$49,0),MATCH(orders!J$1,products!$A$1:$G$1,0))</f>
        <v>D</v>
      </c>
      <c r="K194" s="7">
        <f>INDEX(products!$A$1:$G$49,MATCH(orders!$D194,products!$A$1:$A$49,0),MATCH(orders!K$1,products!$A$1:$G$1,0))</f>
        <v>1</v>
      </c>
      <c r="L194" s="4">
        <f>INDEX(products!$A$1:$G$49,MATCH(orders!$D194,products!$A$1:$A$49,0),MATCH(orders!L$1,products!$A$1:$G$1,0))</f>
        <v>12.15</v>
      </c>
      <c r="M194" s="4">
        <f t="shared" si="2"/>
        <v>72.900000000000006</v>
      </c>
      <c r="N194" t="str" cm="1">
        <f t="array" ref="N194">_xlfn.IFS(I194="Rob","Robusta",I194="Exc","Excelsa",I194="Ara","Arabica",I194="Lib","Liberica")</f>
        <v>Excelsa</v>
      </c>
      <c r="O194" t="str" cm="1">
        <f t="array" ref="O194">_xlfn.IFS(J194="M","Medium",J194="L","Large",J194="D","Dark")</f>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_xlfn.XLOOKUP(C195,customers!$A$1:$A$1001,customers!$B$1:$B$1001,,0)</f>
        <v>Kimberli Mustchin</v>
      </c>
      <c r="G195" s="2" t="str">
        <f>IF(_xlfn.XLOOKUP(C195,customers!$A$1:$A$1001,customers!$C$1:$C$1001,,0)=0,"",_xlfn.XLOOKUP(C195,customers!$A$1:$A$1001,customers!$C$1:$C$1001,,0))</f>
        <v/>
      </c>
      <c r="H195" s="2" t="str">
        <f>_xlfn.XLOOKUP(C195,customers!$A$1:$A$1001,customers!$G$1:$G$1001,,0)</f>
        <v>United States</v>
      </c>
      <c r="I195" t="str">
        <f>INDEX(products!$A$1:$G$49,MATCH(orders!$D195,products!$A$1:$A$49,0),MATCH(orders!I$1,products!$A$1:$G$1,0))</f>
        <v>Exc</v>
      </c>
      <c r="J195" t="str">
        <f>INDEX(products!$A$1:$G$49,MATCH(orders!$D195,products!$A$1:$A$49,0),MATCH(orders!J$1,products!$A$1:$G$1,0))</f>
        <v>L</v>
      </c>
      <c r="K195" s="7">
        <f>INDEX(products!$A$1:$G$49,MATCH(orders!$D195,products!$A$1:$A$49,0),MATCH(orders!K$1,products!$A$1:$G$1,0))</f>
        <v>1</v>
      </c>
      <c r="L195" s="4">
        <f>INDEX(products!$A$1:$G$49,MATCH(orders!$D195,products!$A$1:$A$49,0),MATCH(orders!L$1,products!$A$1:$G$1,0))</f>
        <v>14.85</v>
      </c>
      <c r="M195" s="4">
        <f t="shared" ref="M195:M258" si="3">L195*E195</f>
        <v>44.55</v>
      </c>
      <c r="N195" t="str" cm="1">
        <f t="array" ref="N195">_xlfn.IFS(I195="Rob","Robusta",I195="Exc","Excelsa",I195="Ara","Arabica",I195="Lib","Liberica")</f>
        <v>Excelsa</v>
      </c>
      <c r="O195" t="str" cm="1">
        <f t="array" ref="O195">_xlfn.IFS(J195="M","Medium",J195="L","Large",J195="D","Dark")</f>
        <v>Large</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_xlfn.XLOOKUP(C196,customers!$A$1:$A$1001,customers!$B$1:$B$1001,,0)</f>
        <v>Emlynne Laird</v>
      </c>
      <c r="G196" s="2" t="str">
        <f>IF(_xlfn.XLOOKUP(C196,customers!$A$1:$A$1001,customers!$C$1:$C$1001,,0)=0,"",_xlfn.XLOOKUP(C196,customers!$A$1:$A$1001,customers!$C$1:$C$1001,,0))</f>
        <v>elaird5e@bing.com</v>
      </c>
      <c r="H196" s="2" t="str">
        <f>_xlfn.XLOOKUP(C196,customers!$A$1:$A$1001,customers!$G$1:$G$1001,,0)</f>
        <v>United States</v>
      </c>
      <c r="I196" t="str">
        <f>INDEX(products!$A$1:$G$49,MATCH(orders!$D196,products!$A$1:$A$49,0),MATCH(orders!I$1,products!$A$1:$G$1,0))</f>
        <v>Exc</v>
      </c>
      <c r="J196" t="str">
        <f>INDEX(products!$A$1:$G$49,MATCH(orders!$D196,products!$A$1:$A$49,0),MATCH(orders!J$1,products!$A$1:$G$1,0))</f>
        <v>D</v>
      </c>
      <c r="K196" s="7">
        <f>INDEX(products!$A$1:$G$49,MATCH(orders!$D196,products!$A$1:$A$49,0),MATCH(orders!K$1,products!$A$1:$G$1,0))</f>
        <v>0.5</v>
      </c>
      <c r="L196" s="4">
        <f>INDEX(products!$A$1:$G$49,MATCH(orders!$D196,products!$A$1:$A$49,0),MATCH(orders!L$1,products!$A$1:$G$1,0))</f>
        <v>7.29</v>
      </c>
      <c r="M196" s="4">
        <f t="shared" si="3"/>
        <v>36.450000000000003</v>
      </c>
      <c r="N196" t="str" cm="1">
        <f t="array" ref="N196">_xlfn.IFS(I196="Rob","Robusta",I196="Exc","Excelsa",I196="Ara","Arabica",I196="Lib","Liberica")</f>
        <v>Excelsa</v>
      </c>
      <c r="O196" t="str" cm="1">
        <f t="array" ref="O196">_xlfn.IFS(J196="M","Medium",J196="L","Large",J196="D","Dark")</f>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_xlfn.XLOOKUP(C197,customers!$A$1:$A$1001,customers!$B$1:$B$1001,,0)</f>
        <v>Marlena Howsden</v>
      </c>
      <c r="G197" s="2" t="str">
        <f>IF(_xlfn.XLOOKUP(C197,customers!$A$1:$A$1001,customers!$C$1:$C$1001,,0)=0,"",_xlfn.XLOOKUP(C197,customers!$A$1:$A$1001,customers!$C$1:$C$1001,,0))</f>
        <v>mhowsden5f@infoseek.co.jp</v>
      </c>
      <c r="H197" s="2" t="str">
        <f>_xlfn.XLOOKUP(C197,customers!$A$1:$A$1001,customers!$G$1:$G$1001,,0)</f>
        <v>United States</v>
      </c>
      <c r="I197" t="str">
        <f>INDEX(products!$A$1:$G$49,MATCH(orders!$D197,products!$A$1:$A$49,0),MATCH(orders!I$1,products!$A$1:$G$1,0))</f>
        <v>Ara</v>
      </c>
      <c r="J197" t="str">
        <f>INDEX(products!$A$1:$G$49,MATCH(orders!$D197,products!$A$1:$A$49,0),MATCH(orders!J$1,products!$A$1:$G$1,0))</f>
        <v>L</v>
      </c>
      <c r="K197" s="7">
        <f>INDEX(products!$A$1:$G$49,MATCH(orders!$D197,products!$A$1:$A$49,0),MATCH(orders!K$1,products!$A$1:$G$1,0))</f>
        <v>1</v>
      </c>
      <c r="L197" s="4">
        <f>INDEX(products!$A$1:$G$49,MATCH(orders!$D197,products!$A$1:$A$49,0),MATCH(orders!L$1,products!$A$1:$G$1,0))</f>
        <v>12.95</v>
      </c>
      <c r="M197" s="4">
        <f t="shared" si="3"/>
        <v>38.849999999999994</v>
      </c>
      <c r="N197" t="str" cm="1">
        <f t="array" ref="N197">_xlfn.IFS(I197="Rob","Robusta",I197="Exc","Excelsa",I197="Ara","Arabica",I197="Lib","Liberica")</f>
        <v>Arabica</v>
      </c>
      <c r="O197" t="str" cm="1">
        <f t="array" ref="O197">_xlfn.IFS(J197="M","Medium",J197="L","Large",J197="D","Dark")</f>
        <v>Large</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_xlfn.XLOOKUP(C198,customers!$A$1:$A$1001,customers!$B$1:$B$1001,,0)</f>
        <v>Nealson Cuttler</v>
      </c>
      <c r="G198" s="2" t="str">
        <f>IF(_xlfn.XLOOKUP(C198,customers!$A$1:$A$1001,customers!$C$1:$C$1001,,0)=0,"",_xlfn.XLOOKUP(C198,customers!$A$1:$A$1001,customers!$C$1:$C$1001,,0))</f>
        <v>ncuttler5g@parallels.com</v>
      </c>
      <c r="H198" s="2" t="str">
        <f>_xlfn.XLOOKUP(C198,customers!$A$1:$A$1001,customers!$G$1:$G$1001,,0)</f>
        <v>United States</v>
      </c>
      <c r="I198" t="str">
        <f>INDEX(products!$A$1:$G$49,MATCH(orders!$D198,products!$A$1:$A$49,0),MATCH(orders!I$1,products!$A$1:$G$1,0))</f>
        <v>Exc</v>
      </c>
      <c r="J198" t="str">
        <f>INDEX(products!$A$1:$G$49,MATCH(orders!$D198,products!$A$1:$A$49,0),MATCH(orders!J$1,products!$A$1:$G$1,0))</f>
        <v>L</v>
      </c>
      <c r="K198" s="7">
        <f>INDEX(products!$A$1:$G$49,MATCH(orders!$D198,products!$A$1:$A$49,0),MATCH(orders!K$1,products!$A$1:$G$1,0))</f>
        <v>0.5</v>
      </c>
      <c r="L198" s="4">
        <f>INDEX(products!$A$1:$G$49,MATCH(orders!$D198,products!$A$1:$A$49,0),MATCH(orders!L$1,products!$A$1:$G$1,0))</f>
        <v>8.91</v>
      </c>
      <c r="M198" s="4">
        <f t="shared" si="3"/>
        <v>53.46</v>
      </c>
      <c r="N198" t="str" cm="1">
        <f t="array" ref="N198">_xlfn.IFS(I198="Rob","Robusta",I198="Exc","Excelsa",I198="Ara","Arabica",I198="Lib","Liberica")</f>
        <v>Excelsa</v>
      </c>
      <c r="O198" t="str" cm="1">
        <f t="array" ref="O198">_xlfn.IFS(J198="M","Medium",J198="L","Large",J198="D","Dark")</f>
        <v>Large</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_xlfn.XLOOKUP(C199,customers!$A$1:$A$1001,customers!$B$1:$B$1001,,0)</f>
        <v>Nealson Cuttler</v>
      </c>
      <c r="G199" s="2" t="str">
        <f>IF(_xlfn.XLOOKUP(C199,customers!$A$1:$A$1001,customers!$C$1:$C$1001,,0)=0,"",_xlfn.XLOOKUP(C199,customers!$A$1:$A$1001,customers!$C$1:$C$1001,,0))</f>
        <v>ncuttler5g@parallels.com</v>
      </c>
      <c r="H199" s="2" t="str">
        <f>_xlfn.XLOOKUP(C199,customers!$A$1:$A$1001,customers!$G$1:$G$1001,,0)</f>
        <v>United States</v>
      </c>
      <c r="I199" t="str">
        <f>INDEX(products!$A$1:$G$49,MATCH(orders!$D199,products!$A$1:$A$49,0),MATCH(orders!I$1,products!$A$1:$G$1,0))</f>
        <v>Lib</v>
      </c>
      <c r="J199" t="str">
        <f>INDEX(products!$A$1:$G$49,MATCH(orders!$D199,products!$A$1:$A$49,0),MATCH(orders!J$1,products!$A$1:$G$1,0))</f>
        <v>D</v>
      </c>
      <c r="K199" s="7">
        <f>INDEX(products!$A$1:$G$49,MATCH(orders!$D199,products!$A$1:$A$49,0),MATCH(orders!K$1,products!$A$1:$G$1,0))</f>
        <v>2.5</v>
      </c>
      <c r="L199" s="4">
        <f>INDEX(products!$A$1:$G$49,MATCH(orders!$D199,products!$A$1:$A$49,0),MATCH(orders!L$1,products!$A$1:$G$1,0))</f>
        <v>29.784999999999997</v>
      </c>
      <c r="M199" s="4">
        <f t="shared" si="3"/>
        <v>59.569999999999993</v>
      </c>
      <c r="N199" t="str" cm="1">
        <f t="array" ref="N199">_xlfn.IFS(I199="Rob","Robusta",I199="Exc","Excelsa",I199="Ara","Arabica",I199="Lib","Liberica")</f>
        <v>Liberica</v>
      </c>
      <c r="O199" t="str" cm="1">
        <f t="array" ref="O199">_xlfn.IFS(J199="M","Medium",J199="L","Large",J199="D","Dark")</f>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_xlfn.XLOOKUP(C200,customers!$A$1:$A$1001,customers!$B$1:$B$1001,,0)</f>
        <v>Nealson Cuttler</v>
      </c>
      <c r="G200" s="2" t="str">
        <f>IF(_xlfn.XLOOKUP(C200,customers!$A$1:$A$1001,customers!$C$1:$C$1001,,0)=0,"",_xlfn.XLOOKUP(C200,customers!$A$1:$A$1001,customers!$C$1:$C$1001,,0))</f>
        <v>ncuttler5g@parallels.com</v>
      </c>
      <c r="H200" s="2" t="str">
        <f>_xlfn.XLOOKUP(C200,customers!$A$1:$A$1001,customers!$G$1:$G$1001,,0)</f>
        <v>United States</v>
      </c>
      <c r="I200" t="str">
        <f>INDEX(products!$A$1:$G$49,MATCH(orders!$D200,products!$A$1:$A$49,0),MATCH(orders!I$1,products!$A$1:$G$1,0))</f>
        <v>Lib</v>
      </c>
      <c r="J200" t="str">
        <f>INDEX(products!$A$1:$G$49,MATCH(orders!$D200,products!$A$1:$A$49,0),MATCH(orders!J$1,products!$A$1:$G$1,0))</f>
        <v>D</v>
      </c>
      <c r="K200" s="7">
        <f>INDEX(products!$A$1:$G$49,MATCH(orders!$D200,products!$A$1:$A$49,0),MATCH(orders!K$1,products!$A$1:$G$1,0))</f>
        <v>2.5</v>
      </c>
      <c r="L200" s="4">
        <f>INDEX(products!$A$1:$G$49,MATCH(orders!$D200,products!$A$1:$A$49,0),MATCH(orders!L$1,products!$A$1:$G$1,0))</f>
        <v>29.784999999999997</v>
      </c>
      <c r="M200" s="4">
        <f t="shared" si="3"/>
        <v>89.35499999999999</v>
      </c>
      <c r="N200" t="str" cm="1">
        <f t="array" ref="N200">_xlfn.IFS(I200="Rob","Robusta",I200="Exc","Excelsa",I200="Ara","Arabica",I200="Lib","Liberica")</f>
        <v>Liberica</v>
      </c>
      <c r="O200" t="str" cm="1">
        <f t="array" ref="O200">_xlfn.IFS(J200="M","Medium",J200="L","Large",J200="D","Dark")</f>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_xlfn.XLOOKUP(C201,customers!$A$1:$A$1001,customers!$B$1:$B$1001,,0)</f>
        <v>Nealson Cuttler</v>
      </c>
      <c r="G201" s="2" t="str">
        <f>IF(_xlfn.XLOOKUP(C201,customers!$A$1:$A$1001,customers!$C$1:$C$1001,,0)=0,"",_xlfn.XLOOKUP(C201,customers!$A$1:$A$1001,customers!$C$1:$C$1001,,0))</f>
        <v>ncuttler5g@parallels.com</v>
      </c>
      <c r="H201" s="2" t="str">
        <f>_xlfn.XLOOKUP(C201,customers!$A$1:$A$1001,customers!$G$1:$G$1001,,0)</f>
        <v>United States</v>
      </c>
      <c r="I201" t="str">
        <f>INDEX(products!$A$1:$G$49,MATCH(orders!$D201,products!$A$1:$A$49,0),MATCH(orders!I$1,products!$A$1:$G$1,0))</f>
        <v>Lib</v>
      </c>
      <c r="J201" t="str">
        <f>INDEX(products!$A$1:$G$49,MATCH(orders!$D201,products!$A$1:$A$49,0),MATCH(orders!J$1,products!$A$1:$G$1,0))</f>
        <v>L</v>
      </c>
      <c r="K201" s="7">
        <f>INDEX(products!$A$1:$G$49,MATCH(orders!$D201,products!$A$1:$A$49,0),MATCH(orders!K$1,products!$A$1:$G$1,0))</f>
        <v>0.5</v>
      </c>
      <c r="L201" s="4">
        <f>INDEX(products!$A$1:$G$49,MATCH(orders!$D201,products!$A$1:$A$49,0),MATCH(orders!L$1,products!$A$1:$G$1,0))</f>
        <v>9.51</v>
      </c>
      <c r="M201" s="4">
        <f t="shared" si="3"/>
        <v>38.04</v>
      </c>
      <c r="N201" t="str" cm="1">
        <f t="array" ref="N201">_xlfn.IFS(I201="Rob","Robusta",I201="Exc","Excelsa",I201="Ara","Arabica",I201="Lib","Liberica")</f>
        <v>Liberica</v>
      </c>
      <c r="O201" t="str" cm="1">
        <f t="array" ref="O201">_xlfn.IFS(J201="M","Medium",J201="L","Large",J201="D","Dark")</f>
        <v>Large</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_xlfn.XLOOKUP(C202,customers!$A$1:$A$1001,customers!$B$1:$B$1001,,0)</f>
        <v>Nealson Cuttler</v>
      </c>
      <c r="G202" s="2" t="str">
        <f>IF(_xlfn.XLOOKUP(C202,customers!$A$1:$A$1001,customers!$C$1:$C$1001,,0)=0,"",_xlfn.XLOOKUP(C202,customers!$A$1:$A$1001,customers!$C$1:$C$1001,,0))</f>
        <v>ncuttler5g@parallels.com</v>
      </c>
      <c r="H202" s="2" t="str">
        <f>_xlfn.XLOOKUP(C202,customers!$A$1:$A$1001,customers!$G$1:$G$1001,,0)</f>
        <v>United States</v>
      </c>
      <c r="I202" t="str">
        <f>INDEX(products!$A$1:$G$49,MATCH(orders!$D202,products!$A$1:$A$49,0),MATCH(orders!I$1,products!$A$1:$G$1,0))</f>
        <v>Exc</v>
      </c>
      <c r="J202" t="str">
        <f>INDEX(products!$A$1:$G$49,MATCH(orders!$D202,products!$A$1:$A$49,0),MATCH(orders!J$1,products!$A$1:$G$1,0))</f>
        <v>M</v>
      </c>
      <c r="K202" s="7">
        <f>INDEX(products!$A$1:$G$49,MATCH(orders!$D202,products!$A$1:$A$49,0),MATCH(orders!K$1,products!$A$1:$G$1,0))</f>
        <v>1</v>
      </c>
      <c r="L202" s="4">
        <f>INDEX(products!$A$1:$G$49,MATCH(orders!$D202,products!$A$1:$A$49,0),MATCH(orders!L$1,products!$A$1:$G$1,0))</f>
        <v>13.75</v>
      </c>
      <c r="M202" s="4">
        <f t="shared" si="3"/>
        <v>41.25</v>
      </c>
      <c r="N202" t="str" cm="1">
        <f t="array" ref="N202">_xlfn.IFS(I202="Rob","Robusta",I202="Exc","Excelsa",I202="Ara","Arabica",I202="Lib","Liberica")</f>
        <v>Excelsa</v>
      </c>
      <c r="O202" t="str" cm="1">
        <f t="array" ref="O202">_xlfn.IFS(J202="M","Medium",J202="L","Large",J202="D","Dark")</f>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_xlfn.XLOOKUP(C203,customers!$A$1:$A$1001,customers!$B$1:$B$1001,,0)</f>
        <v>Adriana Lazarus</v>
      </c>
      <c r="G203" s="2" t="str">
        <f>IF(_xlfn.XLOOKUP(C203,customers!$A$1:$A$1001,customers!$C$1:$C$1001,,0)=0,"",_xlfn.XLOOKUP(C203,customers!$A$1:$A$1001,customers!$C$1:$C$1001,,0))</f>
        <v/>
      </c>
      <c r="H203" s="2" t="str">
        <f>_xlfn.XLOOKUP(C203,customers!$A$1:$A$1001,customers!$G$1:$G$1001,,0)</f>
        <v>United States</v>
      </c>
      <c r="I203" t="str">
        <f>INDEX(products!$A$1:$G$49,MATCH(orders!$D203,products!$A$1:$A$49,0),MATCH(orders!I$1,products!$A$1:$G$1,0))</f>
        <v>Lib</v>
      </c>
      <c r="J203" t="str">
        <f>INDEX(products!$A$1:$G$49,MATCH(orders!$D203,products!$A$1:$A$49,0),MATCH(orders!J$1,products!$A$1:$G$1,0))</f>
        <v>L</v>
      </c>
      <c r="K203" s="7">
        <f>INDEX(products!$A$1:$G$49,MATCH(orders!$D203,products!$A$1:$A$49,0),MATCH(orders!K$1,products!$A$1:$G$1,0))</f>
        <v>0.5</v>
      </c>
      <c r="L203" s="4">
        <f>INDEX(products!$A$1:$G$49,MATCH(orders!$D203,products!$A$1:$A$49,0),MATCH(orders!L$1,products!$A$1:$G$1,0))</f>
        <v>9.51</v>
      </c>
      <c r="M203" s="4">
        <f t="shared" si="3"/>
        <v>57.06</v>
      </c>
      <c r="N203" t="str" cm="1">
        <f t="array" ref="N203">_xlfn.IFS(I203="Rob","Robusta",I203="Exc","Excelsa",I203="Ara","Arabica",I203="Lib","Liberica")</f>
        <v>Liberica</v>
      </c>
      <c r="O203" t="str" cm="1">
        <f t="array" ref="O203">_xlfn.IFS(J203="M","Medium",J203="L","Large",J203="D","Dark")</f>
        <v>Large</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_xlfn.XLOOKUP(C204,customers!$A$1:$A$1001,customers!$B$1:$B$1001,,0)</f>
        <v>Tallie felip</v>
      </c>
      <c r="G204" s="2" t="str">
        <f>IF(_xlfn.XLOOKUP(C204,customers!$A$1:$A$1001,customers!$C$1:$C$1001,,0)=0,"",_xlfn.XLOOKUP(C204,customers!$A$1:$A$1001,customers!$C$1:$C$1001,,0))</f>
        <v>tfelip5m@typepad.com</v>
      </c>
      <c r="H204" s="2" t="str">
        <f>_xlfn.XLOOKUP(C204,customers!$A$1:$A$1001,customers!$G$1:$G$1001,,0)</f>
        <v>United States</v>
      </c>
      <c r="I204" t="str">
        <f>INDEX(products!$A$1:$G$49,MATCH(orders!$D204,products!$A$1:$A$49,0),MATCH(orders!I$1,products!$A$1:$G$1,0))</f>
        <v>Lib</v>
      </c>
      <c r="J204" t="str">
        <f>INDEX(products!$A$1:$G$49,MATCH(orders!$D204,products!$A$1:$A$49,0),MATCH(orders!J$1,products!$A$1:$G$1,0))</f>
        <v>D</v>
      </c>
      <c r="K204" s="7">
        <f>INDEX(products!$A$1:$G$49,MATCH(orders!$D204,products!$A$1:$A$49,0),MATCH(orders!K$1,products!$A$1:$G$1,0))</f>
        <v>2.5</v>
      </c>
      <c r="L204" s="4">
        <f>INDEX(products!$A$1:$G$49,MATCH(orders!$D204,products!$A$1:$A$49,0),MATCH(orders!L$1,products!$A$1:$G$1,0))</f>
        <v>29.784999999999997</v>
      </c>
      <c r="M204" s="4">
        <f t="shared" si="3"/>
        <v>178.70999999999998</v>
      </c>
      <c r="N204" t="str" cm="1">
        <f t="array" ref="N204">_xlfn.IFS(I204="Rob","Robusta",I204="Exc","Excelsa",I204="Ara","Arabica",I204="Lib","Liberica")</f>
        <v>Liberica</v>
      </c>
      <c r="O204" t="str" cm="1">
        <f t="array" ref="O204">_xlfn.IFS(J204="M","Medium",J204="L","Large",J204="D","Dark")</f>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_xlfn.XLOOKUP(C205,customers!$A$1:$A$1001,customers!$B$1:$B$1001,,0)</f>
        <v>Vanna Le - Count</v>
      </c>
      <c r="G205" s="2" t="str">
        <f>IF(_xlfn.XLOOKUP(C205,customers!$A$1:$A$1001,customers!$C$1:$C$1001,,0)=0,"",_xlfn.XLOOKUP(C205,customers!$A$1:$A$1001,customers!$C$1:$C$1001,,0))</f>
        <v>vle5n@disqus.com</v>
      </c>
      <c r="H205" s="2" t="str">
        <f>_xlfn.XLOOKUP(C205,customers!$A$1:$A$1001,customers!$G$1:$G$1001,,0)</f>
        <v>United States</v>
      </c>
      <c r="I205" t="str">
        <f>INDEX(products!$A$1:$G$49,MATCH(orders!$D205,products!$A$1:$A$49,0),MATCH(orders!I$1,products!$A$1:$G$1,0))</f>
        <v>Lib</v>
      </c>
      <c r="J205" t="str">
        <f>INDEX(products!$A$1:$G$49,MATCH(orders!$D205,products!$A$1:$A$49,0),MATCH(orders!J$1,products!$A$1:$G$1,0))</f>
        <v>L</v>
      </c>
      <c r="K205" s="7">
        <f>INDEX(products!$A$1:$G$49,MATCH(orders!$D205,products!$A$1:$A$49,0),MATCH(orders!K$1,products!$A$1:$G$1,0))</f>
        <v>0.2</v>
      </c>
      <c r="L205" s="4">
        <f>INDEX(products!$A$1:$G$49,MATCH(orders!$D205,products!$A$1:$A$49,0),MATCH(orders!L$1,products!$A$1:$G$1,0))</f>
        <v>4.7549999999999999</v>
      </c>
      <c r="M205" s="4">
        <f t="shared" si="3"/>
        <v>4.7549999999999999</v>
      </c>
      <c r="N205" t="str" cm="1">
        <f t="array" ref="N205">_xlfn.IFS(I205="Rob","Robusta",I205="Exc","Excelsa",I205="Ara","Arabica",I205="Lib","Liberica")</f>
        <v>Liberica</v>
      </c>
      <c r="O205" t="str" cm="1">
        <f t="array" ref="O205">_xlfn.IFS(J205="M","Medium",J205="L","Large",J205="D","Dark")</f>
        <v>Large</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_xlfn.XLOOKUP(C206,customers!$A$1:$A$1001,customers!$B$1:$B$1001,,0)</f>
        <v>Sarette Ducarel</v>
      </c>
      <c r="G206" s="2" t="str">
        <f>IF(_xlfn.XLOOKUP(C206,customers!$A$1:$A$1001,customers!$C$1:$C$1001,,0)=0,"",_xlfn.XLOOKUP(C206,customers!$A$1:$A$1001,customers!$C$1:$C$1001,,0))</f>
        <v/>
      </c>
      <c r="H206" s="2" t="str">
        <f>_xlfn.XLOOKUP(C206,customers!$A$1:$A$1001,customers!$G$1:$G$1001,,0)</f>
        <v>United States</v>
      </c>
      <c r="I206" t="str">
        <f>INDEX(products!$A$1:$G$49,MATCH(orders!$D206,products!$A$1:$A$49,0),MATCH(orders!I$1,products!$A$1:$G$1,0))</f>
        <v>Exc</v>
      </c>
      <c r="J206" t="str">
        <f>INDEX(products!$A$1:$G$49,MATCH(orders!$D206,products!$A$1:$A$49,0),MATCH(orders!J$1,products!$A$1:$G$1,0))</f>
        <v>M</v>
      </c>
      <c r="K206" s="7">
        <f>INDEX(products!$A$1:$G$49,MATCH(orders!$D206,products!$A$1:$A$49,0),MATCH(orders!K$1,products!$A$1:$G$1,0))</f>
        <v>1</v>
      </c>
      <c r="L206" s="4">
        <f>INDEX(products!$A$1:$G$49,MATCH(orders!$D206,products!$A$1:$A$49,0),MATCH(orders!L$1,products!$A$1:$G$1,0))</f>
        <v>13.75</v>
      </c>
      <c r="M206" s="4">
        <f t="shared" si="3"/>
        <v>82.5</v>
      </c>
      <c r="N206" t="str" cm="1">
        <f t="array" ref="N206">_xlfn.IFS(I206="Rob","Robusta",I206="Exc","Excelsa",I206="Ara","Arabica",I206="Lib","Liberica")</f>
        <v>Excelsa</v>
      </c>
      <c r="O206" t="str" cm="1">
        <f t="array" ref="O206">_xlfn.IFS(J206="M","Medium",J206="L","Large",J206="D","Dark")</f>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_xlfn.XLOOKUP(C207,customers!$A$1:$A$1001,customers!$B$1:$B$1001,,0)</f>
        <v>Kendra Glison</v>
      </c>
      <c r="G207" s="2" t="str">
        <f>IF(_xlfn.XLOOKUP(C207,customers!$A$1:$A$1001,customers!$C$1:$C$1001,,0)=0,"",_xlfn.XLOOKUP(C207,customers!$A$1:$A$1001,customers!$C$1:$C$1001,,0))</f>
        <v/>
      </c>
      <c r="H207" s="2" t="str">
        <f>_xlfn.XLOOKUP(C207,customers!$A$1:$A$1001,customers!$G$1:$G$1001,,0)</f>
        <v>United States</v>
      </c>
      <c r="I207" t="str">
        <f>INDEX(products!$A$1:$G$49,MATCH(orders!$D207,products!$A$1:$A$49,0),MATCH(orders!I$1,products!$A$1:$G$1,0))</f>
        <v>Rob</v>
      </c>
      <c r="J207" t="str">
        <f>INDEX(products!$A$1:$G$49,MATCH(orders!$D207,products!$A$1:$A$49,0),MATCH(orders!J$1,products!$A$1:$G$1,0))</f>
        <v>D</v>
      </c>
      <c r="K207" s="7">
        <f>INDEX(products!$A$1:$G$49,MATCH(orders!$D207,products!$A$1:$A$49,0),MATCH(orders!K$1,products!$A$1:$G$1,0))</f>
        <v>0.2</v>
      </c>
      <c r="L207" s="4">
        <f>INDEX(products!$A$1:$G$49,MATCH(orders!$D207,products!$A$1:$A$49,0),MATCH(orders!L$1,products!$A$1:$G$1,0))</f>
        <v>2.6849999999999996</v>
      </c>
      <c r="M207" s="4">
        <f t="shared" si="3"/>
        <v>8.0549999999999997</v>
      </c>
      <c r="N207" t="str" cm="1">
        <f t="array" ref="N207">_xlfn.IFS(I207="Rob","Robusta",I207="Exc","Excelsa",I207="Ara","Arabica",I207="Lib","Liberica")</f>
        <v>Robusta</v>
      </c>
      <c r="O207" t="str" cm="1">
        <f t="array" ref="O207">_xlfn.IFS(J207="M","Medium",J207="L","Large",J207="D","Dark")</f>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_xlfn.XLOOKUP(C208,customers!$A$1:$A$1001,customers!$B$1:$B$1001,,0)</f>
        <v>Nertie Poolman</v>
      </c>
      <c r="G208" s="2" t="str">
        <f>IF(_xlfn.XLOOKUP(C208,customers!$A$1:$A$1001,customers!$C$1:$C$1001,,0)=0,"",_xlfn.XLOOKUP(C208,customers!$A$1:$A$1001,customers!$C$1:$C$1001,,0))</f>
        <v>npoolman5q@howstuffworks.com</v>
      </c>
      <c r="H208" s="2" t="str">
        <f>_xlfn.XLOOKUP(C208,customers!$A$1:$A$1001,customers!$G$1:$G$1001,,0)</f>
        <v>United States</v>
      </c>
      <c r="I208" t="str">
        <f>INDEX(products!$A$1:$G$49,MATCH(orders!$D208,products!$A$1:$A$49,0),MATCH(orders!I$1,products!$A$1:$G$1,0))</f>
        <v>Ara</v>
      </c>
      <c r="J208" t="str">
        <f>INDEX(products!$A$1:$G$49,MATCH(orders!$D208,products!$A$1:$A$49,0),MATCH(orders!J$1,products!$A$1:$G$1,0))</f>
        <v>M</v>
      </c>
      <c r="K208" s="7">
        <f>INDEX(products!$A$1:$G$49,MATCH(orders!$D208,products!$A$1:$A$49,0),MATCH(orders!K$1,products!$A$1:$G$1,0))</f>
        <v>1</v>
      </c>
      <c r="L208" s="4">
        <f>INDEX(products!$A$1:$G$49,MATCH(orders!$D208,products!$A$1:$A$49,0),MATCH(orders!L$1,products!$A$1:$G$1,0))</f>
        <v>11.25</v>
      </c>
      <c r="M208" s="4">
        <f t="shared" si="3"/>
        <v>22.5</v>
      </c>
      <c r="N208" t="str" cm="1">
        <f t="array" ref="N208">_xlfn.IFS(I208="Rob","Robusta",I208="Exc","Excelsa",I208="Ara","Arabica",I208="Lib","Liberica")</f>
        <v>Arabica</v>
      </c>
      <c r="O208" t="str" cm="1">
        <f t="array" ref="O208">_xlfn.IFS(J208="M","Medium",J208="L","Large",J208="D","Dark")</f>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_xlfn.XLOOKUP(C209,customers!$A$1:$A$1001,customers!$B$1:$B$1001,,0)</f>
        <v>Orbadiah Duny</v>
      </c>
      <c r="G209" s="2" t="str">
        <f>IF(_xlfn.XLOOKUP(C209,customers!$A$1:$A$1001,customers!$C$1:$C$1001,,0)=0,"",_xlfn.XLOOKUP(C209,customers!$A$1:$A$1001,customers!$C$1:$C$1001,,0))</f>
        <v>oduny5r@constantcontact.com</v>
      </c>
      <c r="H209" s="2" t="str">
        <f>_xlfn.XLOOKUP(C209,customers!$A$1:$A$1001,customers!$G$1:$G$1001,,0)</f>
        <v>United States</v>
      </c>
      <c r="I209" t="str">
        <f>INDEX(products!$A$1:$G$49,MATCH(orders!$D209,products!$A$1:$A$49,0),MATCH(orders!I$1,products!$A$1:$G$1,0))</f>
        <v>Ara</v>
      </c>
      <c r="J209" t="str">
        <f>INDEX(products!$A$1:$G$49,MATCH(orders!$D209,products!$A$1:$A$49,0),MATCH(orders!J$1,products!$A$1:$G$1,0))</f>
        <v>M</v>
      </c>
      <c r="K209" s="7">
        <f>INDEX(products!$A$1:$G$49,MATCH(orders!$D209,products!$A$1:$A$49,0),MATCH(orders!K$1,products!$A$1:$G$1,0))</f>
        <v>0.5</v>
      </c>
      <c r="L209" s="4">
        <f>INDEX(products!$A$1:$G$49,MATCH(orders!$D209,products!$A$1:$A$49,0),MATCH(orders!L$1,products!$A$1:$G$1,0))</f>
        <v>6.75</v>
      </c>
      <c r="M209" s="4">
        <f t="shared" si="3"/>
        <v>40.5</v>
      </c>
      <c r="N209" t="str" cm="1">
        <f t="array" ref="N209">_xlfn.IFS(I209="Rob","Robusta",I209="Exc","Excelsa",I209="Ara","Arabica",I209="Lib","Liberica")</f>
        <v>Arabica</v>
      </c>
      <c r="O209" t="str" cm="1">
        <f t="array" ref="O209">_xlfn.IFS(J209="M","Medium",J209="L","Large",J209="D","Dark")</f>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_xlfn.XLOOKUP(C210,customers!$A$1:$A$1001,customers!$B$1:$B$1001,,0)</f>
        <v>Constance Halfhide</v>
      </c>
      <c r="G210" s="2" t="str">
        <f>IF(_xlfn.XLOOKUP(C210,customers!$A$1:$A$1001,customers!$C$1:$C$1001,,0)=0,"",_xlfn.XLOOKUP(C210,customers!$A$1:$A$1001,customers!$C$1:$C$1001,,0))</f>
        <v>chalfhide5s@google.ru</v>
      </c>
      <c r="H210" s="2" t="str">
        <f>_xlfn.XLOOKUP(C210,customers!$A$1:$A$1001,customers!$G$1:$G$1001,,0)</f>
        <v>Ireland</v>
      </c>
      <c r="I210" t="str">
        <f>INDEX(products!$A$1:$G$49,MATCH(orders!$D210,products!$A$1:$A$49,0),MATCH(orders!I$1,products!$A$1:$G$1,0))</f>
        <v>Exc</v>
      </c>
      <c r="J210" t="str">
        <f>INDEX(products!$A$1:$G$49,MATCH(orders!$D210,products!$A$1:$A$49,0),MATCH(orders!J$1,products!$A$1:$G$1,0))</f>
        <v>D</v>
      </c>
      <c r="K210" s="7">
        <f>INDEX(products!$A$1:$G$49,MATCH(orders!$D210,products!$A$1:$A$49,0),MATCH(orders!K$1,products!$A$1:$G$1,0))</f>
        <v>0.5</v>
      </c>
      <c r="L210" s="4">
        <f>INDEX(products!$A$1:$G$49,MATCH(orders!$D210,products!$A$1:$A$49,0),MATCH(orders!L$1,products!$A$1:$G$1,0))</f>
        <v>7.29</v>
      </c>
      <c r="M210" s="4">
        <f t="shared" si="3"/>
        <v>29.16</v>
      </c>
      <c r="N210" t="str" cm="1">
        <f t="array" ref="N210">_xlfn.IFS(I210="Rob","Robusta",I210="Exc","Excelsa",I210="Ara","Arabica",I210="Lib","Liberica")</f>
        <v>Excelsa</v>
      </c>
      <c r="O210" t="str" cm="1">
        <f t="array" ref="O210">_xlfn.IFS(J210="M","Medium",J210="L","Large",J210="D","Dark")</f>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_xlfn.XLOOKUP(C211,customers!$A$1:$A$1001,customers!$B$1:$B$1001,,0)</f>
        <v>Fransisco Malecky</v>
      </c>
      <c r="G211" s="2" t="str">
        <f>IF(_xlfn.XLOOKUP(C211,customers!$A$1:$A$1001,customers!$C$1:$C$1001,,0)=0,"",_xlfn.XLOOKUP(C211,customers!$A$1:$A$1001,customers!$C$1:$C$1001,,0))</f>
        <v>fmalecky5t@list-manage.com</v>
      </c>
      <c r="H211" s="2" t="str">
        <f>_xlfn.XLOOKUP(C211,customers!$A$1:$A$1001,customers!$G$1:$G$1001,,0)</f>
        <v>United Kingdom</v>
      </c>
      <c r="I211" t="str">
        <f>INDEX(products!$A$1:$G$49,MATCH(orders!$D211,products!$A$1:$A$49,0),MATCH(orders!I$1,products!$A$1:$G$1,0))</f>
        <v>Ara</v>
      </c>
      <c r="J211" t="str">
        <f>INDEX(products!$A$1:$G$49,MATCH(orders!$D211,products!$A$1:$A$49,0),MATCH(orders!J$1,products!$A$1:$G$1,0))</f>
        <v>M</v>
      </c>
      <c r="K211" s="7">
        <f>INDEX(products!$A$1:$G$49,MATCH(orders!$D211,products!$A$1:$A$49,0),MATCH(orders!K$1,products!$A$1:$G$1,0))</f>
        <v>0.5</v>
      </c>
      <c r="L211" s="4">
        <f>INDEX(products!$A$1:$G$49,MATCH(orders!$D211,products!$A$1:$A$49,0),MATCH(orders!L$1,products!$A$1:$G$1,0))</f>
        <v>6.75</v>
      </c>
      <c r="M211" s="4">
        <f t="shared" si="3"/>
        <v>6.75</v>
      </c>
      <c r="N211" t="str" cm="1">
        <f t="array" ref="N211">_xlfn.IFS(I211="Rob","Robusta",I211="Exc","Excelsa",I211="Ara","Arabica",I211="Lib","Liberica")</f>
        <v>Arabica</v>
      </c>
      <c r="O211" t="str" cm="1">
        <f t="array" ref="O211">_xlfn.IFS(J211="M","Medium",J211="L","Large",J211="D","Dark")</f>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_xlfn.XLOOKUP(C212,customers!$A$1:$A$1001,customers!$B$1:$B$1001,,0)</f>
        <v>Anselma Attwater</v>
      </c>
      <c r="G212" s="2" t="str">
        <f>IF(_xlfn.XLOOKUP(C212,customers!$A$1:$A$1001,customers!$C$1:$C$1001,,0)=0,"",_xlfn.XLOOKUP(C212,customers!$A$1:$A$1001,customers!$C$1:$C$1001,,0))</f>
        <v>aattwater5u@wikia.com</v>
      </c>
      <c r="H212" s="2" t="str">
        <f>_xlfn.XLOOKUP(C212,customers!$A$1:$A$1001,customers!$G$1:$G$1001,,0)</f>
        <v>United States</v>
      </c>
      <c r="I212" t="str">
        <f>INDEX(products!$A$1:$G$49,MATCH(orders!$D212,products!$A$1:$A$49,0),MATCH(orders!I$1,products!$A$1:$G$1,0))</f>
        <v>Lib</v>
      </c>
      <c r="J212" t="str">
        <f>INDEX(products!$A$1:$G$49,MATCH(orders!$D212,products!$A$1:$A$49,0),MATCH(orders!J$1,products!$A$1:$G$1,0))</f>
        <v>D</v>
      </c>
      <c r="K212" s="7">
        <f>INDEX(products!$A$1:$G$49,MATCH(orders!$D212,products!$A$1:$A$49,0),MATCH(orders!K$1,products!$A$1:$G$1,0))</f>
        <v>1</v>
      </c>
      <c r="L212" s="4">
        <f>INDEX(products!$A$1:$G$49,MATCH(orders!$D212,products!$A$1:$A$49,0),MATCH(orders!L$1,products!$A$1:$G$1,0))</f>
        <v>12.95</v>
      </c>
      <c r="M212" s="4">
        <f t="shared" si="3"/>
        <v>51.8</v>
      </c>
      <c r="N212" t="str" cm="1">
        <f t="array" ref="N212">_xlfn.IFS(I212="Rob","Robusta",I212="Exc","Excelsa",I212="Ara","Arabica",I212="Lib","Liberica")</f>
        <v>Liberica</v>
      </c>
      <c r="O212" t="str" cm="1">
        <f t="array" ref="O212">_xlfn.IFS(J212="M","Medium",J212="L","Large",J212="D","Dark")</f>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_xlfn.XLOOKUP(C213,customers!$A$1:$A$1001,customers!$B$1:$B$1001,,0)</f>
        <v>Minette Whellans</v>
      </c>
      <c r="G213" s="2" t="str">
        <f>IF(_xlfn.XLOOKUP(C213,customers!$A$1:$A$1001,customers!$C$1:$C$1001,,0)=0,"",_xlfn.XLOOKUP(C213,customers!$A$1:$A$1001,customers!$C$1:$C$1001,,0))</f>
        <v>mwhellans5v@mapquest.com</v>
      </c>
      <c r="H213" s="2" t="str">
        <f>_xlfn.XLOOKUP(C213,customers!$A$1:$A$1001,customers!$G$1:$G$1001,,0)</f>
        <v>United States</v>
      </c>
      <c r="I213" t="str">
        <f>INDEX(products!$A$1:$G$49,MATCH(orders!$D213,products!$A$1:$A$49,0),MATCH(orders!I$1,products!$A$1:$G$1,0))</f>
        <v>Exc</v>
      </c>
      <c r="J213" t="str">
        <f>INDEX(products!$A$1:$G$49,MATCH(orders!$D213,products!$A$1:$A$49,0),MATCH(orders!J$1,products!$A$1:$G$1,0))</f>
        <v>L</v>
      </c>
      <c r="K213" s="7">
        <f>INDEX(products!$A$1:$G$49,MATCH(orders!$D213,products!$A$1:$A$49,0),MATCH(orders!K$1,products!$A$1:$G$1,0))</f>
        <v>0.5</v>
      </c>
      <c r="L213" s="4">
        <f>INDEX(products!$A$1:$G$49,MATCH(orders!$D213,products!$A$1:$A$49,0),MATCH(orders!L$1,products!$A$1:$G$1,0))</f>
        <v>8.91</v>
      </c>
      <c r="M213" s="4">
        <f t="shared" si="3"/>
        <v>53.46</v>
      </c>
      <c r="N213" t="str" cm="1">
        <f t="array" ref="N213">_xlfn.IFS(I213="Rob","Robusta",I213="Exc","Excelsa",I213="Ara","Arabica",I213="Lib","Liberica")</f>
        <v>Excelsa</v>
      </c>
      <c r="O213" t="str" cm="1">
        <f t="array" ref="O213">_xlfn.IFS(J213="M","Medium",J213="L","Large",J213="D","Dark")</f>
        <v>Large</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_xlfn.XLOOKUP(C214,customers!$A$1:$A$1001,customers!$B$1:$B$1001,,0)</f>
        <v>Dael Camilletti</v>
      </c>
      <c r="G214" s="2" t="str">
        <f>IF(_xlfn.XLOOKUP(C214,customers!$A$1:$A$1001,customers!$C$1:$C$1001,,0)=0,"",_xlfn.XLOOKUP(C214,customers!$A$1:$A$1001,customers!$C$1:$C$1001,,0))</f>
        <v>dcamilletti5w@businesswire.com</v>
      </c>
      <c r="H214" s="2" t="str">
        <f>_xlfn.XLOOKUP(C214,customers!$A$1:$A$1001,customers!$G$1:$G$1001,,0)</f>
        <v>United States</v>
      </c>
      <c r="I214" t="str">
        <f>INDEX(products!$A$1:$G$49,MATCH(orders!$D214,products!$A$1:$A$49,0),MATCH(orders!I$1,products!$A$1:$G$1,0))</f>
        <v>Exc</v>
      </c>
      <c r="J214" t="str">
        <f>INDEX(products!$A$1:$G$49,MATCH(orders!$D214,products!$A$1:$A$49,0),MATCH(orders!J$1,products!$A$1:$G$1,0))</f>
        <v>D</v>
      </c>
      <c r="K214" s="7">
        <f>INDEX(products!$A$1:$G$49,MATCH(orders!$D214,products!$A$1:$A$49,0),MATCH(orders!K$1,products!$A$1:$G$1,0))</f>
        <v>0.2</v>
      </c>
      <c r="L214" s="4">
        <f>INDEX(products!$A$1:$G$49,MATCH(orders!$D214,products!$A$1:$A$49,0),MATCH(orders!L$1,products!$A$1:$G$1,0))</f>
        <v>3.645</v>
      </c>
      <c r="M214" s="4">
        <f t="shared" si="3"/>
        <v>14.58</v>
      </c>
      <c r="N214" t="str" cm="1">
        <f t="array" ref="N214">_xlfn.IFS(I214="Rob","Robusta",I214="Exc","Excelsa",I214="Ara","Arabica",I214="Lib","Liberica")</f>
        <v>Excelsa</v>
      </c>
      <c r="O214" t="str" cm="1">
        <f t="array" ref="O214">_xlfn.IFS(J214="M","Medium",J214="L","Large",J214="D","Dark")</f>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_xlfn.XLOOKUP(C215,customers!$A$1:$A$1001,customers!$B$1:$B$1001,,0)</f>
        <v>Emiline Galgey</v>
      </c>
      <c r="G215" s="2" t="str">
        <f>IF(_xlfn.XLOOKUP(C215,customers!$A$1:$A$1001,customers!$C$1:$C$1001,,0)=0,"",_xlfn.XLOOKUP(C215,customers!$A$1:$A$1001,customers!$C$1:$C$1001,,0))</f>
        <v>egalgey5x@wufoo.com</v>
      </c>
      <c r="H215" s="2" t="str">
        <f>_xlfn.XLOOKUP(C215,customers!$A$1:$A$1001,customers!$G$1:$G$1001,,0)</f>
        <v>United States</v>
      </c>
      <c r="I215" t="str">
        <f>INDEX(products!$A$1:$G$49,MATCH(orders!$D215,products!$A$1:$A$49,0),MATCH(orders!I$1,products!$A$1:$G$1,0))</f>
        <v>Rob</v>
      </c>
      <c r="J215" t="str">
        <f>INDEX(products!$A$1:$G$49,MATCH(orders!$D215,products!$A$1:$A$49,0),MATCH(orders!J$1,products!$A$1:$G$1,0))</f>
        <v>D</v>
      </c>
      <c r="K215" s="7">
        <f>INDEX(products!$A$1:$G$49,MATCH(orders!$D215,products!$A$1:$A$49,0),MATCH(orders!K$1,products!$A$1:$G$1,0))</f>
        <v>2.5</v>
      </c>
      <c r="L215" s="4">
        <f>INDEX(products!$A$1:$G$49,MATCH(orders!$D215,products!$A$1:$A$49,0),MATCH(orders!L$1,products!$A$1:$G$1,0))</f>
        <v>20.584999999999997</v>
      </c>
      <c r="M215" s="4">
        <f t="shared" si="3"/>
        <v>20.584999999999997</v>
      </c>
      <c r="N215" t="str" cm="1">
        <f t="array" ref="N215">_xlfn.IFS(I215="Rob","Robusta",I215="Exc","Excelsa",I215="Ara","Arabica",I215="Lib","Liberica")</f>
        <v>Robusta</v>
      </c>
      <c r="O215" t="str" cm="1">
        <f t="array" ref="O215">_xlfn.IFS(J215="M","Medium",J215="L","Large",J215="D","Dark")</f>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_xlfn.XLOOKUP(C216,customers!$A$1:$A$1001,customers!$B$1:$B$1001,,0)</f>
        <v>Murdock Hame</v>
      </c>
      <c r="G216" s="2" t="str">
        <f>IF(_xlfn.XLOOKUP(C216,customers!$A$1:$A$1001,customers!$C$1:$C$1001,,0)=0,"",_xlfn.XLOOKUP(C216,customers!$A$1:$A$1001,customers!$C$1:$C$1001,,0))</f>
        <v>mhame5y@newsvine.com</v>
      </c>
      <c r="H216" s="2" t="str">
        <f>_xlfn.XLOOKUP(C216,customers!$A$1:$A$1001,customers!$G$1:$G$1001,,0)</f>
        <v>Ireland</v>
      </c>
      <c r="I216" t="str">
        <f>INDEX(products!$A$1:$G$49,MATCH(orders!$D216,products!$A$1:$A$49,0),MATCH(orders!I$1,products!$A$1:$G$1,0))</f>
        <v>Lib</v>
      </c>
      <c r="J216" t="str">
        <f>INDEX(products!$A$1:$G$49,MATCH(orders!$D216,products!$A$1:$A$49,0),MATCH(orders!J$1,products!$A$1:$G$1,0))</f>
        <v>L</v>
      </c>
      <c r="K216" s="7">
        <f>INDEX(products!$A$1:$G$49,MATCH(orders!$D216,products!$A$1:$A$49,0),MATCH(orders!K$1,products!$A$1:$G$1,0))</f>
        <v>1</v>
      </c>
      <c r="L216" s="4">
        <f>INDEX(products!$A$1:$G$49,MATCH(orders!$D216,products!$A$1:$A$49,0),MATCH(orders!L$1,products!$A$1:$G$1,0))</f>
        <v>15.85</v>
      </c>
      <c r="M216" s="4">
        <f t="shared" si="3"/>
        <v>31.7</v>
      </c>
      <c r="N216" t="str" cm="1">
        <f t="array" ref="N216">_xlfn.IFS(I216="Rob","Robusta",I216="Exc","Excelsa",I216="Ara","Arabica",I216="Lib","Liberica")</f>
        <v>Liberica</v>
      </c>
      <c r="O216" t="str" cm="1">
        <f t="array" ref="O216">_xlfn.IFS(J216="M","Medium",J216="L","Large",J216="D","Dark")</f>
        <v>Large</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_xlfn.XLOOKUP(C217,customers!$A$1:$A$1001,customers!$B$1:$B$1001,,0)</f>
        <v>Ilka Gurnee</v>
      </c>
      <c r="G217" s="2" t="str">
        <f>IF(_xlfn.XLOOKUP(C217,customers!$A$1:$A$1001,customers!$C$1:$C$1001,,0)=0,"",_xlfn.XLOOKUP(C217,customers!$A$1:$A$1001,customers!$C$1:$C$1001,,0))</f>
        <v>igurnee5z@usnews.com</v>
      </c>
      <c r="H217" s="2" t="str">
        <f>_xlfn.XLOOKUP(C217,customers!$A$1:$A$1001,customers!$G$1:$G$1001,,0)</f>
        <v>United States</v>
      </c>
      <c r="I217" t="str">
        <f>INDEX(products!$A$1:$G$49,MATCH(orders!$D217,products!$A$1:$A$49,0),MATCH(orders!I$1,products!$A$1:$G$1,0))</f>
        <v>Lib</v>
      </c>
      <c r="J217" t="str">
        <f>INDEX(products!$A$1:$G$49,MATCH(orders!$D217,products!$A$1:$A$49,0),MATCH(orders!J$1,products!$A$1:$G$1,0))</f>
        <v>D</v>
      </c>
      <c r="K217" s="7">
        <f>INDEX(products!$A$1:$G$49,MATCH(orders!$D217,products!$A$1:$A$49,0),MATCH(orders!K$1,products!$A$1:$G$1,0))</f>
        <v>0.2</v>
      </c>
      <c r="L217" s="4">
        <f>INDEX(products!$A$1:$G$49,MATCH(orders!$D217,products!$A$1:$A$49,0),MATCH(orders!L$1,products!$A$1:$G$1,0))</f>
        <v>3.8849999999999998</v>
      </c>
      <c r="M217" s="4">
        <f t="shared" si="3"/>
        <v>23.31</v>
      </c>
      <c r="N217" t="str" cm="1">
        <f t="array" ref="N217">_xlfn.IFS(I217="Rob","Robusta",I217="Exc","Excelsa",I217="Ara","Arabica",I217="Lib","Liberica")</f>
        <v>Liberica</v>
      </c>
      <c r="O217" t="str" cm="1">
        <f t="array" ref="O217">_xlfn.IFS(J217="M","Medium",J217="L","Large",J217="D","Dark")</f>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_xlfn.XLOOKUP(C218,customers!$A$1:$A$1001,customers!$B$1:$B$1001,,0)</f>
        <v>Alfy Snowding</v>
      </c>
      <c r="G218" s="2" t="str">
        <f>IF(_xlfn.XLOOKUP(C218,customers!$A$1:$A$1001,customers!$C$1:$C$1001,,0)=0,"",_xlfn.XLOOKUP(C218,customers!$A$1:$A$1001,customers!$C$1:$C$1001,,0))</f>
        <v>asnowding60@comsenz.com</v>
      </c>
      <c r="H218" s="2" t="str">
        <f>_xlfn.XLOOKUP(C218,customers!$A$1:$A$1001,customers!$G$1:$G$1001,,0)</f>
        <v>United States</v>
      </c>
      <c r="I218" t="str">
        <f>INDEX(products!$A$1:$G$49,MATCH(orders!$D218,products!$A$1:$A$49,0),MATCH(orders!I$1,products!$A$1:$G$1,0))</f>
        <v>Lib</v>
      </c>
      <c r="J218" t="str">
        <f>INDEX(products!$A$1:$G$49,MATCH(orders!$D218,products!$A$1:$A$49,0),MATCH(orders!J$1,products!$A$1:$G$1,0))</f>
        <v>M</v>
      </c>
      <c r="K218" s="7">
        <f>INDEX(products!$A$1:$G$49,MATCH(orders!$D218,products!$A$1:$A$49,0),MATCH(orders!K$1,products!$A$1:$G$1,0))</f>
        <v>1</v>
      </c>
      <c r="L218" s="4">
        <f>INDEX(products!$A$1:$G$49,MATCH(orders!$D218,products!$A$1:$A$49,0),MATCH(orders!L$1,products!$A$1:$G$1,0))</f>
        <v>14.55</v>
      </c>
      <c r="M218" s="4">
        <f t="shared" si="3"/>
        <v>58.2</v>
      </c>
      <c r="N218" t="str" cm="1">
        <f t="array" ref="N218">_xlfn.IFS(I218="Rob","Robusta",I218="Exc","Excelsa",I218="Ara","Arabica",I218="Lib","Liberica")</f>
        <v>Liberica</v>
      </c>
      <c r="O218" t="str" cm="1">
        <f t="array" ref="O218">_xlfn.IFS(J218="M","Medium",J218="L","Large",J218="D","Dark")</f>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_xlfn.XLOOKUP(C219,customers!$A$1:$A$1001,customers!$B$1:$B$1001,,0)</f>
        <v>Godfry Poinsett</v>
      </c>
      <c r="G219" s="2" t="str">
        <f>IF(_xlfn.XLOOKUP(C219,customers!$A$1:$A$1001,customers!$C$1:$C$1001,,0)=0,"",_xlfn.XLOOKUP(C219,customers!$A$1:$A$1001,customers!$C$1:$C$1001,,0))</f>
        <v>gpoinsett61@berkeley.edu</v>
      </c>
      <c r="H219" s="2" t="str">
        <f>_xlfn.XLOOKUP(C219,customers!$A$1:$A$1001,customers!$G$1:$G$1001,,0)</f>
        <v>United States</v>
      </c>
      <c r="I219" t="str">
        <f>INDEX(products!$A$1:$G$49,MATCH(orders!$D219,products!$A$1:$A$49,0),MATCH(orders!I$1,products!$A$1:$G$1,0))</f>
        <v>Exc</v>
      </c>
      <c r="J219" t="str">
        <f>INDEX(products!$A$1:$G$49,MATCH(orders!$D219,products!$A$1:$A$49,0),MATCH(orders!J$1,products!$A$1:$G$1,0))</f>
        <v>L</v>
      </c>
      <c r="K219" s="7">
        <f>INDEX(products!$A$1:$G$49,MATCH(orders!$D219,products!$A$1:$A$49,0),MATCH(orders!K$1,products!$A$1:$G$1,0))</f>
        <v>0.5</v>
      </c>
      <c r="L219" s="4">
        <f>INDEX(products!$A$1:$G$49,MATCH(orders!$D219,products!$A$1:$A$49,0),MATCH(orders!L$1,products!$A$1:$G$1,0))</f>
        <v>8.91</v>
      </c>
      <c r="M219" s="4">
        <f t="shared" si="3"/>
        <v>35.64</v>
      </c>
      <c r="N219" t="str" cm="1">
        <f t="array" ref="N219">_xlfn.IFS(I219="Rob","Robusta",I219="Exc","Excelsa",I219="Ara","Arabica",I219="Lib","Liberica")</f>
        <v>Excelsa</v>
      </c>
      <c r="O219" t="str" cm="1">
        <f t="array" ref="O219">_xlfn.IFS(J219="M","Medium",J219="L","Large",J219="D","Dark")</f>
        <v>Large</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_xlfn.XLOOKUP(C220,customers!$A$1:$A$1001,customers!$B$1:$B$1001,,0)</f>
        <v>Rem Furman</v>
      </c>
      <c r="G220" s="2" t="str">
        <f>IF(_xlfn.XLOOKUP(C220,customers!$A$1:$A$1001,customers!$C$1:$C$1001,,0)=0,"",_xlfn.XLOOKUP(C220,customers!$A$1:$A$1001,customers!$C$1:$C$1001,,0))</f>
        <v>rfurman62@t.co</v>
      </c>
      <c r="H220" s="2" t="str">
        <f>_xlfn.XLOOKUP(C220,customers!$A$1:$A$1001,customers!$G$1:$G$1001,,0)</f>
        <v>Ireland</v>
      </c>
      <c r="I220" t="str">
        <f>INDEX(products!$A$1:$G$49,MATCH(orders!$D220,products!$A$1:$A$49,0),MATCH(orders!I$1,products!$A$1:$G$1,0))</f>
        <v>Ara</v>
      </c>
      <c r="J220" t="str">
        <f>INDEX(products!$A$1:$G$49,MATCH(orders!$D220,products!$A$1:$A$49,0),MATCH(orders!J$1,products!$A$1:$G$1,0))</f>
        <v>M</v>
      </c>
      <c r="K220" s="7">
        <f>INDEX(products!$A$1:$G$49,MATCH(orders!$D220,products!$A$1:$A$49,0),MATCH(orders!K$1,products!$A$1:$G$1,0))</f>
        <v>1</v>
      </c>
      <c r="L220" s="4">
        <f>INDEX(products!$A$1:$G$49,MATCH(orders!$D220,products!$A$1:$A$49,0),MATCH(orders!L$1,products!$A$1:$G$1,0))</f>
        <v>11.25</v>
      </c>
      <c r="M220" s="4">
        <f t="shared" si="3"/>
        <v>56.25</v>
      </c>
      <c r="N220" t="str" cm="1">
        <f t="array" ref="N220">_xlfn.IFS(I220="Rob","Robusta",I220="Exc","Excelsa",I220="Ara","Arabica",I220="Lib","Liberica")</f>
        <v>Arabica</v>
      </c>
      <c r="O220" t="str" cm="1">
        <f t="array" ref="O220">_xlfn.IFS(J220="M","Medium",J220="L","Large",J220="D","Dark")</f>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_xlfn.XLOOKUP(C221,customers!$A$1:$A$1001,customers!$B$1:$B$1001,,0)</f>
        <v>Charis Crosier</v>
      </c>
      <c r="G221" s="2" t="str">
        <f>IF(_xlfn.XLOOKUP(C221,customers!$A$1:$A$1001,customers!$C$1:$C$1001,,0)=0,"",_xlfn.XLOOKUP(C221,customers!$A$1:$A$1001,customers!$C$1:$C$1001,,0))</f>
        <v>ccrosier63@xrea.com</v>
      </c>
      <c r="H221" s="2" t="str">
        <f>_xlfn.XLOOKUP(C221,customers!$A$1:$A$1001,customers!$G$1:$G$1001,,0)</f>
        <v>United States</v>
      </c>
      <c r="I221" t="str">
        <f>INDEX(products!$A$1:$G$49,MATCH(orders!$D221,products!$A$1:$A$49,0),MATCH(orders!I$1,products!$A$1:$G$1,0))</f>
        <v>Rob</v>
      </c>
      <c r="J221" t="str">
        <f>INDEX(products!$A$1:$G$49,MATCH(orders!$D221,products!$A$1:$A$49,0),MATCH(orders!J$1,products!$A$1:$G$1,0))</f>
        <v>L</v>
      </c>
      <c r="K221" s="7">
        <f>INDEX(products!$A$1:$G$49,MATCH(orders!$D221,products!$A$1:$A$49,0),MATCH(orders!K$1,products!$A$1:$G$1,0))</f>
        <v>0.2</v>
      </c>
      <c r="L221" s="4">
        <f>INDEX(products!$A$1:$G$49,MATCH(orders!$D221,products!$A$1:$A$49,0),MATCH(orders!L$1,products!$A$1:$G$1,0))</f>
        <v>3.5849999999999995</v>
      </c>
      <c r="M221" s="4">
        <f t="shared" si="3"/>
        <v>10.754999999999999</v>
      </c>
      <c r="N221" t="str" cm="1">
        <f t="array" ref="N221">_xlfn.IFS(I221="Rob","Robusta",I221="Exc","Excelsa",I221="Ara","Arabica",I221="Lib","Liberica")</f>
        <v>Robusta</v>
      </c>
      <c r="O221" t="str" cm="1">
        <f t="array" ref="O221">_xlfn.IFS(J221="M","Medium",J221="L","Large",J221="D","Dark")</f>
        <v>Large</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_xlfn.XLOOKUP(C222,customers!$A$1:$A$1001,customers!$B$1:$B$1001,,0)</f>
        <v>Charis Crosier</v>
      </c>
      <c r="G222" s="2" t="str">
        <f>IF(_xlfn.XLOOKUP(C222,customers!$A$1:$A$1001,customers!$C$1:$C$1001,,0)=0,"",_xlfn.XLOOKUP(C222,customers!$A$1:$A$1001,customers!$C$1:$C$1001,,0))</f>
        <v>ccrosier63@xrea.com</v>
      </c>
      <c r="H222" s="2" t="str">
        <f>_xlfn.XLOOKUP(C222,customers!$A$1:$A$1001,customers!$G$1:$G$1001,,0)</f>
        <v>United States</v>
      </c>
      <c r="I222" t="str">
        <f>INDEX(products!$A$1:$G$49,MATCH(orders!$D222,products!$A$1:$A$49,0),MATCH(orders!I$1,products!$A$1:$G$1,0))</f>
        <v>Rob</v>
      </c>
      <c r="J222" t="str">
        <f>INDEX(products!$A$1:$G$49,MATCH(orders!$D222,products!$A$1:$A$49,0),MATCH(orders!J$1,products!$A$1:$G$1,0))</f>
        <v>M</v>
      </c>
      <c r="K222" s="7">
        <f>INDEX(products!$A$1:$G$49,MATCH(orders!$D222,products!$A$1:$A$49,0),MATCH(orders!K$1,products!$A$1:$G$1,0))</f>
        <v>0.2</v>
      </c>
      <c r="L222" s="4">
        <f>INDEX(products!$A$1:$G$49,MATCH(orders!$D222,products!$A$1:$A$49,0),MATCH(orders!L$1,products!$A$1:$G$1,0))</f>
        <v>2.9849999999999999</v>
      </c>
      <c r="M222" s="4">
        <f t="shared" si="3"/>
        <v>14.924999999999999</v>
      </c>
      <c r="N222" t="str" cm="1">
        <f t="array" ref="N222">_xlfn.IFS(I222="Rob","Robusta",I222="Exc","Excelsa",I222="Ara","Arabica",I222="Lib","Liberica")</f>
        <v>Robusta</v>
      </c>
      <c r="O222" t="str" cm="1">
        <f t="array" ref="O222">_xlfn.IFS(J222="M","Medium",J222="L","Large",J222="D","Dark")</f>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_xlfn.XLOOKUP(C223,customers!$A$1:$A$1001,customers!$B$1:$B$1001,,0)</f>
        <v>Lenka Rushmer</v>
      </c>
      <c r="G223" s="2" t="str">
        <f>IF(_xlfn.XLOOKUP(C223,customers!$A$1:$A$1001,customers!$C$1:$C$1001,,0)=0,"",_xlfn.XLOOKUP(C223,customers!$A$1:$A$1001,customers!$C$1:$C$1001,,0))</f>
        <v>lrushmer65@europa.eu</v>
      </c>
      <c r="H223" s="2" t="str">
        <f>_xlfn.XLOOKUP(C223,customers!$A$1:$A$1001,customers!$G$1:$G$1001,,0)</f>
        <v>United States</v>
      </c>
      <c r="I223" t="str">
        <f>INDEX(products!$A$1:$G$49,MATCH(orders!$D223,products!$A$1:$A$49,0),MATCH(orders!I$1,products!$A$1:$G$1,0))</f>
        <v>Ara</v>
      </c>
      <c r="J223" t="str">
        <f>INDEX(products!$A$1:$G$49,MATCH(orders!$D223,products!$A$1:$A$49,0),MATCH(orders!J$1,products!$A$1:$G$1,0))</f>
        <v>L</v>
      </c>
      <c r="K223" s="7">
        <f>INDEX(products!$A$1:$G$49,MATCH(orders!$D223,products!$A$1:$A$49,0),MATCH(orders!K$1,products!$A$1:$G$1,0))</f>
        <v>1</v>
      </c>
      <c r="L223" s="4">
        <f>INDEX(products!$A$1:$G$49,MATCH(orders!$D223,products!$A$1:$A$49,0),MATCH(orders!L$1,products!$A$1:$G$1,0))</f>
        <v>12.95</v>
      </c>
      <c r="M223" s="4">
        <f t="shared" si="3"/>
        <v>77.699999999999989</v>
      </c>
      <c r="N223" t="str" cm="1">
        <f t="array" ref="N223">_xlfn.IFS(I223="Rob","Robusta",I223="Exc","Excelsa",I223="Ara","Arabica",I223="Lib","Liberica")</f>
        <v>Arabica</v>
      </c>
      <c r="O223" t="str" cm="1">
        <f t="array" ref="O223">_xlfn.IFS(J223="M","Medium",J223="L","Large",J223="D","Dark")</f>
        <v>Large</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_xlfn.XLOOKUP(C224,customers!$A$1:$A$1001,customers!$B$1:$B$1001,,0)</f>
        <v>Waneta Edinborough</v>
      </c>
      <c r="G224" s="2" t="str">
        <f>IF(_xlfn.XLOOKUP(C224,customers!$A$1:$A$1001,customers!$C$1:$C$1001,,0)=0,"",_xlfn.XLOOKUP(C224,customers!$A$1:$A$1001,customers!$C$1:$C$1001,,0))</f>
        <v>wedinborough66@github.io</v>
      </c>
      <c r="H224" s="2" t="str">
        <f>_xlfn.XLOOKUP(C224,customers!$A$1:$A$1001,customers!$G$1:$G$1001,,0)</f>
        <v>United States</v>
      </c>
      <c r="I224" t="str">
        <f>INDEX(products!$A$1:$G$49,MATCH(orders!$D224,products!$A$1:$A$49,0),MATCH(orders!I$1,products!$A$1:$G$1,0))</f>
        <v>Lib</v>
      </c>
      <c r="J224" t="str">
        <f>INDEX(products!$A$1:$G$49,MATCH(orders!$D224,products!$A$1:$A$49,0),MATCH(orders!J$1,products!$A$1:$G$1,0))</f>
        <v>D</v>
      </c>
      <c r="K224" s="7">
        <f>INDEX(products!$A$1:$G$49,MATCH(orders!$D224,products!$A$1:$A$49,0),MATCH(orders!K$1,products!$A$1:$G$1,0))</f>
        <v>0.5</v>
      </c>
      <c r="L224" s="4">
        <f>INDEX(products!$A$1:$G$49,MATCH(orders!$D224,products!$A$1:$A$49,0),MATCH(orders!L$1,products!$A$1:$G$1,0))</f>
        <v>7.77</v>
      </c>
      <c r="M224" s="4">
        <f t="shared" si="3"/>
        <v>23.31</v>
      </c>
      <c r="N224" t="str" cm="1">
        <f t="array" ref="N224">_xlfn.IFS(I224="Rob","Robusta",I224="Exc","Excelsa",I224="Ara","Arabica",I224="Lib","Liberica")</f>
        <v>Liberica</v>
      </c>
      <c r="O224" t="str" cm="1">
        <f t="array" ref="O224">_xlfn.IFS(J224="M","Medium",J224="L","Large",J224="D","Dark")</f>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_xlfn.XLOOKUP(C225,customers!$A$1:$A$1001,customers!$B$1:$B$1001,,0)</f>
        <v>Bobbe Piggott</v>
      </c>
      <c r="G225" s="2" t="str">
        <f>IF(_xlfn.XLOOKUP(C225,customers!$A$1:$A$1001,customers!$C$1:$C$1001,,0)=0,"",_xlfn.XLOOKUP(C225,customers!$A$1:$A$1001,customers!$C$1:$C$1001,,0))</f>
        <v/>
      </c>
      <c r="H225" s="2" t="str">
        <f>_xlfn.XLOOKUP(C225,customers!$A$1:$A$1001,customers!$G$1:$G$1001,,0)</f>
        <v>United States</v>
      </c>
      <c r="I225" t="str">
        <f>INDEX(products!$A$1:$G$49,MATCH(orders!$D225,products!$A$1:$A$49,0),MATCH(orders!I$1,products!$A$1:$G$1,0))</f>
        <v>Exc</v>
      </c>
      <c r="J225" t="str">
        <f>INDEX(products!$A$1:$G$49,MATCH(orders!$D225,products!$A$1:$A$49,0),MATCH(orders!J$1,products!$A$1:$G$1,0))</f>
        <v>L</v>
      </c>
      <c r="K225" s="7">
        <f>INDEX(products!$A$1:$G$49,MATCH(orders!$D225,products!$A$1:$A$49,0),MATCH(orders!K$1,products!$A$1:$G$1,0))</f>
        <v>1</v>
      </c>
      <c r="L225" s="4">
        <f>INDEX(products!$A$1:$G$49,MATCH(orders!$D225,products!$A$1:$A$49,0),MATCH(orders!L$1,products!$A$1:$G$1,0))</f>
        <v>14.85</v>
      </c>
      <c r="M225" s="4">
        <f t="shared" si="3"/>
        <v>59.4</v>
      </c>
      <c r="N225" t="str" cm="1">
        <f t="array" ref="N225">_xlfn.IFS(I225="Rob","Robusta",I225="Exc","Excelsa",I225="Ara","Arabica",I225="Lib","Liberica")</f>
        <v>Excelsa</v>
      </c>
      <c r="O225" t="str" cm="1">
        <f t="array" ref="O225">_xlfn.IFS(J225="M","Medium",J225="L","Large",J225="D","Dark")</f>
        <v>Large</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_xlfn.XLOOKUP(C226,customers!$A$1:$A$1001,customers!$B$1:$B$1001,,0)</f>
        <v>Ketty Bromehead</v>
      </c>
      <c r="G226" s="2" t="str">
        <f>IF(_xlfn.XLOOKUP(C226,customers!$A$1:$A$1001,customers!$C$1:$C$1001,,0)=0,"",_xlfn.XLOOKUP(C226,customers!$A$1:$A$1001,customers!$C$1:$C$1001,,0))</f>
        <v>kbromehead68@un.org</v>
      </c>
      <c r="H226" s="2" t="str">
        <f>_xlfn.XLOOKUP(C226,customers!$A$1:$A$1001,customers!$G$1:$G$1001,,0)</f>
        <v>United States</v>
      </c>
      <c r="I226" t="str">
        <f>INDEX(products!$A$1:$G$49,MATCH(orders!$D226,products!$A$1:$A$49,0),MATCH(orders!I$1,products!$A$1:$G$1,0))</f>
        <v>Lib</v>
      </c>
      <c r="J226" t="str">
        <f>INDEX(products!$A$1:$G$49,MATCH(orders!$D226,products!$A$1:$A$49,0),MATCH(orders!J$1,products!$A$1:$G$1,0))</f>
        <v>D</v>
      </c>
      <c r="K226" s="7">
        <f>INDEX(products!$A$1:$G$49,MATCH(orders!$D226,products!$A$1:$A$49,0),MATCH(orders!K$1,products!$A$1:$G$1,0))</f>
        <v>2.5</v>
      </c>
      <c r="L226" s="4">
        <f>INDEX(products!$A$1:$G$49,MATCH(orders!$D226,products!$A$1:$A$49,0),MATCH(orders!L$1,products!$A$1:$G$1,0))</f>
        <v>29.784999999999997</v>
      </c>
      <c r="M226" s="4">
        <f t="shared" si="3"/>
        <v>119.13999999999999</v>
      </c>
      <c r="N226" t="str" cm="1">
        <f t="array" ref="N226">_xlfn.IFS(I226="Rob","Robusta",I226="Exc","Excelsa",I226="Ara","Arabica",I226="Lib","Liberica")</f>
        <v>Liberica</v>
      </c>
      <c r="O226" t="str" cm="1">
        <f t="array" ref="O226">_xlfn.IFS(J226="M","Medium",J226="L","Large",J226="D","Dark")</f>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_xlfn.XLOOKUP(C227,customers!$A$1:$A$1001,customers!$B$1:$B$1001,,0)</f>
        <v>Elsbeth Westerman</v>
      </c>
      <c r="G227" s="2" t="str">
        <f>IF(_xlfn.XLOOKUP(C227,customers!$A$1:$A$1001,customers!$C$1:$C$1001,,0)=0,"",_xlfn.XLOOKUP(C227,customers!$A$1:$A$1001,customers!$C$1:$C$1001,,0))</f>
        <v>ewesterman69@si.edu</v>
      </c>
      <c r="H227" s="2" t="str">
        <f>_xlfn.XLOOKUP(C227,customers!$A$1:$A$1001,customers!$G$1:$G$1001,,0)</f>
        <v>Ireland</v>
      </c>
      <c r="I227" t="str">
        <f>INDEX(products!$A$1:$G$49,MATCH(orders!$D227,products!$A$1:$A$49,0),MATCH(orders!I$1,products!$A$1:$G$1,0))</f>
        <v>Rob</v>
      </c>
      <c r="J227" t="str">
        <f>INDEX(products!$A$1:$G$49,MATCH(orders!$D227,products!$A$1:$A$49,0),MATCH(orders!J$1,products!$A$1:$G$1,0))</f>
        <v>L</v>
      </c>
      <c r="K227" s="7">
        <f>INDEX(products!$A$1:$G$49,MATCH(orders!$D227,products!$A$1:$A$49,0),MATCH(orders!K$1,products!$A$1:$G$1,0))</f>
        <v>0.2</v>
      </c>
      <c r="L227" s="4">
        <f>INDEX(products!$A$1:$G$49,MATCH(orders!$D227,products!$A$1:$A$49,0),MATCH(orders!L$1,products!$A$1:$G$1,0))</f>
        <v>3.5849999999999995</v>
      </c>
      <c r="M227" s="4">
        <f t="shared" si="3"/>
        <v>14.339999999999998</v>
      </c>
      <c r="N227" t="str" cm="1">
        <f t="array" ref="N227">_xlfn.IFS(I227="Rob","Robusta",I227="Exc","Excelsa",I227="Ara","Arabica",I227="Lib","Liberica")</f>
        <v>Robusta</v>
      </c>
      <c r="O227" t="str" cm="1">
        <f t="array" ref="O227">_xlfn.IFS(J227="M","Medium",J227="L","Large",J227="D","Dark")</f>
        <v>Large</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_xlfn.XLOOKUP(C228,customers!$A$1:$A$1001,customers!$B$1:$B$1001,,0)</f>
        <v>Anabelle Hutchens</v>
      </c>
      <c r="G228" s="2" t="str">
        <f>IF(_xlfn.XLOOKUP(C228,customers!$A$1:$A$1001,customers!$C$1:$C$1001,,0)=0,"",_xlfn.XLOOKUP(C228,customers!$A$1:$A$1001,customers!$C$1:$C$1001,,0))</f>
        <v>ahutchens6a@amazonaws.com</v>
      </c>
      <c r="H228" s="2" t="str">
        <f>_xlfn.XLOOKUP(C228,customers!$A$1:$A$1001,customers!$G$1:$G$1001,,0)</f>
        <v>United States</v>
      </c>
      <c r="I228" t="str">
        <f>INDEX(products!$A$1:$G$49,MATCH(orders!$D228,products!$A$1:$A$49,0),MATCH(orders!I$1,products!$A$1:$G$1,0))</f>
        <v>Ara</v>
      </c>
      <c r="J228" t="str">
        <f>INDEX(products!$A$1:$G$49,MATCH(orders!$D228,products!$A$1:$A$49,0),MATCH(orders!J$1,products!$A$1:$G$1,0))</f>
        <v>M</v>
      </c>
      <c r="K228" s="7">
        <f>INDEX(products!$A$1:$G$49,MATCH(orders!$D228,products!$A$1:$A$49,0),MATCH(orders!K$1,products!$A$1:$G$1,0))</f>
        <v>2.5</v>
      </c>
      <c r="L228" s="4">
        <f>INDEX(products!$A$1:$G$49,MATCH(orders!$D228,products!$A$1:$A$49,0),MATCH(orders!L$1,products!$A$1:$G$1,0))</f>
        <v>25.874999999999996</v>
      </c>
      <c r="M228" s="4">
        <f t="shared" si="3"/>
        <v>129.37499999999997</v>
      </c>
      <c r="N228" t="str" cm="1">
        <f t="array" ref="N228">_xlfn.IFS(I228="Rob","Robusta",I228="Exc","Excelsa",I228="Ara","Arabica",I228="Lib","Liberica")</f>
        <v>Arabica</v>
      </c>
      <c r="O228" t="str" cm="1">
        <f t="array" ref="O228">_xlfn.IFS(J228="M","Medium",J228="L","Large",J228="D","Dark")</f>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_xlfn.XLOOKUP(C229,customers!$A$1:$A$1001,customers!$B$1:$B$1001,,0)</f>
        <v>Noak Wyvill</v>
      </c>
      <c r="G229" s="2" t="str">
        <f>IF(_xlfn.XLOOKUP(C229,customers!$A$1:$A$1001,customers!$C$1:$C$1001,,0)=0,"",_xlfn.XLOOKUP(C229,customers!$A$1:$A$1001,customers!$C$1:$C$1001,,0))</f>
        <v>nwyvill6b@naver.com</v>
      </c>
      <c r="H229" s="2" t="str">
        <f>_xlfn.XLOOKUP(C229,customers!$A$1:$A$1001,customers!$G$1:$G$1001,,0)</f>
        <v>United Kingdom</v>
      </c>
      <c r="I229" t="str">
        <f>INDEX(products!$A$1:$G$49,MATCH(orders!$D229,products!$A$1:$A$49,0),MATCH(orders!I$1,products!$A$1:$G$1,0))</f>
        <v>Rob</v>
      </c>
      <c r="J229" t="str">
        <f>INDEX(products!$A$1:$G$49,MATCH(orders!$D229,products!$A$1:$A$49,0),MATCH(orders!J$1,products!$A$1:$G$1,0))</f>
        <v>D</v>
      </c>
      <c r="K229" s="7">
        <f>INDEX(products!$A$1:$G$49,MATCH(orders!$D229,products!$A$1:$A$49,0),MATCH(orders!K$1,products!$A$1:$G$1,0))</f>
        <v>0.2</v>
      </c>
      <c r="L229" s="4">
        <f>INDEX(products!$A$1:$G$49,MATCH(orders!$D229,products!$A$1:$A$49,0),MATCH(orders!L$1,products!$A$1:$G$1,0))</f>
        <v>2.6849999999999996</v>
      </c>
      <c r="M229" s="4">
        <f t="shared" si="3"/>
        <v>16.11</v>
      </c>
      <c r="N229" t="str" cm="1">
        <f t="array" ref="N229">_xlfn.IFS(I229="Rob","Robusta",I229="Exc","Excelsa",I229="Ara","Arabica",I229="Lib","Liberica")</f>
        <v>Robusta</v>
      </c>
      <c r="O229" t="str" cm="1">
        <f t="array" ref="O229">_xlfn.IFS(J229="M","Medium",J229="L","Large",J229="D","Dark")</f>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_xlfn.XLOOKUP(C230,customers!$A$1:$A$1001,customers!$B$1:$B$1001,,0)</f>
        <v>Beltran Mathon</v>
      </c>
      <c r="G230" s="2" t="str">
        <f>IF(_xlfn.XLOOKUP(C230,customers!$A$1:$A$1001,customers!$C$1:$C$1001,,0)=0,"",_xlfn.XLOOKUP(C230,customers!$A$1:$A$1001,customers!$C$1:$C$1001,,0))</f>
        <v>bmathon6c@barnesandnoble.com</v>
      </c>
      <c r="H230" s="2" t="str">
        <f>_xlfn.XLOOKUP(C230,customers!$A$1:$A$1001,customers!$G$1:$G$1001,,0)</f>
        <v>United States</v>
      </c>
      <c r="I230" t="str">
        <f>INDEX(products!$A$1:$G$49,MATCH(orders!$D230,products!$A$1:$A$49,0),MATCH(orders!I$1,products!$A$1:$G$1,0))</f>
        <v>Rob</v>
      </c>
      <c r="J230" t="str">
        <f>INDEX(products!$A$1:$G$49,MATCH(orders!$D230,products!$A$1:$A$49,0),MATCH(orders!J$1,products!$A$1:$G$1,0))</f>
        <v>L</v>
      </c>
      <c r="K230" s="7">
        <f>INDEX(products!$A$1:$G$49,MATCH(orders!$D230,products!$A$1:$A$49,0),MATCH(orders!K$1,products!$A$1:$G$1,0))</f>
        <v>0.2</v>
      </c>
      <c r="L230" s="4">
        <f>INDEX(products!$A$1:$G$49,MATCH(orders!$D230,products!$A$1:$A$49,0),MATCH(orders!L$1,products!$A$1:$G$1,0))</f>
        <v>3.5849999999999995</v>
      </c>
      <c r="M230" s="4">
        <f t="shared" si="3"/>
        <v>17.924999999999997</v>
      </c>
      <c r="N230" t="str" cm="1">
        <f t="array" ref="N230">_xlfn.IFS(I230="Rob","Robusta",I230="Exc","Excelsa",I230="Ara","Arabica",I230="Lib","Liberica")</f>
        <v>Robusta</v>
      </c>
      <c r="O230" t="str" cm="1">
        <f t="array" ref="O230">_xlfn.IFS(J230="M","Medium",J230="L","Large",J230="D","Dark")</f>
        <v>Large</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_xlfn.XLOOKUP(C231,customers!$A$1:$A$1001,customers!$B$1:$B$1001,,0)</f>
        <v>Kristos Streight</v>
      </c>
      <c r="G231" s="2" t="str">
        <f>IF(_xlfn.XLOOKUP(C231,customers!$A$1:$A$1001,customers!$C$1:$C$1001,,0)=0,"",_xlfn.XLOOKUP(C231,customers!$A$1:$A$1001,customers!$C$1:$C$1001,,0))</f>
        <v>kstreight6d@about.com</v>
      </c>
      <c r="H231" s="2" t="str">
        <f>_xlfn.XLOOKUP(C231,customers!$A$1:$A$1001,customers!$G$1:$G$1001,,0)</f>
        <v>United States</v>
      </c>
      <c r="I231" t="str">
        <f>INDEX(products!$A$1:$G$49,MATCH(orders!$D231,products!$A$1:$A$49,0),MATCH(orders!I$1,products!$A$1:$G$1,0))</f>
        <v>Lib</v>
      </c>
      <c r="J231" t="str">
        <f>INDEX(products!$A$1:$G$49,MATCH(orders!$D231,products!$A$1:$A$49,0),MATCH(orders!J$1,products!$A$1:$G$1,0))</f>
        <v>M</v>
      </c>
      <c r="K231" s="7">
        <f>INDEX(products!$A$1:$G$49,MATCH(orders!$D231,products!$A$1:$A$49,0),MATCH(orders!K$1,products!$A$1:$G$1,0))</f>
        <v>0.2</v>
      </c>
      <c r="L231" s="4">
        <f>INDEX(products!$A$1:$G$49,MATCH(orders!$D231,products!$A$1:$A$49,0),MATCH(orders!L$1,products!$A$1:$G$1,0))</f>
        <v>4.3650000000000002</v>
      </c>
      <c r="M231" s="4">
        <f t="shared" si="3"/>
        <v>8.73</v>
      </c>
      <c r="N231" t="str" cm="1">
        <f t="array" ref="N231">_xlfn.IFS(I231="Rob","Robusta",I231="Exc","Excelsa",I231="Ara","Arabica",I231="Lib","Liberica")</f>
        <v>Liberica</v>
      </c>
      <c r="O231" t="str" cm="1">
        <f t="array" ref="O231">_xlfn.IFS(J231="M","Medium",J231="L","Large",J231="D","Dark")</f>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_xlfn.XLOOKUP(C232,customers!$A$1:$A$1001,customers!$B$1:$B$1001,,0)</f>
        <v>Portie Cutchie</v>
      </c>
      <c r="G232" s="2" t="str">
        <f>IF(_xlfn.XLOOKUP(C232,customers!$A$1:$A$1001,customers!$C$1:$C$1001,,0)=0,"",_xlfn.XLOOKUP(C232,customers!$A$1:$A$1001,customers!$C$1:$C$1001,,0))</f>
        <v>pcutchie6e@globo.com</v>
      </c>
      <c r="H232" s="2" t="str">
        <f>_xlfn.XLOOKUP(C232,customers!$A$1:$A$1001,customers!$G$1:$G$1001,,0)</f>
        <v>United States</v>
      </c>
      <c r="I232" t="str">
        <f>INDEX(products!$A$1:$G$49,MATCH(orders!$D232,products!$A$1:$A$49,0),MATCH(orders!I$1,products!$A$1:$G$1,0))</f>
        <v>Ara</v>
      </c>
      <c r="J232" t="str">
        <f>INDEX(products!$A$1:$G$49,MATCH(orders!$D232,products!$A$1:$A$49,0),MATCH(orders!J$1,products!$A$1:$G$1,0))</f>
        <v>M</v>
      </c>
      <c r="K232" s="7">
        <f>INDEX(products!$A$1:$G$49,MATCH(orders!$D232,products!$A$1:$A$49,0),MATCH(orders!K$1,products!$A$1:$G$1,0))</f>
        <v>2.5</v>
      </c>
      <c r="L232" s="4">
        <f>INDEX(products!$A$1:$G$49,MATCH(orders!$D232,products!$A$1:$A$49,0),MATCH(orders!L$1,products!$A$1:$G$1,0))</f>
        <v>25.874999999999996</v>
      </c>
      <c r="M232" s="4">
        <f t="shared" si="3"/>
        <v>51.749999999999993</v>
      </c>
      <c r="N232" t="str" cm="1">
        <f t="array" ref="N232">_xlfn.IFS(I232="Rob","Robusta",I232="Exc","Excelsa",I232="Ara","Arabica",I232="Lib","Liberica")</f>
        <v>Arabica</v>
      </c>
      <c r="O232" t="str" cm="1">
        <f t="array" ref="O232">_xlfn.IFS(J232="M","Medium",J232="L","Large",J232="D","Dark")</f>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_xlfn.XLOOKUP(C233,customers!$A$1:$A$1001,customers!$B$1:$B$1001,,0)</f>
        <v>Sinclare Edsell</v>
      </c>
      <c r="G233" s="2" t="str">
        <f>IF(_xlfn.XLOOKUP(C233,customers!$A$1:$A$1001,customers!$C$1:$C$1001,,0)=0,"",_xlfn.XLOOKUP(C233,customers!$A$1:$A$1001,customers!$C$1:$C$1001,,0))</f>
        <v/>
      </c>
      <c r="H233" s="2" t="str">
        <f>_xlfn.XLOOKUP(C233,customers!$A$1:$A$1001,customers!$G$1:$G$1001,,0)</f>
        <v>United States</v>
      </c>
      <c r="I233" t="str">
        <f>INDEX(products!$A$1:$G$49,MATCH(orders!$D233,products!$A$1:$A$49,0),MATCH(orders!I$1,products!$A$1:$G$1,0))</f>
        <v>Lib</v>
      </c>
      <c r="J233" t="str">
        <f>INDEX(products!$A$1:$G$49,MATCH(orders!$D233,products!$A$1:$A$49,0),MATCH(orders!J$1,products!$A$1:$G$1,0))</f>
        <v>M</v>
      </c>
      <c r="K233" s="7">
        <f>INDEX(products!$A$1:$G$49,MATCH(orders!$D233,products!$A$1:$A$49,0),MATCH(orders!K$1,products!$A$1:$G$1,0))</f>
        <v>0.2</v>
      </c>
      <c r="L233" s="4">
        <f>INDEX(products!$A$1:$G$49,MATCH(orders!$D233,products!$A$1:$A$49,0),MATCH(orders!L$1,products!$A$1:$G$1,0))</f>
        <v>4.3650000000000002</v>
      </c>
      <c r="M233" s="4">
        <f t="shared" si="3"/>
        <v>8.73</v>
      </c>
      <c r="N233" t="str" cm="1">
        <f t="array" ref="N233">_xlfn.IFS(I233="Rob","Robusta",I233="Exc","Excelsa",I233="Ara","Arabica",I233="Lib","Liberica")</f>
        <v>Liberica</v>
      </c>
      <c r="O233" t="str" cm="1">
        <f t="array" ref="O233">_xlfn.IFS(J233="M","Medium",J233="L","Large",J233="D","Dark")</f>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_xlfn.XLOOKUP(C234,customers!$A$1:$A$1001,customers!$B$1:$B$1001,,0)</f>
        <v>Conny Gheraldi</v>
      </c>
      <c r="G234" s="2" t="str">
        <f>IF(_xlfn.XLOOKUP(C234,customers!$A$1:$A$1001,customers!$C$1:$C$1001,,0)=0,"",_xlfn.XLOOKUP(C234,customers!$A$1:$A$1001,customers!$C$1:$C$1001,,0))</f>
        <v>cgheraldi6g@opera.com</v>
      </c>
      <c r="H234" s="2" t="str">
        <f>_xlfn.XLOOKUP(C234,customers!$A$1:$A$1001,customers!$G$1:$G$1001,,0)</f>
        <v>United Kingdom</v>
      </c>
      <c r="I234" t="str">
        <f>INDEX(products!$A$1:$G$49,MATCH(orders!$D234,products!$A$1:$A$49,0),MATCH(orders!I$1,products!$A$1:$G$1,0))</f>
        <v>Lib</v>
      </c>
      <c r="J234" t="str">
        <f>INDEX(products!$A$1:$G$49,MATCH(orders!$D234,products!$A$1:$A$49,0),MATCH(orders!J$1,products!$A$1:$G$1,0))</f>
        <v>L</v>
      </c>
      <c r="K234" s="7">
        <f>INDEX(products!$A$1:$G$49,MATCH(orders!$D234,products!$A$1:$A$49,0),MATCH(orders!K$1,products!$A$1:$G$1,0))</f>
        <v>0.2</v>
      </c>
      <c r="L234" s="4">
        <f>INDEX(products!$A$1:$G$49,MATCH(orders!$D234,products!$A$1:$A$49,0),MATCH(orders!L$1,products!$A$1:$G$1,0))</f>
        <v>4.7549999999999999</v>
      </c>
      <c r="M234" s="4">
        <f t="shared" si="3"/>
        <v>23.774999999999999</v>
      </c>
      <c r="N234" t="str" cm="1">
        <f t="array" ref="N234">_xlfn.IFS(I234="Rob","Robusta",I234="Exc","Excelsa",I234="Ara","Arabica",I234="Lib","Liberica")</f>
        <v>Liberica</v>
      </c>
      <c r="O234" t="str" cm="1">
        <f t="array" ref="O234">_xlfn.IFS(J234="M","Medium",J234="L","Large",J234="D","Dark")</f>
        <v>Large</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_xlfn.XLOOKUP(C235,customers!$A$1:$A$1001,customers!$B$1:$B$1001,,0)</f>
        <v>Beryle Kenwell</v>
      </c>
      <c r="G235" s="2" t="str">
        <f>IF(_xlfn.XLOOKUP(C235,customers!$A$1:$A$1001,customers!$C$1:$C$1001,,0)=0,"",_xlfn.XLOOKUP(C235,customers!$A$1:$A$1001,customers!$C$1:$C$1001,,0))</f>
        <v>bkenwell6h@over-blog.com</v>
      </c>
      <c r="H235" s="2" t="str">
        <f>_xlfn.XLOOKUP(C235,customers!$A$1:$A$1001,customers!$G$1:$G$1001,,0)</f>
        <v>United States</v>
      </c>
      <c r="I235" t="str">
        <f>INDEX(products!$A$1:$G$49,MATCH(orders!$D235,products!$A$1:$A$49,0),MATCH(orders!I$1,products!$A$1:$G$1,0))</f>
        <v>Exc</v>
      </c>
      <c r="J235" t="str">
        <f>INDEX(products!$A$1:$G$49,MATCH(orders!$D235,products!$A$1:$A$49,0),MATCH(orders!J$1,products!$A$1:$G$1,0))</f>
        <v>M</v>
      </c>
      <c r="K235" s="7">
        <f>INDEX(products!$A$1:$G$49,MATCH(orders!$D235,products!$A$1:$A$49,0),MATCH(orders!K$1,products!$A$1:$G$1,0))</f>
        <v>0.2</v>
      </c>
      <c r="L235" s="4">
        <f>INDEX(products!$A$1:$G$49,MATCH(orders!$D235,products!$A$1:$A$49,0),MATCH(orders!L$1,products!$A$1:$G$1,0))</f>
        <v>4.125</v>
      </c>
      <c r="M235" s="4">
        <f t="shared" si="3"/>
        <v>20.625</v>
      </c>
      <c r="N235" t="str" cm="1">
        <f t="array" ref="N235">_xlfn.IFS(I235="Rob","Robusta",I235="Exc","Excelsa",I235="Ara","Arabica",I235="Lib","Liberica")</f>
        <v>Excelsa</v>
      </c>
      <c r="O235" t="str" cm="1">
        <f t="array" ref="O235">_xlfn.IFS(J235="M","Medium",J235="L","Large",J235="D","Dark")</f>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_xlfn.XLOOKUP(C236,customers!$A$1:$A$1001,customers!$B$1:$B$1001,,0)</f>
        <v>Tomas Sutty</v>
      </c>
      <c r="G236" s="2" t="str">
        <f>IF(_xlfn.XLOOKUP(C236,customers!$A$1:$A$1001,customers!$C$1:$C$1001,,0)=0,"",_xlfn.XLOOKUP(C236,customers!$A$1:$A$1001,customers!$C$1:$C$1001,,0))</f>
        <v>tsutty6i@google.es</v>
      </c>
      <c r="H236" s="2" t="str">
        <f>_xlfn.XLOOKUP(C236,customers!$A$1:$A$1001,customers!$G$1:$G$1001,,0)</f>
        <v>United States</v>
      </c>
      <c r="I236" t="str">
        <f>INDEX(products!$A$1:$G$49,MATCH(orders!$D236,products!$A$1:$A$49,0),MATCH(orders!I$1,products!$A$1:$G$1,0))</f>
        <v>Lib</v>
      </c>
      <c r="J236" t="str">
        <f>INDEX(products!$A$1:$G$49,MATCH(orders!$D236,products!$A$1:$A$49,0),MATCH(orders!J$1,products!$A$1:$G$1,0))</f>
        <v>L</v>
      </c>
      <c r="K236" s="7">
        <f>INDEX(products!$A$1:$G$49,MATCH(orders!$D236,products!$A$1:$A$49,0),MATCH(orders!K$1,products!$A$1:$G$1,0))</f>
        <v>2.5</v>
      </c>
      <c r="L236" s="4">
        <f>INDEX(products!$A$1:$G$49,MATCH(orders!$D236,products!$A$1:$A$49,0),MATCH(orders!L$1,products!$A$1:$G$1,0))</f>
        <v>36.454999999999998</v>
      </c>
      <c r="M236" s="4">
        <f t="shared" si="3"/>
        <v>36.454999999999998</v>
      </c>
      <c r="N236" t="str" cm="1">
        <f t="array" ref="N236">_xlfn.IFS(I236="Rob","Robusta",I236="Exc","Excelsa",I236="Ara","Arabica",I236="Lib","Liberica")</f>
        <v>Liberica</v>
      </c>
      <c r="O236" t="str" cm="1">
        <f t="array" ref="O236">_xlfn.IFS(J236="M","Medium",J236="L","Large",J236="D","Dark")</f>
        <v>Large</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_xlfn.XLOOKUP(C237,customers!$A$1:$A$1001,customers!$B$1:$B$1001,,0)</f>
        <v>Samuele Ales0</v>
      </c>
      <c r="G237" s="2" t="str">
        <f>IF(_xlfn.XLOOKUP(C237,customers!$A$1:$A$1001,customers!$C$1:$C$1001,,0)=0,"",_xlfn.XLOOKUP(C237,customers!$A$1:$A$1001,customers!$C$1:$C$1001,,0))</f>
        <v/>
      </c>
      <c r="H237" s="2" t="str">
        <f>_xlfn.XLOOKUP(C237,customers!$A$1:$A$1001,customers!$G$1:$G$1001,,0)</f>
        <v>Ireland</v>
      </c>
      <c r="I237" t="str">
        <f>INDEX(products!$A$1:$G$49,MATCH(orders!$D237,products!$A$1:$A$49,0),MATCH(orders!I$1,products!$A$1:$G$1,0))</f>
        <v>Lib</v>
      </c>
      <c r="J237" t="str">
        <f>INDEX(products!$A$1:$G$49,MATCH(orders!$D237,products!$A$1:$A$49,0),MATCH(orders!J$1,products!$A$1:$G$1,0))</f>
        <v>L</v>
      </c>
      <c r="K237" s="7">
        <f>INDEX(products!$A$1:$G$49,MATCH(orders!$D237,products!$A$1:$A$49,0),MATCH(orders!K$1,products!$A$1:$G$1,0))</f>
        <v>2.5</v>
      </c>
      <c r="L237" s="4">
        <f>INDEX(products!$A$1:$G$49,MATCH(orders!$D237,products!$A$1:$A$49,0),MATCH(orders!L$1,products!$A$1:$G$1,0))</f>
        <v>36.454999999999998</v>
      </c>
      <c r="M237" s="4">
        <f t="shared" si="3"/>
        <v>182.27499999999998</v>
      </c>
      <c r="N237" t="str" cm="1">
        <f t="array" ref="N237">_xlfn.IFS(I237="Rob","Robusta",I237="Exc","Excelsa",I237="Ara","Arabica",I237="Lib","Liberica")</f>
        <v>Liberica</v>
      </c>
      <c r="O237" t="str" cm="1">
        <f t="array" ref="O237">_xlfn.IFS(J237="M","Medium",J237="L","Large",J237="D","Dark")</f>
        <v>Large</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_xlfn.XLOOKUP(C238,customers!$A$1:$A$1001,customers!$B$1:$B$1001,,0)</f>
        <v>Carlie Harce</v>
      </c>
      <c r="G238" s="2" t="str">
        <f>IF(_xlfn.XLOOKUP(C238,customers!$A$1:$A$1001,customers!$C$1:$C$1001,,0)=0,"",_xlfn.XLOOKUP(C238,customers!$A$1:$A$1001,customers!$C$1:$C$1001,,0))</f>
        <v>charce6k@cafepress.com</v>
      </c>
      <c r="H238" s="2" t="str">
        <f>_xlfn.XLOOKUP(C238,customers!$A$1:$A$1001,customers!$G$1:$G$1001,,0)</f>
        <v>Ireland</v>
      </c>
      <c r="I238" t="str">
        <f>INDEX(products!$A$1:$G$49,MATCH(orders!$D238,products!$A$1:$A$49,0),MATCH(orders!I$1,products!$A$1:$G$1,0))</f>
        <v>Lib</v>
      </c>
      <c r="J238" t="str">
        <f>INDEX(products!$A$1:$G$49,MATCH(orders!$D238,products!$A$1:$A$49,0),MATCH(orders!J$1,products!$A$1:$G$1,0))</f>
        <v>D</v>
      </c>
      <c r="K238" s="7">
        <f>INDEX(products!$A$1:$G$49,MATCH(orders!$D238,products!$A$1:$A$49,0),MATCH(orders!K$1,products!$A$1:$G$1,0))</f>
        <v>2.5</v>
      </c>
      <c r="L238" s="4">
        <f>INDEX(products!$A$1:$G$49,MATCH(orders!$D238,products!$A$1:$A$49,0),MATCH(orders!L$1,products!$A$1:$G$1,0))</f>
        <v>29.784999999999997</v>
      </c>
      <c r="M238" s="4">
        <f t="shared" si="3"/>
        <v>89.35499999999999</v>
      </c>
      <c r="N238" t="str" cm="1">
        <f t="array" ref="N238">_xlfn.IFS(I238="Rob","Robusta",I238="Exc","Excelsa",I238="Ara","Arabica",I238="Lib","Liberica")</f>
        <v>Liberica</v>
      </c>
      <c r="O238" t="str" cm="1">
        <f t="array" ref="O238">_xlfn.IFS(J238="M","Medium",J238="L","Large",J238="D","Dark")</f>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_xlfn.XLOOKUP(C239,customers!$A$1:$A$1001,customers!$B$1:$B$1001,,0)</f>
        <v>Craggy Bril</v>
      </c>
      <c r="G239" s="2" t="str">
        <f>IF(_xlfn.XLOOKUP(C239,customers!$A$1:$A$1001,customers!$C$1:$C$1001,,0)=0,"",_xlfn.XLOOKUP(C239,customers!$A$1:$A$1001,customers!$C$1:$C$1001,,0))</f>
        <v/>
      </c>
      <c r="H239" s="2" t="str">
        <f>_xlfn.XLOOKUP(C239,customers!$A$1:$A$1001,customers!$G$1:$G$1001,,0)</f>
        <v>United States</v>
      </c>
      <c r="I239" t="str">
        <f>INDEX(products!$A$1:$G$49,MATCH(orders!$D239,products!$A$1:$A$49,0),MATCH(orders!I$1,products!$A$1:$G$1,0))</f>
        <v>Rob</v>
      </c>
      <c r="J239" t="str">
        <f>INDEX(products!$A$1:$G$49,MATCH(orders!$D239,products!$A$1:$A$49,0),MATCH(orders!J$1,products!$A$1:$G$1,0))</f>
        <v>L</v>
      </c>
      <c r="K239" s="7">
        <f>INDEX(products!$A$1:$G$49,MATCH(orders!$D239,products!$A$1:$A$49,0),MATCH(orders!K$1,products!$A$1:$G$1,0))</f>
        <v>0.2</v>
      </c>
      <c r="L239" s="4">
        <f>INDEX(products!$A$1:$G$49,MATCH(orders!$D239,products!$A$1:$A$49,0),MATCH(orders!L$1,products!$A$1:$G$1,0))</f>
        <v>3.5849999999999995</v>
      </c>
      <c r="M239" s="4">
        <f t="shared" si="3"/>
        <v>3.5849999999999995</v>
      </c>
      <c r="N239" t="str" cm="1">
        <f t="array" ref="N239">_xlfn.IFS(I239="Rob","Robusta",I239="Exc","Excelsa",I239="Ara","Arabica",I239="Lib","Liberica")</f>
        <v>Robusta</v>
      </c>
      <c r="O239" t="str" cm="1">
        <f t="array" ref="O239">_xlfn.IFS(J239="M","Medium",J239="L","Large",J239="D","Dark")</f>
        <v>Large</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_xlfn.XLOOKUP(C240,customers!$A$1:$A$1001,customers!$B$1:$B$1001,,0)</f>
        <v>Friederike Drysdale</v>
      </c>
      <c r="G240" s="2" t="str">
        <f>IF(_xlfn.XLOOKUP(C240,customers!$A$1:$A$1001,customers!$C$1:$C$1001,,0)=0,"",_xlfn.XLOOKUP(C240,customers!$A$1:$A$1001,customers!$C$1:$C$1001,,0))</f>
        <v>fdrysdale6m@symantec.com</v>
      </c>
      <c r="H240" s="2" t="str">
        <f>_xlfn.XLOOKUP(C240,customers!$A$1:$A$1001,customers!$G$1:$G$1001,,0)</f>
        <v>United States</v>
      </c>
      <c r="I240" t="str">
        <f>INDEX(products!$A$1:$G$49,MATCH(orders!$D240,products!$A$1:$A$49,0),MATCH(orders!I$1,products!$A$1:$G$1,0))</f>
        <v>Rob</v>
      </c>
      <c r="J240" t="str">
        <f>INDEX(products!$A$1:$G$49,MATCH(orders!$D240,products!$A$1:$A$49,0),MATCH(orders!J$1,products!$A$1:$G$1,0))</f>
        <v>M</v>
      </c>
      <c r="K240" s="7">
        <f>INDEX(products!$A$1:$G$49,MATCH(orders!$D240,products!$A$1:$A$49,0),MATCH(orders!K$1,products!$A$1:$G$1,0))</f>
        <v>2.5</v>
      </c>
      <c r="L240" s="4">
        <f>INDEX(products!$A$1:$G$49,MATCH(orders!$D240,products!$A$1:$A$49,0),MATCH(orders!L$1,products!$A$1:$G$1,0))</f>
        <v>22.884999999999998</v>
      </c>
      <c r="M240" s="4">
        <f t="shared" si="3"/>
        <v>45.769999999999996</v>
      </c>
      <c r="N240" t="str" cm="1">
        <f t="array" ref="N240">_xlfn.IFS(I240="Rob","Robusta",I240="Exc","Excelsa",I240="Ara","Arabica",I240="Lib","Liberica")</f>
        <v>Robusta</v>
      </c>
      <c r="O240" t="str" cm="1">
        <f t="array" ref="O240">_xlfn.IFS(J240="M","Medium",J240="L","Large",J240="D","Dark")</f>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_xlfn.XLOOKUP(C241,customers!$A$1:$A$1001,customers!$B$1:$B$1001,,0)</f>
        <v>Devon Magowan</v>
      </c>
      <c r="G241" s="2" t="str">
        <f>IF(_xlfn.XLOOKUP(C241,customers!$A$1:$A$1001,customers!$C$1:$C$1001,,0)=0,"",_xlfn.XLOOKUP(C241,customers!$A$1:$A$1001,customers!$C$1:$C$1001,,0))</f>
        <v>dmagowan6n@fc2.com</v>
      </c>
      <c r="H241" s="2" t="str">
        <f>_xlfn.XLOOKUP(C241,customers!$A$1:$A$1001,customers!$G$1:$G$1001,,0)</f>
        <v>United States</v>
      </c>
      <c r="I241" t="str">
        <f>INDEX(products!$A$1:$G$49,MATCH(orders!$D241,products!$A$1:$A$49,0),MATCH(orders!I$1,products!$A$1:$G$1,0))</f>
        <v>Exc</v>
      </c>
      <c r="J241" t="str">
        <f>INDEX(products!$A$1:$G$49,MATCH(orders!$D241,products!$A$1:$A$49,0),MATCH(orders!J$1,products!$A$1:$G$1,0))</f>
        <v>L</v>
      </c>
      <c r="K241" s="7">
        <f>INDEX(products!$A$1:$G$49,MATCH(orders!$D241,products!$A$1:$A$49,0),MATCH(orders!K$1,products!$A$1:$G$1,0))</f>
        <v>1</v>
      </c>
      <c r="L241" s="4">
        <f>INDEX(products!$A$1:$G$49,MATCH(orders!$D241,products!$A$1:$A$49,0),MATCH(orders!L$1,products!$A$1:$G$1,0))</f>
        <v>14.85</v>
      </c>
      <c r="M241" s="4">
        <f t="shared" si="3"/>
        <v>59.4</v>
      </c>
      <c r="N241" t="str" cm="1">
        <f t="array" ref="N241">_xlfn.IFS(I241="Rob","Robusta",I241="Exc","Excelsa",I241="Ara","Arabica",I241="Lib","Liberica")</f>
        <v>Excelsa</v>
      </c>
      <c r="O241" t="str" cm="1">
        <f t="array" ref="O241">_xlfn.IFS(J241="M","Medium",J241="L","Large",J241="D","Dark")</f>
        <v>Large</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_xlfn.XLOOKUP(C242,customers!$A$1:$A$1001,customers!$B$1:$B$1001,,0)</f>
        <v>Codi Littrell</v>
      </c>
      <c r="G242" s="2" t="str">
        <f>IF(_xlfn.XLOOKUP(C242,customers!$A$1:$A$1001,customers!$C$1:$C$1001,,0)=0,"",_xlfn.XLOOKUP(C242,customers!$A$1:$A$1001,customers!$C$1:$C$1001,,0))</f>
        <v/>
      </c>
      <c r="H242" s="2" t="str">
        <f>_xlfn.XLOOKUP(C242,customers!$A$1:$A$1001,customers!$G$1:$G$1001,,0)</f>
        <v>United States</v>
      </c>
      <c r="I242" t="str">
        <f>INDEX(products!$A$1:$G$49,MATCH(orders!$D242,products!$A$1:$A$49,0),MATCH(orders!I$1,products!$A$1:$G$1,0))</f>
        <v>Ara</v>
      </c>
      <c r="J242" t="str">
        <f>INDEX(products!$A$1:$G$49,MATCH(orders!$D242,products!$A$1:$A$49,0),MATCH(orders!J$1,products!$A$1:$G$1,0))</f>
        <v>M</v>
      </c>
      <c r="K242" s="7">
        <f>INDEX(products!$A$1:$G$49,MATCH(orders!$D242,products!$A$1:$A$49,0),MATCH(orders!K$1,products!$A$1:$G$1,0))</f>
        <v>2.5</v>
      </c>
      <c r="L242" s="4">
        <f>INDEX(products!$A$1:$G$49,MATCH(orders!$D242,products!$A$1:$A$49,0),MATCH(orders!L$1,products!$A$1:$G$1,0))</f>
        <v>25.874999999999996</v>
      </c>
      <c r="M242" s="4">
        <f t="shared" si="3"/>
        <v>155.24999999999997</v>
      </c>
      <c r="N242" t="str" cm="1">
        <f t="array" ref="N242">_xlfn.IFS(I242="Rob","Robusta",I242="Exc","Excelsa",I242="Ara","Arabica",I242="Lib","Liberica")</f>
        <v>Arabica</v>
      </c>
      <c r="O242" t="str" cm="1">
        <f t="array" ref="O242">_xlfn.IFS(J242="M","Medium",J242="L","Large",J242="D","Dark")</f>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_xlfn.XLOOKUP(C243,customers!$A$1:$A$1001,customers!$B$1:$B$1001,,0)</f>
        <v>Christel Speak</v>
      </c>
      <c r="G243" s="2" t="str">
        <f>IF(_xlfn.XLOOKUP(C243,customers!$A$1:$A$1001,customers!$C$1:$C$1001,,0)=0,"",_xlfn.XLOOKUP(C243,customers!$A$1:$A$1001,customers!$C$1:$C$1001,,0))</f>
        <v/>
      </c>
      <c r="H243" s="2" t="str">
        <f>_xlfn.XLOOKUP(C243,customers!$A$1:$A$1001,customers!$G$1:$G$1001,,0)</f>
        <v>United States</v>
      </c>
      <c r="I243" t="str">
        <f>INDEX(products!$A$1:$G$49,MATCH(orders!$D243,products!$A$1:$A$49,0),MATCH(orders!I$1,products!$A$1:$G$1,0))</f>
        <v>Rob</v>
      </c>
      <c r="J243" t="str">
        <f>INDEX(products!$A$1:$G$49,MATCH(orders!$D243,products!$A$1:$A$49,0),MATCH(orders!J$1,products!$A$1:$G$1,0))</f>
        <v>M</v>
      </c>
      <c r="K243" s="7">
        <f>INDEX(products!$A$1:$G$49,MATCH(orders!$D243,products!$A$1:$A$49,0),MATCH(orders!K$1,products!$A$1:$G$1,0))</f>
        <v>2.5</v>
      </c>
      <c r="L243" s="4">
        <f>INDEX(products!$A$1:$G$49,MATCH(orders!$D243,products!$A$1:$A$49,0),MATCH(orders!L$1,products!$A$1:$G$1,0))</f>
        <v>22.884999999999998</v>
      </c>
      <c r="M243" s="4">
        <f t="shared" si="3"/>
        <v>45.769999999999996</v>
      </c>
      <c r="N243" t="str" cm="1">
        <f t="array" ref="N243">_xlfn.IFS(I243="Rob","Robusta",I243="Exc","Excelsa",I243="Ara","Arabica",I243="Lib","Liberica")</f>
        <v>Robusta</v>
      </c>
      <c r="O243" t="str" cm="1">
        <f t="array" ref="O243">_xlfn.IFS(J243="M","Medium",J243="L","Large",J243="D","Dark")</f>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_xlfn.XLOOKUP(C244,customers!$A$1:$A$1001,customers!$B$1:$B$1001,,0)</f>
        <v>Sibella Rushbrooke</v>
      </c>
      <c r="G244" s="2" t="str">
        <f>IF(_xlfn.XLOOKUP(C244,customers!$A$1:$A$1001,customers!$C$1:$C$1001,,0)=0,"",_xlfn.XLOOKUP(C244,customers!$A$1:$A$1001,customers!$C$1:$C$1001,,0))</f>
        <v>srushbrooke6q@youku.com</v>
      </c>
      <c r="H244" s="2" t="str">
        <f>_xlfn.XLOOKUP(C244,customers!$A$1:$A$1001,customers!$G$1:$G$1001,,0)</f>
        <v>United States</v>
      </c>
      <c r="I244" t="str">
        <f>INDEX(products!$A$1:$G$49,MATCH(orders!$D244,products!$A$1:$A$49,0),MATCH(orders!I$1,products!$A$1:$G$1,0))</f>
        <v>Exc</v>
      </c>
      <c r="J244" t="str">
        <f>INDEX(products!$A$1:$G$49,MATCH(orders!$D244,products!$A$1:$A$49,0),MATCH(orders!J$1,products!$A$1:$G$1,0))</f>
        <v>D</v>
      </c>
      <c r="K244" s="7">
        <f>INDEX(products!$A$1:$G$49,MATCH(orders!$D244,products!$A$1:$A$49,0),MATCH(orders!K$1,products!$A$1:$G$1,0))</f>
        <v>1</v>
      </c>
      <c r="L244" s="4">
        <f>INDEX(products!$A$1:$G$49,MATCH(orders!$D244,products!$A$1:$A$49,0),MATCH(orders!L$1,products!$A$1:$G$1,0))</f>
        <v>12.15</v>
      </c>
      <c r="M244" s="4">
        <f t="shared" si="3"/>
        <v>36.450000000000003</v>
      </c>
      <c r="N244" t="str" cm="1">
        <f t="array" ref="N244">_xlfn.IFS(I244="Rob","Robusta",I244="Exc","Excelsa",I244="Ara","Arabica",I244="Lib","Liberica")</f>
        <v>Excelsa</v>
      </c>
      <c r="O244" t="str" cm="1">
        <f t="array" ref="O244">_xlfn.IFS(J244="M","Medium",J244="L","Large",J244="D","Dark")</f>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_xlfn.XLOOKUP(C245,customers!$A$1:$A$1001,customers!$B$1:$B$1001,,0)</f>
        <v>Tammie Drynan</v>
      </c>
      <c r="G245" s="2" t="str">
        <f>IF(_xlfn.XLOOKUP(C245,customers!$A$1:$A$1001,customers!$C$1:$C$1001,,0)=0,"",_xlfn.XLOOKUP(C245,customers!$A$1:$A$1001,customers!$C$1:$C$1001,,0))</f>
        <v>tdrynan6r@deviantart.com</v>
      </c>
      <c r="H245" s="2" t="str">
        <f>_xlfn.XLOOKUP(C245,customers!$A$1:$A$1001,customers!$G$1:$G$1001,,0)</f>
        <v>United States</v>
      </c>
      <c r="I245" t="str">
        <f>INDEX(products!$A$1:$G$49,MATCH(orders!$D245,products!$A$1:$A$49,0),MATCH(orders!I$1,products!$A$1:$G$1,0))</f>
        <v>Exc</v>
      </c>
      <c r="J245" t="str">
        <f>INDEX(products!$A$1:$G$49,MATCH(orders!$D245,products!$A$1:$A$49,0),MATCH(orders!J$1,products!$A$1:$G$1,0))</f>
        <v>D</v>
      </c>
      <c r="K245" s="7">
        <f>INDEX(products!$A$1:$G$49,MATCH(orders!$D245,products!$A$1:$A$49,0),MATCH(orders!K$1,products!$A$1:$G$1,0))</f>
        <v>0.5</v>
      </c>
      <c r="L245" s="4">
        <f>INDEX(products!$A$1:$G$49,MATCH(orders!$D245,products!$A$1:$A$49,0),MATCH(orders!L$1,products!$A$1:$G$1,0))</f>
        <v>7.29</v>
      </c>
      <c r="M245" s="4">
        <f t="shared" si="3"/>
        <v>29.16</v>
      </c>
      <c r="N245" t="str" cm="1">
        <f t="array" ref="N245">_xlfn.IFS(I245="Rob","Robusta",I245="Exc","Excelsa",I245="Ara","Arabica",I245="Lib","Liberica")</f>
        <v>Excelsa</v>
      </c>
      <c r="O245" t="str" cm="1">
        <f t="array" ref="O245">_xlfn.IFS(J245="M","Medium",J245="L","Large",J245="D","Dark")</f>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_xlfn.XLOOKUP(C246,customers!$A$1:$A$1001,customers!$B$1:$B$1001,,0)</f>
        <v>Effie Yurkov</v>
      </c>
      <c r="G246" s="2" t="str">
        <f>IF(_xlfn.XLOOKUP(C246,customers!$A$1:$A$1001,customers!$C$1:$C$1001,,0)=0,"",_xlfn.XLOOKUP(C246,customers!$A$1:$A$1001,customers!$C$1:$C$1001,,0))</f>
        <v>eyurkov6s@hud.gov</v>
      </c>
      <c r="H246" s="2" t="str">
        <f>_xlfn.XLOOKUP(C246,customers!$A$1:$A$1001,customers!$G$1:$G$1001,,0)</f>
        <v>United States</v>
      </c>
      <c r="I246" t="str">
        <f>INDEX(products!$A$1:$G$49,MATCH(orders!$D246,products!$A$1:$A$49,0),MATCH(orders!I$1,products!$A$1:$G$1,0))</f>
        <v>Lib</v>
      </c>
      <c r="J246" t="str">
        <f>INDEX(products!$A$1:$G$49,MATCH(orders!$D246,products!$A$1:$A$49,0),MATCH(orders!J$1,products!$A$1:$G$1,0))</f>
        <v>M</v>
      </c>
      <c r="K246" s="7">
        <f>INDEX(products!$A$1:$G$49,MATCH(orders!$D246,products!$A$1:$A$49,0),MATCH(orders!K$1,products!$A$1:$G$1,0))</f>
        <v>2.5</v>
      </c>
      <c r="L246" s="4">
        <f>INDEX(products!$A$1:$G$49,MATCH(orders!$D246,products!$A$1:$A$49,0),MATCH(orders!L$1,products!$A$1:$G$1,0))</f>
        <v>33.464999999999996</v>
      </c>
      <c r="M246" s="4">
        <f t="shared" si="3"/>
        <v>133.85999999999999</v>
      </c>
      <c r="N246" t="str" cm="1">
        <f t="array" ref="N246">_xlfn.IFS(I246="Rob","Robusta",I246="Exc","Excelsa",I246="Ara","Arabica",I246="Lib","Liberica")</f>
        <v>Liberica</v>
      </c>
      <c r="O246" t="str" cm="1">
        <f t="array" ref="O246">_xlfn.IFS(J246="M","Medium",J246="L","Large",J246="D","Dark")</f>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_xlfn.XLOOKUP(C247,customers!$A$1:$A$1001,customers!$B$1:$B$1001,,0)</f>
        <v>Lexie Mallan</v>
      </c>
      <c r="G247" s="2" t="str">
        <f>IF(_xlfn.XLOOKUP(C247,customers!$A$1:$A$1001,customers!$C$1:$C$1001,,0)=0,"",_xlfn.XLOOKUP(C247,customers!$A$1:$A$1001,customers!$C$1:$C$1001,,0))</f>
        <v>lmallan6t@state.gov</v>
      </c>
      <c r="H247" s="2" t="str">
        <f>_xlfn.XLOOKUP(C247,customers!$A$1:$A$1001,customers!$G$1:$G$1001,,0)</f>
        <v>United States</v>
      </c>
      <c r="I247" t="str">
        <f>INDEX(products!$A$1:$G$49,MATCH(orders!$D247,products!$A$1:$A$49,0),MATCH(orders!I$1,products!$A$1:$G$1,0))</f>
        <v>Lib</v>
      </c>
      <c r="J247" t="str">
        <f>INDEX(products!$A$1:$G$49,MATCH(orders!$D247,products!$A$1:$A$49,0),MATCH(orders!J$1,products!$A$1:$G$1,0))</f>
        <v>L</v>
      </c>
      <c r="K247" s="7">
        <f>INDEX(products!$A$1:$G$49,MATCH(orders!$D247,products!$A$1:$A$49,0),MATCH(orders!K$1,products!$A$1:$G$1,0))</f>
        <v>0.2</v>
      </c>
      <c r="L247" s="4">
        <f>INDEX(products!$A$1:$G$49,MATCH(orders!$D247,products!$A$1:$A$49,0),MATCH(orders!L$1,products!$A$1:$G$1,0))</f>
        <v>4.7549999999999999</v>
      </c>
      <c r="M247" s="4">
        <f t="shared" si="3"/>
        <v>23.774999999999999</v>
      </c>
      <c r="N247" t="str" cm="1">
        <f t="array" ref="N247">_xlfn.IFS(I247="Rob","Robusta",I247="Exc","Excelsa",I247="Ara","Arabica",I247="Lib","Liberica")</f>
        <v>Liberica</v>
      </c>
      <c r="O247" t="str" cm="1">
        <f t="array" ref="O247">_xlfn.IFS(J247="M","Medium",J247="L","Large",J247="D","Dark")</f>
        <v>Large</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_xlfn.XLOOKUP(C248,customers!$A$1:$A$1001,customers!$B$1:$B$1001,,0)</f>
        <v>Georgena Bentjens</v>
      </c>
      <c r="G248" s="2" t="str">
        <f>IF(_xlfn.XLOOKUP(C248,customers!$A$1:$A$1001,customers!$C$1:$C$1001,,0)=0,"",_xlfn.XLOOKUP(C248,customers!$A$1:$A$1001,customers!$C$1:$C$1001,,0))</f>
        <v>gbentjens6u@netlog.com</v>
      </c>
      <c r="H248" s="2" t="str">
        <f>_xlfn.XLOOKUP(C248,customers!$A$1:$A$1001,customers!$G$1:$G$1001,,0)</f>
        <v>United Kingdom</v>
      </c>
      <c r="I248" t="str">
        <f>INDEX(products!$A$1:$G$49,MATCH(orders!$D248,products!$A$1:$A$49,0),MATCH(orders!I$1,products!$A$1:$G$1,0))</f>
        <v>Lib</v>
      </c>
      <c r="J248" t="str">
        <f>INDEX(products!$A$1:$G$49,MATCH(orders!$D248,products!$A$1:$A$49,0),MATCH(orders!J$1,products!$A$1:$G$1,0))</f>
        <v>D</v>
      </c>
      <c r="K248" s="7">
        <f>INDEX(products!$A$1:$G$49,MATCH(orders!$D248,products!$A$1:$A$49,0),MATCH(orders!K$1,products!$A$1:$G$1,0))</f>
        <v>1</v>
      </c>
      <c r="L248" s="4">
        <f>INDEX(products!$A$1:$G$49,MATCH(orders!$D248,products!$A$1:$A$49,0),MATCH(orders!L$1,products!$A$1:$G$1,0))</f>
        <v>12.95</v>
      </c>
      <c r="M248" s="4">
        <f t="shared" si="3"/>
        <v>38.849999999999994</v>
      </c>
      <c r="N248" t="str" cm="1">
        <f t="array" ref="N248">_xlfn.IFS(I248="Rob","Robusta",I248="Exc","Excelsa",I248="Ara","Arabica",I248="Lib","Liberica")</f>
        <v>Liberica</v>
      </c>
      <c r="O248" t="str" cm="1">
        <f t="array" ref="O248">_xlfn.IFS(J248="M","Medium",J248="L","Large",J248="D","Dark")</f>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_xlfn.XLOOKUP(C249,customers!$A$1:$A$1001,customers!$B$1:$B$1001,,0)</f>
        <v>Delmar Beasant</v>
      </c>
      <c r="G249" s="2" t="str">
        <f>IF(_xlfn.XLOOKUP(C249,customers!$A$1:$A$1001,customers!$C$1:$C$1001,,0)=0,"",_xlfn.XLOOKUP(C249,customers!$A$1:$A$1001,customers!$C$1:$C$1001,,0))</f>
        <v/>
      </c>
      <c r="H249" s="2" t="str">
        <f>_xlfn.XLOOKUP(C249,customers!$A$1:$A$1001,customers!$G$1:$G$1001,,0)</f>
        <v>Ireland</v>
      </c>
      <c r="I249" t="str">
        <f>INDEX(products!$A$1:$G$49,MATCH(orders!$D249,products!$A$1:$A$49,0),MATCH(orders!I$1,products!$A$1:$G$1,0))</f>
        <v>Rob</v>
      </c>
      <c r="J249" t="str">
        <f>INDEX(products!$A$1:$G$49,MATCH(orders!$D249,products!$A$1:$A$49,0),MATCH(orders!J$1,products!$A$1:$G$1,0))</f>
        <v>L</v>
      </c>
      <c r="K249" s="7">
        <f>INDEX(products!$A$1:$G$49,MATCH(orders!$D249,products!$A$1:$A$49,0),MATCH(orders!K$1,products!$A$1:$G$1,0))</f>
        <v>0.2</v>
      </c>
      <c r="L249" s="4">
        <f>INDEX(products!$A$1:$G$49,MATCH(orders!$D249,products!$A$1:$A$49,0),MATCH(orders!L$1,products!$A$1:$G$1,0))</f>
        <v>3.5849999999999995</v>
      </c>
      <c r="M249" s="4">
        <f t="shared" si="3"/>
        <v>21.509999999999998</v>
      </c>
      <c r="N249" t="str" cm="1">
        <f t="array" ref="N249">_xlfn.IFS(I249="Rob","Robusta",I249="Exc","Excelsa",I249="Ara","Arabica",I249="Lib","Liberica")</f>
        <v>Robusta</v>
      </c>
      <c r="O249" t="str" cm="1">
        <f t="array" ref="O249">_xlfn.IFS(J249="M","Medium",J249="L","Large",J249="D","Dark")</f>
        <v>Large</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_xlfn.XLOOKUP(C250,customers!$A$1:$A$1001,customers!$B$1:$B$1001,,0)</f>
        <v>Lyn Entwistle</v>
      </c>
      <c r="G250" s="2" t="str">
        <f>IF(_xlfn.XLOOKUP(C250,customers!$A$1:$A$1001,customers!$C$1:$C$1001,,0)=0,"",_xlfn.XLOOKUP(C250,customers!$A$1:$A$1001,customers!$C$1:$C$1001,,0))</f>
        <v>lentwistle6w@omniture.com</v>
      </c>
      <c r="H250" s="2" t="str">
        <f>_xlfn.XLOOKUP(C250,customers!$A$1:$A$1001,customers!$G$1:$G$1001,,0)</f>
        <v>United States</v>
      </c>
      <c r="I250" t="str">
        <f>INDEX(products!$A$1:$G$49,MATCH(orders!$D250,products!$A$1:$A$49,0),MATCH(orders!I$1,products!$A$1:$G$1,0))</f>
        <v>Ara</v>
      </c>
      <c r="J250" t="str">
        <f>INDEX(products!$A$1:$G$49,MATCH(orders!$D250,products!$A$1:$A$49,0),MATCH(orders!J$1,products!$A$1:$G$1,0))</f>
        <v>D</v>
      </c>
      <c r="K250" s="7">
        <f>INDEX(products!$A$1:$G$49,MATCH(orders!$D250,products!$A$1:$A$49,0),MATCH(orders!K$1,products!$A$1:$G$1,0))</f>
        <v>1</v>
      </c>
      <c r="L250" s="4">
        <f>INDEX(products!$A$1:$G$49,MATCH(orders!$D250,products!$A$1:$A$49,0),MATCH(orders!L$1,products!$A$1:$G$1,0))</f>
        <v>9.9499999999999993</v>
      </c>
      <c r="M250" s="4">
        <f t="shared" si="3"/>
        <v>9.9499999999999993</v>
      </c>
      <c r="N250" t="str" cm="1">
        <f t="array" ref="N250">_xlfn.IFS(I250="Rob","Robusta",I250="Exc","Excelsa",I250="Ara","Arabica",I250="Lib","Liberica")</f>
        <v>Arabica</v>
      </c>
      <c r="O250" t="str" cm="1">
        <f t="array" ref="O250">_xlfn.IFS(J250="M","Medium",J250="L","Large",J250="D","Dark")</f>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_xlfn.XLOOKUP(C251,customers!$A$1:$A$1001,customers!$B$1:$B$1001,,0)</f>
        <v>Zacharias Kiffe</v>
      </c>
      <c r="G251" s="2" t="str">
        <f>IF(_xlfn.XLOOKUP(C251,customers!$A$1:$A$1001,customers!$C$1:$C$1001,,0)=0,"",_xlfn.XLOOKUP(C251,customers!$A$1:$A$1001,customers!$C$1:$C$1001,,0))</f>
        <v>zkiffe74@cyberchimps.com</v>
      </c>
      <c r="H251" s="2" t="str">
        <f>_xlfn.XLOOKUP(C251,customers!$A$1:$A$1001,customers!$G$1:$G$1001,,0)</f>
        <v>United States</v>
      </c>
      <c r="I251" t="str">
        <f>INDEX(products!$A$1:$G$49,MATCH(orders!$D251,products!$A$1:$A$49,0),MATCH(orders!I$1,products!$A$1:$G$1,0))</f>
        <v>Lib</v>
      </c>
      <c r="J251" t="str">
        <f>INDEX(products!$A$1:$G$49,MATCH(orders!$D251,products!$A$1:$A$49,0),MATCH(orders!J$1,products!$A$1:$G$1,0))</f>
        <v>L</v>
      </c>
      <c r="K251" s="7">
        <f>INDEX(products!$A$1:$G$49,MATCH(orders!$D251,products!$A$1:$A$49,0),MATCH(orders!K$1,products!$A$1:$G$1,0))</f>
        <v>1</v>
      </c>
      <c r="L251" s="4">
        <f>INDEX(products!$A$1:$G$49,MATCH(orders!$D251,products!$A$1:$A$49,0),MATCH(orders!L$1,products!$A$1:$G$1,0))</f>
        <v>15.85</v>
      </c>
      <c r="M251" s="4">
        <f t="shared" si="3"/>
        <v>15.85</v>
      </c>
      <c r="N251" t="str" cm="1">
        <f t="array" ref="N251">_xlfn.IFS(I251="Rob","Robusta",I251="Exc","Excelsa",I251="Ara","Arabica",I251="Lib","Liberica")</f>
        <v>Liberica</v>
      </c>
      <c r="O251" t="str" cm="1">
        <f t="array" ref="O251">_xlfn.IFS(J251="M","Medium",J251="L","Large",J251="D","Dark")</f>
        <v>Large</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_xlfn.XLOOKUP(C252,customers!$A$1:$A$1001,customers!$B$1:$B$1001,,0)</f>
        <v>Mercedes Acott</v>
      </c>
      <c r="G252" s="2" t="str">
        <f>IF(_xlfn.XLOOKUP(C252,customers!$A$1:$A$1001,customers!$C$1:$C$1001,,0)=0,"",_xlfn.XLOOKUP(C252,customers!$A$1:$A$1001,customers!$C$1:$C$1001,,0))</f>
        <v>macott6y@pagesperso-orange.fr</v>
      </c>
      <c r="H252" s="2" t="str">
        <f>_xlfn.XLOOKUP(C252,customers!$A$1:$A$1001,customers!$G$1:$G$1001,,0)</f>
        <v>United States</v>
      </c>
      <c r="I252" t="str">
        <f>INDEX(products!$A$1:$G$49,MATCH(orders!$D252,products!$A$1:$A$49,0),MATCH(orders!I$1,products!$A$1:$G$1,0))</f>
        <v>Rob</v>
      </c>
      <c r="J252" t="str">
        <f>INDEX(products!$A$1:$G$49,MATCH(orders!$D252,products!$A$1:$A$49,0),MATCH(orders!J$1,products!$A$1:$G$1,0))</f>
        <v>M</v>
      </c>
      <c r="K252" s="7">
        <f>INDEX(products!$A$1:$G$49,MATCH(orders!$D252,products!$A$1:$A$49,0),MATCH(orders!K$1,products!$A$1:$G$1,0))</f>
        <v>0.2</v>
      </c>
      <c r="L252" s="4">
        <f>INDEX(products!$A$1:$G$49,MATCH(orders!$D252,products!$A$1:$A$49,0),MATCH(orders!L$1,products!$A$1:$G$1,0))</f>
        <v>2.9849999999999999</v>
      </c>
      <c r="M252" s="4">
        <f t="shared" si="3"/>
        <v>2.9849999999999999</v>
      </c>
      <c r="N252" t="str" cm="1">
        <f t="array" ref="N252">_xlfn.IFS(I252="Rob","Robusta",I252="Exc","Excelsa",I252="Ara","Arabica",I252="Lib","Liberica")</f>
        <v>Robusta</v>
      </c>
      <c r="O252" t="str" cm="1">
        <f t="array" ref="O252">_xlfn.IFS(J252="M","Medium",J252="L","Large",J252="D","Dark")</f>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_xlfn.XLOOKUP(C253,customers!$A$1:$A$1001,customers!$B$1:$B$1001,,0)</f>
        <v>Connor Heaviside</v>
      </c>
      <c r="G253" s="2" t="str">
        <f>IF(_xlfn.XLOOKUP(C253,customers!$A$1:$A$1001,customers!$C$1:$C$1001,,0)=0,"",_xlfn.XLOOKUP(C253,customers!$A$1:$A$1001,customers!$C$1:$C$1001,,0))</f>
        <v>cheaviside6z@rediff.com</v>
      </c>
      <c r="H253" s="2" t="str">
        <f>_xlfn.XLOOKUP(C253,customers!$A$1:$A$1001,customers!$G$1:$G$1001,,0)</f>
        <v>United States</v>
      </c>
      <c r="I253" t="str">
        <f>INDEX(products!$A$1:$G$49,MATCH(orders!$D253,products!$A$1:$A$49,0),MATCH(orders!I$1,products!$A$1:$G$1,0))</f>
        <v>Exc</v>
      </c>
      <c r="J253" t="str">
        <f>INDEX(products!$A$1:$G$49,MATCH(orders!$D253,products!$A$1:$A$49,0),MATCH(orders!J$1,products!$A$1:$G$1,0))</f>
        <v>M</v>
      </c>
      <c r="K253" s="7">
        <f>INDEX(products!$A$1:$G$49,MATCH(orders!$D253,products!$A$1:$A$49,0),MATCH(orders!K$1,products!$A$1:$G$1,0))</f>
        <v>1</v>
      </c>
      <c r="L253" s="4">
        <f>INDEX(products!$A$1:$G$49,MATCH(orders!$D253,products!$A$1:$A$49,0),MATCH(orders!L$1,products!$A$1:$G$1,0))</f>
        <v>13.75</v>
      </c>
      <c r="M253" s="4">
        <f t="shared" si="3"/>
        <v>68.75</v>
      </c>
      <c r="N253" t="str" cm="1">
        <f t="array" ref="N253">_xlfn.IFS(I253="Rob","Robusta",I253="Exc","Excelsa",I253="Ara","Arabica",I253="Lib","Liberica")</f>
        <v>Excelsa</v>
      </c>
      <c r="O253" t="str" cm="1">
        <f t="array" ref="O253">_xlfn.IFS(J253="M","Medium",J253="L","Large",J253="D","Dark")</f>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_xlfn.XLOOKUP(C254,customers!$A$1:$A$1001,customers!$B$1:$B$1001,,0)</f>
        <v>Devy Bulbrook</v>
      </c>
      <c r="G254" s="2" t="str">
        <f>IF(_xlfn.XLOOKUP(C254,customers!$A$1:$A$1001,customers!$C$1:$C$1001,,0)=0,"",_xlfn.XLOOKUP(C254,customers!$A$1:$A$1001,customers!$C$1:$C$1001,,0))</f>
        <v/>
      </c>
      <c r="H254" s="2" t="str">
        <f>_xlfn.XLOOKUP(C254,customers!$A$1:$A$1001,customers!$G$1:$G$1001,,0)</f>
        <v>United States</v>
      </c>
      <c r="I254" t="str">
        <f>INDEX(products!$A$1:$G$49,MATCH(orders!$D254,products!$A$1:$A$49,0),MATCH(orders!I$1,products!$A$1:$G$1,0))</f>
        <v>Ara</v>
      </c>
      <c r="J254" t="str">
        <f>INDEX(products!$A$1:$G$49,MATCH(orders!$D254,products!$A$1:$A$49,0),MATCH(orders!J$1,products!$A$1:$G$1,0))</f>
        <v>D</v>
      </c>
      <c r="K254" s="7">
        <f>INDEX(products!$A$1:$G$49,MATCH(orders!$D254,products!$A$1:$A$49,0),MATCH(orders!K$1,products!$A$1:$G$1,0))</f>
        <v>1</v>
      </c>
      <c r="L254" s="4">
        <f>INDEX(products!$A$1:$G$49,MATCH(orders!$D254,products!$A$1:$A$49,0),MATCH(orders!L$1,products!$A$1:$G$1,0))</f>
        <v>9.9499999999999993</v>
      </c>
      <c r="M254" s="4">
        <f t="shared" si="3"/>
        <v>29.849999999999998</v>
      </c>
      <c r="N254" t="str" cm="1">
        <f t="array" ref="N254">_xlfn.IFS(I254="Rob","Robusta",I254="Exc","Excelsa",I254="Ara","Arabica",I254="Lib","Liberica")</f>
        <v>Arabica</v>
      </c>
      <c r="O254" t="str" cm="1">
        <f t="array" ref="O254">_xlfn.IFS(J254="M","Medium",J254="L","Large",J254="D","Dark")</f>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_xlfn.XLOOKUP(C255,customers!$A$1:$A$1001,customers!$B$1:$B$1001,,0)</f>
        <v>Leia Kernan</v>
      </c>
      <c r="G255" s="2" t="str">
        <f>IF(_xlfn.XLOOKUP(C255,customers!$A$1:$A$1001,customers!$C$1:$C$1001,,0)=0,"",_xlfn.XLOOKUP(C255,customers!$A$1:$A$1001,customers!$C$1:$C$1001,,0))</f>
        <v>lkernan71@wsj.com</v>
      </c>
      <c r="H255" s="2" t="str">
        <f>_xlfn.XLOOKUP(C255,customers!$A$1:$A$1001,customers!$G$1:$G$1001,,0)</f>
        <v>United States</v>
      </c>
      <c r="I255" t="str">
        <f>INDEX(products!$A$1:$G$49,MATCH(orders!$D255,products!$A$1:$A$49,0),MATCH(orders!I$1,products!$A$1:$G$1,0))</f>
        <v>Lib</v>
      </c>
      <c r="J255" t="str">
        <f>INDEX(products!$A$1:$G$49,MATCH(orders!$D255,products!$A$1:$A$49,0),MATCH(orders!J$1,products!$A$1:$G$1,0))</f>
        <v>M</v>
      </c>
      <c r="K255" s="7">
        <f>INDEX(products!$A$1:$G$49,MATCH(orders!$D255,products!$A$1:$A$49,0),MATCH(orders!K$1,products!$A$1:$G$1,0))</f>
        <v>1</v>
      </c>
      <c r="L255" s="4">
        <f>INDEX(products!$A$1:$G$49,MATCH(orders!$D255,products!$A$1:$A$49,0),MATCH(orders!L$1,products!$A$1:$G$1,0))</f>
        <v>14.55</v>
      </c>
      <c r="M255" s="4">
        <f t="shared" si="3"/>
        <v>58.2</v>
      </c>
      <c r="N255" t="str" cm="1">
        <f t="array" ref="N255">_xlfn.IFS(I255="Rob","Robusta",I255="Exc","Excelsa",I255="Ara","Arabica",I255="Lib","Liberica")</f>
        <v>Liberica</v>
      </c>
      <c r="O255" t="str" cm="1">
        <f t="array" ref="O255">_xlfn.IFS(J255="M","Medium",J255="L","Large",J255="D","Dark")</f>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_xlfn.XLOOKUP(C256,customers!$A$1:$A$1001,customers!$B$1:$B$1001,,0)</f>
        <v>Rosaline McLae</v>
      </c>
      <c r="G256" s="2" t="str">
        <f>IF(_xlfn.XLOOKUP(C256,customers!$A$1:$A$1001,customers!$C$1:$C$1001,,0)=0,"",_xlfn.XLOOKUP(C256,customers!$A$1:$A$1001,customers!$C$1:$C$1001,,0))</f>
        <v>rmclae72@dailymotion.com</v>
      </c>
      <c r="H256" s="2" t="str">
        <f>_xlfn.XLOOKUP(C256,customers!$A$1:$A$1001,customers!$G$1:$G$1001,,0)</f>
        <v>United Kingdom</v>
      </c>
      <c r="I256" t="str">
        <f>INDEX(products!$A$1:$G$49,MATCH(orders!$D256,products!$A$1:$A$49,0),MATCH(orders!I$1,products!$A$1:$G$1,0))</f>
        <v>Rob</v>
      </c>
      <c r="J256" t="str">
        <f>INDEX(products!$A$1:$G$49,MATCH(orders!$D256,products!$A$1:$A$49,0),MATCH(orders!J$1,products!$A$1:$G$1,0))</f>
        <v>L</v>
      </c>
      <c r="K256" s="7">
        <f>INDEX(products!$A$1:$G$49,MATCH(orders!$D256,products!$A$1:$A$49,0),MATCH(orders!K$1,products!$A$1:$G$1,0))</f>
        <v>0.5</v>
      </c>
      <c r="L256" s="4">
        <f>INDEX(products!$A$1:$G$49,MATCH(orders!$D256,products!$A$1:$A$49,0),MATCH(orders!L$1,products!$A$1:$G$1,0))</f>
        <v>7.169999999999999</v>
      </c>
      <c r="M256" s="4">
        <f t="shared" si="3"/>
        <v>28.679999999999996</v>
      </c>
      <c r="N256" t="str" cm="1">
        <f t="array" ref="N256">_xlfn.IFS(I256="Rob","Robusta",I256="Exc","Excelsa",I256="Ara","Arabica",I256="Lib","Liberica")</f>
        <v>Robusta</v>
      </c>
      <c r="O256" t="str" cm="1">
        <f t="array" ref="O256">_xlfn.IFS(J256="M","Medium",J256="L","Large",J256="D","Dark")</f>
        <v>Large</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_xlfn.XLOOKUP(C257,customers!$A$1:$A$1001,customers!$B$1:$B$1001,,0)</f>
        <v>Cleve Blowfelde</v>
      </c>
      <c r="G257" s="2" t="str">
        <f>IF(_xlfn.XLOOKUP(C257,customers!$A$1:$A$1001,customers!$C$1:$C$1001,,0)=0,"",_xlfn.XLOOKUP(C257,customers!$A$1:$A$1001,customers!$C$1:$C$1001,,0))</f>
        <v>cblowfelde73@ustream.tv</v>
      </c>
      <c r="H257" s="2" t="str">
        <f>_xlfn.XLOOKUP(C257,customers!$A$1:$A$1001,customers!$G$1:$G$1001,,0)</f>
        <v>United States</v>
      </c>
      <c r="I257" t="str">
        <f>INDEX(products!$A$1:$G$49,MATCH(orders!$D257,products!$A$1:$A$49,0),MATCH(orders!I$1,products!$A$1:$G$1,0))</f>
        <v>Rob</v>
      </c>
      <c r="J257" t="str">
        <f>INDEX(products!$A$1:$G$49,MATCH(orders!$D257,products!$A$1:$A$49,0),MATCH(orders!J$1,products!$A$1:$G$1,0))</f>
        <v>L</v>
      </c>
      <c r="K257" s="7">
        <f>INDEX(products!$A$1:$G$49,MATCH(orders!$D257,products!$A$1:$A$49,0),MATCH(orders!K$1,products!$A$1:$G$1,0))</f>
        <v>0.5</v>
      </c>
      <c r="L257" s="4">
        <f>INDEX(products!$A$1:$G$49,MATCH(orders!$D257,products!$A$1:$A$49,0),MATCH(orders!L$1,products!$A$1:$G$1,0))</f>
        <v>7.169999999999999</v>
      </c>
      <c r="M257" s="4">
        <f t="shared" si="3"/>
        <v>21.509999999999998</v>
      </c>
      <c r="N257" t="str" cm="1">
        <f t="array" ref="N257">_xlfn.IFS(I257="Rob","Robusta",I257="Exc","Excelsa",I257="Ara","Arabica",I257="Lib","Liberica")</f>
        <v>Robusta</v>
      </c>
      <c r="O257" t="str" cm="1">
        <f t="array" ref="O257">_xlfn.IFS(J257="M","Medium",J257="L","Large",J257="D","Dark")</f>
        <v>Large</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_xlfn.XLOOKUP(C258,customers!$A$1:$A$1001,customers!$B$1:$B$1001,,0)</f>
        <v>Zacharias Kiffe</v>
      </c>
      <c r="G258" s="2" t="str">
        <f>IF(_xlfn.XLOOKUP(C258,customers!$A$1:$A$1001,customers!$C$1:$C$1001,,0)=0,"",_xlfn.XLOOKUP(C258,customers!$A$1:$A$1001,customers!$C$1:$C$1001,,0))</f>
        <v>zkiffe74@cyberchimps.com</v>
      </c>
      <c r="H258" s="2" t="str">
        <f>_xlfn.XLOOKUP(C258,customers!$A$1:$A$1001,customers!$G$1:$G$1001,,0)</f>
        <v>United States</v>
      </c>
      <c r="I258" t="str">
        <f>INDEX(products!$A$1:$G$49,MATCH(orders!$D258,products!$A$1:$A$49,0),MATCH(orders!I$1,products!$A$1:$G$1,0))</f>
        <v>Lib</v>
      </c>
      <c r="J258" t="str">
        <f>INDEX(products!$A$1:$G$49,MATCH(orders!$D258,products!$A$1:$A$49,0),MATCH(orders!J$1,products!$A$1:$G$1,0))</f>
        <v>M</v>
      </c>
      <c r="K258" s="7">
        <f>INDEX(products!$A$1:$G$49,MATCH(orders!$D258,products!$A$1:$A$49,0),MATCH(orders!K$1,products!$A$1:$G$1,0))</f>
        <v>0.5</v>
      </c>
      <c r="L258" s="4">
        <f>INDEX(products!$A$1:$G$49,MATCH(orders!$D258,products!$A$1:$A$49,0),MATCH(orders!L$1,products!$A$1:$G$1,0))</f>
        <v>8.73</v>
      </c>
      <c r="M258" s="4">
        <f t="shared" si="3"/>
        <v>17.46</v>
      </c>
      <c r="N258" t="str" cm="1">
        <f t="array" ref="N258">_xlfn.IFS(I258="Rob","Robusta",I258="Exc","Excelsa",I258="Ara","Arabica",I258="Lib","Liberica")</f>
        <v>Liberica</v>
      </c>
      <c r="O258" t="str" cm="1">
        <f t="array" ref="O258">_xlfn.IFS(J258="M","Medium",J258="L","Large",J258="D","Dark")</f>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_xlfn.XLOOKUP(C259,customers!$A$1:$A$1001,customers!$B$1:$B$1001,,0)</f>
        <v>Denyse O'Calleran</v>
      </c>
      <c r="G259" s="2" t="str">
        <f>IF(_xlfn.XLOOKUP(C259,customers!$A$1:$A$1001,customers!$C$1:$C$1001,,0)=0,"",_xlfn.XLOOKUP(C259,customers!$A$1:$A$1001,customers!$C$1:$C$1001,,0))</f>
        <v>docalleran75@ucla.edu</v>
      </c>
      <c r="H259" s="2" t="str">
        <f>_xlfn.XLOOKUP(C259,customers!$A$1:$A$1001,customers!$G$1:$G$1001,,0)</f>
        <v>United States</v>
      </c>
      <c r="I259" t="str">
        <f>INDEX(products!$A$1:$G$49,MATCH(orders!$D259,products!$A$1:$A$49,0),MATCH(orders!I$1,products!$A$1:$G$1,0))</f>
        <v>Exc</v>
      </c>
      <c r="J259" t="str">
        <f>INDEX(products!$A$1:$G$49,MATCH(orders!$D259,products!$A$1:$A$49,0),MATCH(orders!J$1,products!$A$1:$G$1,0))</f>
        <v>D</v>
      </c>
      <c r="K259" s="7">
        <f>INDEX(products!$A$1:$G$49,MATCH(orders!$D259,products!$A$1:$A$49,0),MATCH(orders!K$1,products!$A$1:$G$1,0))</f>
        <v>2.5</v>
      </c>
      <c r="L259" s="4">
        <f>INDEX(products!$A$1:$G$49,MATCH(orders!$D259,products!$A$1:$A$49,0),MATCH(orders!L$1,products!$A$1:$G$1,0))</f>
        <v>27.945</v>
      </c>
      <c r="M259" s="4">
        <f t="shared" ref="M259:M322" si="4">L259*E259</f>
        <v>27.945</v>
      </c>
      <c r="N259" t="str" cm="1">
        <f t="array" ref="N259">_xlfn.IFS(I259="Rob","Robusta",I259="Exc","Excelsa",I259="Ara","Arabica",I259="Lib","Liberica")</f>
        <v>Excelsa</v>
      </c>
      <c r="O259" t="str" cm="1">
        <f t="array" ref="O259">_xlfn.IFS(J259="M","Medium",J259="L","Large",J259="D","Dark")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_xlfn.XLOOKUP(C260,customers!$A$1:$A$1001,customers!$B$1:$B$1001,,0)</f>
        <v>Cobby Cromwell</v>
      </c>
      <c r="G260" s="2" t="str">
        <f>IF(_xlfn.XLOOKUP(C260,customers!$A$1:$A$1001,customers!$C$1:$C$1001,,0)=0,"",_xlfn.XLOOKUP(C260,customers!$A$1:$A$1001,customers!$C$1:$C$1001,,0))</f>
        <v>ccromwell76@desdev.cn</v>
      </c>
      <c r="H260" s="2" t="str">
        <f>_xlfn.XLOOKUP(C260,customers!$A$1:$A$1001,customers!$G$1:$G$1001,,0)</f>
        <v>United States</v>
      </c>
      <c r="I260" t="str">
        <f>INDEX(products!$A$1:$G$49,MATCH(orders!$D260,products!$A$1:$A$49,0),MATCH(orders!I$1,products!$A$1:$G$1,0))</f>
        <v>Exc</v>
      </c>
      <c r="J260" t="str">
        <f>INDEX(products!$A$1:$G$49,MATCH(orders!$D260,products!$A$1:$A$49,0),MATCH(orders!J$1,products!$A$1:$G$1,0))</f>
        <v>D</v>
      </c>
      <c r="K260" s="7">
        <f>INDEX(products!$A$1:$G$49,MATCH(orders!$D260,products!$A$1:$A$49,0),MATCH(orders!K$1,products!$A$1:$G$1,0))</f>
        <v>2.5</v>
      </c>
      <c r="L260" s="4">
        <f>INDEX(products!$A$1:$G$49,MATCH(orders!$D260,products!$A$1:$A$49,0),MATCH(orders!L$1,products!$A$1:$G$1,0))</f>
        <v>27.945</v>
      </c>
      <c r="M260" s="4">
        <f t="shared" si="4"/>
        <v>139.72499999999999</v>
      </c>
      <c r="N260" t="str" cm="1">
        <f t="array" ref="N260">_xlfn.IFS(I260="Rob","Robusta",I260="Exc","Excelsa",I260="Ara","Arabica",I260="Lib","Liberica")</f>
        <v>Excelsa</v>
      </c>
      <c r="O260" t="str" cm="1">
        <f t="array" ref="O260">_xlfn.IFS(J260="M","Medium",J260="L","Large",J260="D","Dark")</f>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_xlfn.XLOOKUP(C261,customers!$A$1:$A$1001,customers!$B$1:$B$1001,,0)</f>
        <v>Irv Hay</v>
      </c>
      <c r="G261" s="2" t="str">
        <f>IF(_xlfn.XLOOKUP(C261,customers!$A$1:$A$1001,customers!$C$1:$C$1001,,0)=0,"",_xlfn.XLOOKUP(C261,customers!$A$1:$A$1001,customers!$C$1:$C$1001,,0))</f>
        <v>ihay77@lulu.com</v>
      </c>
      <c r="H261" s="2" t="str">
        <f>_xlfn.XLOOKUP(C261,customers!$A$1:$A$1001,customers!$G$1:$G$1001,,0)</f>
        <v>United Kingdom</v>
      </c>
      <c r="I261" t="str">
        <f>INDEX(products!$A$1:$G$49,MATCH(orders!$D261,products!$A$1:$A$49,0),MATCH(orders!I$1,products!$A$1:$G$1,0))</f>
        <v>Rob</v>
      </c>
      <c r="J261" t="str">
        <f>INDEX(products!$A$1:$G$49,MATCH(orders!$D261,products!$A$1:$A$49,0),MATCH(orders!J$1,products!$A$1:$G$1,0))</f>
        <v>M</v>
      </c>
      <c r="K261" s="7">
        <f>INDEX(products!$A$1:$G$49,MATCH(orders!$D261,products!$A$1:$A$49,0),MATCH(orders!K$1,products!$A$1:$G$1,0))</f>
        <v>0.2</v>
      </c>
      <c r="L261" s="4">
        <f>INDEX(products!$A$1:$G$49,MATCH(orders!$D261,products!$A$1:$A$49,0),MATCH(orders!L$1,products!$A$1:$G$1,0))</f>
        <v>2.9849999999999999</v>
      </c>
      <c r="M261" s="4">
        <f t="shared" si="4"/>
        <v>5.97</v>
      </c>
      <c r="N261" t="str" cm="1">
        <f t="array" ref="N261">_xlfn.IFS(I261="Rob","Robusta",I261="Exc","Excelsa",I261="Ara","Arabica",I261="Lib","Liberica")</f>
        <v>Robusta</v>
      </c>
      <c r="O261" t="str" cm="1">
        <f t="array" ref="O261">_xlfn.IFS(J261="M","Medium",J261="L","Large",J261="D","Dark")</f>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_xlfn.XLOOKUP(C262,customers!$A$1:$A$1001,customers!$B$1:$B$1001,,0)</f>
        <v>Tani Taffarello</v>
      </c>
      <c r="G262" s="2" t="str">
        <f>IF(_xlfn.XLOOKUP(C262,customers!$A$1:$A$1001,customers!$C$1:$C$1001,,0)=0,"",_xlfn.XLOOKUP(C262,customers!$A$1:$A$1001,customers!$C$1:$C$1001,,0))</f>
        <v>ttaffarello78@sciencedaily.com</v>
      </c>
      <c r="H262" s="2" t="str">
        <f>_xlfn.XLOOKUP(C262,customers!$A$1:$A$1001,customers!$G$1:$G$1001,,0)</f>
        <v>United States</v>
      </c>
      <c r="I262" t="str">
        <f>INDEX(products!$A$1:$G$49,MATCH(orders!$D262,products!$A$1:$A$49,0),MATCH(orders!I$1,products!$A$1:$G$1,0))</f>
        <v>Rob</v>
      </c>
      <c r="J262" t="str">
        <f>INDEX(products!$A$1:$G$49,MATCH(orders!$D262,products!$A$1:$A$49,0),MATCH(orders!J$1,products!$A$1:$G$1,0))</f>
        <v>L</v>
      </c>
      <c r="K262" s="7">
        <f>INDEX(products!$A$1:$G$49,MATCH(orders!$D262,products!$A$1:$A$49,0),MATCH(orders!K$1,products!$A$1:$G$1,0))</f>
        <v>2.5</v>
      </c>
      <c r="L262" s="4">
        <f>INDEX(products!$A$1:$G$49,MATCH(orders!$D262,products!$A$1:$A$49,0),MATCH(orders!L$1,products!$A$1:$G$1,0))</f>
        <v>27.484999999999996</v>
      </c>
      <c r="M262" s="4">
        <f t="shared" si="4"/>
        <v>27.484999999999996</v>
      </c>
      <c r="N262" t="str" cm="1">
        <f t="array" ref="N262">_xlfn.IFS(I262="Rob","Robusta",I262="Exc","Excelsa",I262="Ara","Arabica",I262="Lib","Liberica")</f>
        <v>Robusta</v>
      </c>
      <c r="O262" t="str" cm="1">
        <f t="array" ref="O262">_xlfn.IFS(J262="M","Medium",J262="L","Large",J262="D","Dark")</f>
        <v>Large</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_xlfn.XLOOKUP(C263,customers!$A$1:$A$1001,customers!$B$1:$B$1001,,0)</f>
        <v>Monique Canty</v>
      </c>
      <c r="G263" s="2" t="str">
        <f>IF(_xlfn.XLOOKUP(C263,customers!$A$1:$A$1001,customers!$C$1:$C$1001,,0)=0,"",_xlfn.XLOOKUP(C263,customers!$A$1:$A$1001,customers!$C$1:$C$1001,,0))</f>
        <v>mcanty79@jigsy.com</v>
      </c>
      <c r="H263" s="2" t="str">
        <f>_xlfn.XLOOKUP(C263,customers!$A$1:$A$1001,customers!$G$1:$G$1001,,0)</f>
        <v>United States</v>
      </c>
      <c r="I263" t="str">
        <f>INDEX(products!$A$1:$G$49,MATCH(orders!$D263,products!$A$1:$A$49,0),MATCH(orders!I$1,products!$A$1:$G$1,0))</f>
        <v>Rob</v>
      </c>
      <c r="J263" t="str">
        <f>INDEX(products!$A$1:$G$49,MATCH(orders!$D263,products!$A$1:$A$49,0),MATCH(orders!J$1,products!$A$1:$G$1,0))</f>
        <v>L</v>
      </c>
      <c r="K263" s="7">
        <f>INDEX(products!$A$1:$G$49,MATCH(orders!$D263,products!$A$1:$A$49,0),MATCH(orders!K$1,products!$A$1:$G$1,0))</f>
        <v>1</v>
      </c>
      <c r="L263" s="4">
        <f>INDEX(products!$A$1:$G$49,MATCH(orders!$D263,products!$A$1:$A$49,0),MATCH(orders!L$1,products!$A$1:$G$1,0))</f>
        <v>11.95</v>
      </c>
      <c r="M263" s="4">
        <f t="shared" si="4"/>
        <v>59.75</v>
      </c>
      <c r="N263" t="str" cm="1">
        <f t="array" ref="N263">_xlfn.IFS(I263="Rob","Robusta",I263="Exc","Excelsa",I263="Ara","Arabica",I263="Lib","Liberica")</f>
        <v>Robusta</v>
      </c>
      <c r="O263" t="str" cm="1">
        <f t="array" ref="O263">_xlfn.IFS(J263="M","Medium",J263="L","Large",J263="D","Dark")</f>
        <v>Large</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_xlfn.XLOOKUP(C264,customers!$A$1:$A$1001,customers!$B$1:$B$1001,,0)</f>
        <v>Javier Kopke</v>
      </c>
      <c r="G264" s="2" t="str">
        <f>IF(_xlfn.XLOOKUP(C264,customers!$A$1:$A$1001,customers!$C$1:$C$1001,,0)=0,"",_xlfn.XLOOKUP(C264,customers!$A$1:$A$1001,customers!$C$1:$C$1001,,0))</f>
        <v>jkopke7a@auda.org.au</v>
      </c>
      <c r="H264" s="2" t="str">
        <f>_xlfn.XLOOKUP(C264,customers!$A$1:$A$1001,customers!$G$1:$G$1001,,0)</f>
        <v>United States</v>
      </c>
      <c r="I264" t="str">
        <f>INDEX(products!$A$1:$G$49,MATCH(orders!$D264,products!$A$1:$A$49,0),MATCH(orders!I$1,products!$A$1:$G$1,0))</f>
        <v>Exc</v>
      </c>
      <c r="J264" t="str">
        <f>INDEX(products!$A$1:$G$49,MATCH(orders!$D264,products!$A$1:$A$49,0),MATCH(orders!J$1,products!$A$1:$G$1,0))</f>
        <v>M</v>
      </c>
      <c r="K264" s="7">
        <f>INDEX(products!$A$1:$G$49,MATCH(orders!$D264,products!$A$1:$A$49,0),MATCH(orders!K$1,products!$A$1:$G$1,0))</f>
        <v>1</v>
      </c>
      <c r="L264" s="4">
        <f>INDEX(products!$A$1:$G$49,MATCH(orders!$D264,products!$A$1:$A$49,0),MATCH(orders!L$1,products!$A$1:$G$1,0))</f>
        <v>13.75</v>
      </c>
      <c r="M264" s="4">
        <f t="shared" si="4"/>
        <v>41.25</v>
      </c>
      <c r="N264" t="str" cm="1">
        <f t="array" ref="N264">_xlfn.IFS(I264="Rob","Robusta",I264="Exc","Excelsa",I264="Ara","Arabica",I264="Lib","Liberica")</f>
        <v>Excelsa</v>
      </c>
      <c r="O264" t="str" cm="1">
        <f t="array" ref="O264">_xlfn.IFS(J264="M","Medium",J264="L","Large",J264="D","Dark")</f>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_xlfn.XLOOKUP(C265,customers!$A$1:$A$1001,customers!$B$1:$B$1001,,0)</f>
        <v>Mar McIver</v>
      </c>
      <c r="G265" s="2" t="str">
        <f>IF(_xlfn.XLOOKUP(C265,customers!$A$1:$A$1001,customers!$C$1:$C$1001,,0)=0,"",_xlfn.XLOOKUP(C265,customers!$A$1:$A$1001,customers!$C$1:$C$1001,,0))</f>
        <v/>
      </c>
      <c r="H265" s="2" t="str">
        <f>_xlfn.XLOOKUP(C265,customers!$A$1:$A$1001,customers!$G$1:$G$1001,,0)</f>
        <v>United States</v>
      </c>
      <c r="I265" t="str">
        <f>INDEX(products!$A$1:$G$49,MATCH(orders!$D265,products!$A$1:$A$49,0),MATCH(orders!I$1,products!$A$1:$G$1,0))</f>
        <v>Lib</v>
      </c>
      <c r="J265" t="str">
        <f>INDEX(products!$A$1:$G$49,MATCH(orders!$D265,products!$A$1:$A$49,0),MATCH(orders!J$1,products!$A$1:$G$1,0))</f>
        <v>M</v>
      </c>
      <c r="K265" s="7">
        <f>INDEX(products!$A$1:$G$49,MATCH(orders!$D265,products!$A$1:$A$49,0),MATCH(orders!K$1,products!$A$1:$G$1,0))</f>
        <v>2.5</v>
      </c>
      <c r="L265" s="4">
        <f>INDEX(products!$A$1:$G$49,MATCH(orders!$D265,products!$A$1:$A$49,0),MATCH(orders!L$1,products!$A$1:$G$1,0))</f>
        <v>33.464999999999996</v>
      </c>
      <c r="M265" s="4">
        <f t="shared" si="4"/>
        <v>133.85999999999999</v>
      </c>
      <c r="N265" t="str" cm="1">
        <f t="array" ref="N265">_xlfn.IFS(I265="Rob","Robusta",I265="Exc","Excelsa",I265="Ara","Arabica",I265="Lib","Liberica")</f>
        <v>Liberica</v>
      </c>
      <c r="O265" t="str" cm="1">
        <f t="array" ref="O265">_xlfn.IFS(J265="M","Medium",J265="L","Large",J265="D","Dark")</f>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_xlfn.XLOOKUP(C266,customers!$A$1:$A$1001,customers!$B$1:$B$1001,,0)</f>
        <v>Arabella Fransewich</v>
      </c>
      <c r="G266" s="2" t="str">
        <f>IF(_xlfn.XLOOKUP(C266,customers!$A$1:$A$1001,customers!$C$1:$C$1001,,0)=0,"",_xlfn.XLOOKUP(C266,customers!$A$1:$A$1001,customers!$C$1:$C$1001,,0))</f>
        <v/>
      </c>
      <c r="H266" s="2" t="str">
        <f>_xlfn.XLOOKUP(C266,customers!$A$1:$A$1001,customers!$G$1:$G$1001,,0)</f>
        <v>Ireland</v>
      </c>
      <c r="I266" t="str">
        <f>INDEX(products!$A$1:$G$49,MATCH(orders!$D266,products!$A$1:$A$49,0),MATCH(orders!I$1,products!$A$1:$G$1,0))</f>
        <v>Rob</v>
      </c>
      <c r="J266" t="str">
        <f>INDEX(products!$A$1:$G$49,MATCH(orders!$D266,products!$A$1:$A$49,0),MATCH(orders!J$1,products!$A$1:$G$1,0))</f>
        <v>L</v>
      </c>
      <c r="K266" s="7">
        <f>INDEX(products!$A$1:$G$49,MATCH(orders!$D266,products!$A$1:$A$49,0),MATCH(orders!K$1,products!$A$1:$G$1,0))</f>
        <v>1</v>
      </c>
      <c r="L266" s="4">
        <f>INDEX(products!$A$1:$G$49,MATCH(orders!$D266,products!$A$1:$A$49,0),MATCH(orders!L$1,products!$A$1:$G$1,0))</f>
        <v>11.95</v>
      </c>
      <c r="M266" s="4">
        <f t="shared" si="4"/>
        <v>59.75</v>
      </c>
      <c r="N266" t="str" cm="1">
        <f t="array" ref="N266">_xlfn.IFS(I266="Rob","Robusta",I266="Exc","Excelsa",I266="Ara","Arabica",I266="Lib","Liberica")</f>
        <v>Robusta</v>
      </c>
      <c r="O266" t="str" cm="1">
        <f t="array" ref="O266">_xlfn.IFS(J266="M","Medium",J266="L","Large",J266="D","Dark")</f>
        <v>Large</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_xlfn.XLOOKUP(C267,customers!$A$1:$A$1001,customers!$B$1:$B$1001,,0)</f>
        <v>Violette Hellmore</v>
      </c>
      <c r="G267" s="2" t="str">
        <f>IF(_xlfn.XLOOKUP(C267,customers!$A$1:$A$1001,customers!$C$1:$C$1001,,0)=0,"",_xlfn.XLOOKUP(C267,customers!$A$1:$A$1001,customers!$C$1:$C$1001,,0))</f>
        <v>vhellmore7d@bbc.co.uk</v>
      </c>
      <c r="H267" s="2" t="str">
        <f>_xlfn.XLOOKUP(C267,customers!$A$1:$A$1001,customers!$G$1:$G$1001,,0)</f>
        <v>United States</v>
      </c>
      <c r="I267" t="str">
        <f>INDEX(products!$A$1:$G$49,MATCH(orders!$D267,products!$A$1:$A$49,0),MATCH(orders!I$1,products!$A$1:$G$1,0))</f>
        <v>Ara</v>
      </c>
      <c r="J267" t="str">
        <f>INDEX(products!$A$1:$G$49,MATCH(orders!$D267,products!$A$1:$A$49,0),MATCH(orders!J$1,products!$A$1:$G$1,0))</f>
        <v>D</v>
      </c>
      <c r="K267" s="7">
        <f>INDEX(products!$A$1:$G$49,MATCH(orders!$D267,products!$A$1:$A$49,0),MATCH(orders!K$1,products!$A$1:$G$1,0))</f>
        <v>0.5</v>
      </c>
      <c r="L267" s="4">
        <f>INDEX(products!$A$1:$G$49,MATCH(orders!$D267,products!$A$1:$A$49,0),MATCH(orders!L$1,products!$A$1:$G$1,0))</f>
        <v>5.97</v>
      </c>
      <c r="M267" s="4">
        <f t="shared" si="4"/>
        <v>5.97</v>
      </c>
      <c r="N267" t="str" cm="1">
        <f t="array" ref="N267">_xlfn.IFS(I267="Rob","Robusta",I267="Exc","Excelsa",I267="Ara","Arabica",I267="Lib","Liberica")</f>
        <v>Arabica</v>
      </c>
      <c r="O267" t="str" cm="1">
        <f t="array" ref="O267">_xlfn.IFS(J267="M","Medium",J267="L","Large",J267="D","Dark")</f>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_xlfn.XLOOKUP(C268,customers!$A$1:$A$1001,customers!$B$1:$B$1001,,0)</f>
        <v>Myles Seawright</v>
      </c>
      <c r="G268" s="2" t="str">
        <f>IF(_xlfn.XLOOKUP(C268,customers!$A$1:$A$1001,customers!$C$1:$C$1001,,0)=0,"",_xlfn.XLOOKUP(C268,customers!$A$1:$A$1001,customers!$C$1:$C$1001,,0))</f>
        <v>mseawright7e@nbcnews.com</v>
      </c>
      <c r="H268" s="2" t="str">
        <f>_xlfn.XLOOKUP(C268,customers!$A$1:$A$1001,customers!$G$1:$G$1001,,0)</f>
        <v>United Kingdom</v>
      </c>
      <c r="I268" t="str">
        <f>INDEX(products!$A$1:$G$49,MATCH(orders!$D268,products!$A$1:$A$49,0),MATCH(orders!I$1,products!$A$1:$G$1,0))</f>
        <v>Exc</v>
      </c>
      <c r="J268" t="str">
        <f>INDEX(products!$A$1:$G$49,MATCH(orders!$D268,products!$A$1:$A$49,0),MATCH(orders!J$1,products!$A$1:$G$1,0))</f>
        <v>D</v>
      </c>
      <c r="K268" s="7">
        <f>INDEX(products!$A$1:$G$49,MATCH(orders!$D268,products!$A$1:$A$49,0),MATCH(orders!K$1,products!$A$1:$G$1,0))</f>
        <v>1</v>
      </c>
      <c r="L268" s="4">
        <f>INDEX(products!$A$1:$G$49,MATCH(orders!$D268,products!$A$1:$A$49,0),MATCH(orders!L$1,products!$A$1:$G$1,0))</f>
        <v>12.15</v>
      </c>
      <c r="M268" s="4">
        <f t="shared" si="4"/>
        <v>24.3</v>
      </c>
      <c r="N268" t="str" cm="1">
        <f t="array" ref="N268">_xlfn.IFS(I268="Rob","Robusta",I268="Exc","Excelsa",I268="Ara","Arabica",I268="Lib","Liberica")</f>
        <v>Excelsa</v>
      </c>
      <c r="O268" t="str" cm="1">
        <f t="array" ref="O268">_xlfn.IFS(J268="M","Medium",J268="L","Large",J268="D","Dark")</f>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_xlfn.XLOOKUP(C269,customers!$A$1:$A$1001,customers!$B$1:$B$1001,,0)</f>
        <v>Silvana Northeast</v>
      </c>
      <c r="G269" s="2" t="str">
        <f>IF(_xlfn.XLOOKUP(C269,customers!$A$1:$A$1001,customers!$C$1:$C$1001,,0)=0,"",_xlfn.XLOOKUP(C269,customers!$A$1:$A$1001,customers!$C$1:$C$1001,,0))</f>
        <v>snortheast7f@mashable.com</v>
      </c>
      <c r="H269" s="2" t="str">
        <f>_xlfn.XLOOKUP(C269,customers!$A$1:$A$1001,customers!$G$1:$G$1001,,0)</f>
        <v>United States</v>
      </c>
      <c r="I269" t="str">
        <f>INDEX(products!$A$1:$G$49,MATCH(orders!$D269,products!$A$1:$A$49,0),MATCH(orders!I$1,products!$A$1:$G$1,0))</f>
        <v>Exc</v>
      </c>
      <c r="J269" t="str">
        <f>INDEX(products!$A$1:$G$49,MATCH(orders!$D269,products!$A$1:$A$49,0),MATCH(orders!J$1,products!$A$1:$G$1,0))</f>
        <v>D</v>
      </c>
      <c r="K269" s="7">
        <f>INDEX(products!$A$1:$G$49,MATCH(orders!$D269,products!$A$1:$A$49,0),MATCH(orders!K$1,products!$A$1:$G$1,0))</f>
        <v>0.2</v>
      </c>
      <c r="L269" s="4">
        <f>INDEX(products!$A$1:$G$49,MATCH(orders!$D269,products!$A$1:$A$49,0),MATCH(orders!L$1,products!$A$1:$G$1,0))</f>
        <v>3.645</v>
      </c>
      <c r="M269" s="4">
        <f t="shared" si="4"/>
        <v>21.87</v>
      </c>
      <c r="N269" t="str" cm="1">
        <f t="array" ref="N269">_xlfn.IFS(I269="Rob","Robusta",I269="Exc","Excelsa",I269="Ara","Arabica",I269="Lib","Liberica")</f>
        <v>Excelsa</v>
      </c>
      <c r="O269" t="str" cm="1">
        <f t="array" ref="O269">_xlfn.IFS(J269="M","Medium",J269="L","Large",J269="D","Dark")</f>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_xlfn.XLOOKUP(C270,customers!$A$1:$A$1001,customers!$B$1:$B$1001,,0)</f>
        <v>Anselma Attwater</v>
      </c>
      <c r="G270" s="2" t="str">
        <f>IF(_xlfn.XLOOKUP(C270,customers!$A$1:$A$1001,customers!$C$1:$C$1001,,0)=0,"",_xlfn.XLOOKUP(C270,customers!$A$1:$A$1001,customers!$C$1:$C$1001,,0))</f>
        <v>aattwater5u@wikia.com</v>
      </c>
      <c r="H270" s="2" t="str">
        <f>_xlfn.XLOOKUP(C270,customers!$A$1:$A$1001,customers!$G$1:$G$1001,,0)</f>
        <v>United States</v>
      </c>
      <c r="I270" t="str">
        <f>INDEX(products!$A$1:$G$49,MATCH(orders!$D270,products!$A$1:$A$49,0),MATCH(orders!I$1,products!$A$1:$G$1,0))</f>
        <v>Ara</v>
      </c>
      <c r="J270" t="str">
        <f>INDEX(products!$A$1:$G$49,MATCH(orders!$D270,products!$A$1:$A$49,0),MATCH(orders!J$1,products!$A$1:$G$1,0))</f>
        <v>D</v>
      </c>
      <c r="K270" s="7">
        <f>INDEX(products!$A$1:$G$49,MATCH(orders!$D270,products!$A$1:$A$49,0),MATCH(orders!K$1,products!$A$1:$G$1,0))</f>
        <v>1</v>
      </c>
      <c r="L270" s="4">
        <f>INDEX(products!$A$1:$G$49,MATCH(orders!$D270,products!$A$1:$A$49,0),MATCH(orders!L$1,products!$A$1:$G$1,0))</f>
        <v>9.9499999999999993</v>
      </c>
      <c r="M270" s="4">
        <f t="shared" si="4"/>
        <v>19.899999999999999</v>
      </c>
      <c r="N270" t="str" cm="1">
        <f t="array" ref="N270">_xlfn.IFS(I270="Rob","Robusta",I270="Exc","Excelsa",I270="Ara","Arabica",I270="Lib","Liberica")</f>
        <v>Arabica</v>
      </c>
      <c r="O270" t="str" cm="1">
        <f t="array" ref="O270">_xlfn.IFS(J270="M","Medium",J270="L","Large",J270="D","Dark")</f>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_xlfn.XLOOKUP(C271,customers!$A$1:$A$1001,customers!$B$1:$B$1001,,0)</f>
        <v>Monica Fearon</v>
      </c>
      <c r="G271" s="2" t="str">
        <f>IF(_xlfn.XLOOKUP(C271,customers!$A$1:$A$1001,customers!$C$1:$C$1001,,0)=0,"",_xlfn.XLOOKUP(C271,customers!$A$1:$A$1001,customers!$C$1:$C$1001,,0))</f>
        <v>mfearon7h@reverbnation.com</v>
      </c>
      <c r="H271" s="2" t="str">
        <f>_xlfn.XLOOKUP(C271,customers!$A$1:$A$1001,customers!$G$1:$G$1001,,0)</f>
        <v>United States</v>
      </c>
      <c r="I271" t="str">
        <f>INDEX(products!$A$1:$G$49,MATCH(orders!$D271,products!$A$1:$A$49,0),MATCH(orders!I$1,products!$A$1:$G$1,0))</f>
        <v>Ara</v>
      </c>
      <c r="J271" t="str">
        <f>INDEX(products!$A$1:$G$49,MATCH(orders!$D271,products!$A$1:$A$49,0),MATCH(orders!J$1,products!$A$1:$G$1,0))</f>
        <v>D</v>
      </c>
      <c r="K271" s="7">
        <f>INDEX(products!$A$1:$G$49,MATCH(orders!$D271,products!$A$1:$A$49,0),MATCH(orders!K$1,products!$A$1:$G$1,0))</f>
        <v>0.2</v>
      </c>
      <c r="L271" s="4">
        <f>INDEX(products!$A$1:$G$49,MATCH(orders!$D271,products!$A$1:$A$49,0),MATCH(orders!L$1,products!$A$1:$G$1,0))</f>
        <v>2.9849999999999999</v>
      </c>
      <c r="M271" s="4">
        <f t="shared" si="4"/>
        <v>5.97</v>
      </c>
      <c r="N271" t="str" cm="1">
        <f t="array" ref="N271">_xlfn.IFS(I271="Rob","Robusta",I271="Exc","Excelsa",I271="Ara","Arabica",I271="Lib","Liberica")</f>
        <v>Arabica</v>
      </c>
      <c r="O271" t="str" cm="1">
        <f t="array" ref="O271">_xlfn.IFS(J271="M","Medium",J271="L","Large",J271="D","Dark")</f>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_xlfn.XLOOKUP(C272,customers!$A$1:$A$1001,customers!$B$1:$B$1001,,0)</f>
        <v>Barney Chisnell</v>
      </c>
      <c r="G272" s="2" t="str">
        <f>IF(_xlfn.XLOOKUP(C272,customers!$A$1:$A$1001,customers!$C$1:$C$1001,,0)=0,"",_xlfn.XLOOKUP(C272,customers!$A$1:$A$1001,customers!$C$1:$C$1001,,0))</f>
        <v/>
      </c>
      <c r="H272" s="2" t="str">
        <f>_xlfn.XLOOKUP(C272,customers!$A$1:$A$1001,customers!$G$1:$G$1001,,0)</f>
        <v>Ireland</v>
      </c>
      <c r="I272" t="str">
        <f>INDEX(products!$A$1:$G$49,MATCH(orders!$D272,products!$A$1:$A$49,0),MATCH(orders!I$1,products!$A$1:$G$1,0))</f>
        <v>Exc</v>
      </c>
      <c r="J272" t="str">
        <f>INDEX(products!$A$1:$G$49,MATCH(orders!$D272,products!$A$1:$A$49,0),MATCH(orders!J$1,products!$A$1:$G$1,0))</f>
        <v>D</v>
      </c>
      <c r="K272" s="7">
        <f>INDEX(products!$A$1:$G$49,MATCH(orders!$D272,products!$A$1:$A$49,0),MATCH(orders!K$1,products!$A$1:$G$1,0))</f>
        <v>0.5</v>
      </c>
      <c r="L272" s="4">
        <f>INDEX(products!$A$1:$G$49,MATCH(orders!$D272,products!$A$1:$A$49,0),MATCH(orders!L$1,products!$A$1:$G$1,0))</f>
        <v>7.29</v>
      </c>
      <c r="M272" s="4">
        <f t="shared" si="4"/>
        <v>7.29</v>
      </c>
      <c r="N272" t="str" cm="1">
        <f t="array" ref="N272">_xlfn.IFS(I272="Rob","Robusta",I272="Exc","Excelsa",I272="Ara","Arabica",I272="Lib","Liberica")</f>
        <v>Excelsa</v>
      </c>
      <c r="O272" t="str" cm="1">
        <f t="array" ref="O272">_xlfn.IFS(J272="M","Medium",J272="L","Large",J272="D","Dark")</f>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_xlfn.XLOOKUP(C273,customers!$A$1:$A$1001,customers!$B$1:$B$1001,,0)</f>
        <v>Jasper Sisneros</v>
      </c>
      <c r="G273" s="2" t="str">
        <f>IF(_xlfn.XLOOKUP(C273,customers!$A$1:$A$1001,customers!$C$1:$C$1001,,0)=0,"",_xlfn.XLOOKUP(C273,customers!$A$1:$A$1001,customers!$C$1:$C$1001,,0))</f>
        <v>jsisneros7j@a8.net</v>
      </c>
      <c r="H273" s="2" t="str">
        <f>_xlfn.XLOOKUP(C273,customers!$A$1:$A$1001,customers!$G$1:$G$1001,,0)</f>
        <v>United States</v>
      </c>
      <c r="I273" t="str">
        <f>INDEX(products!$A$1:$G$49,MATCH(orders!$D273,products!$A$1:$A$49,0),MATCH(orders!I$1,products!$A$1:$G$1,0))</f>
        <v>Ara</v>
      </c>
      <c r="J273" t="str">
        <f>INDEX(products!$A$1:$G$49,MATCH(orders!$D273,products!$A$1:$A$49,0),MATCH(orders!J$1,products!$A$1:$G$1,0))</f>
        <v>D</v>
      </c>
      <c r="K273" s="7">
        <f>INDEX(products!$A$1:$G$49,MATCH(orders!$D273,products!$A$1:$A$49,0),MATCH(orders!K$1,products!$A$1:$G$1,0))</f>
        <v>0.2</v>
      </c>
      <c r="L273" s="4">
        <f>INDEX(products!$A$1:$G$49,MATCH(orders!$D273,products!$A$1:$A$49,0),MATCH(orders!L$1,products!$A$1:$G$1,0))</f>
        <v>2.9849999999999999</v>
      </c>
      <c r="M273" s="4">
        <f t="shared" si="4"/>
        <v>11.94</v>
      </c>
      <c r="N273" t="str" cm="1">
        <f t="array" ref="N273">_xlfn.IFS(I273="Rob","Robusta",I273="Exc","Excelsa",I273="Ara","Arabica",I273="Lib","Liberica")</f>
        <v>Arabica</v>
      </c>
      <c r="O273" t="str" cm="1">
        <f t="array" ref="O273">_xlfn.IFS(J273="M","Medium",J273="L","Large",J273="D","Dark")</f>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_xlfn.XLOOKUP(C274,customers!$A$1:$A$1001,customers!$B$1:$B$1001,,0)</f>
        <v>Zachariah Carlson</v>
      </c>
      <c r="G274" s="2" t="str">
        <f>IF(_xlfn.XLOOKUP(C274,customers!$A$1:$A$1001,customers!$C$1:$C$1001,,0)=0,"",_xlfn.XLOOKUP(C274,customers!$A$1:$A$1001,customers!$C$1:$C$1001,,0))</f>
        <v>zcarlson7k@bigcartel.com</v>
      </c>
      <c r="H274" s="2" t="str">
        <f>_xlfn.XLOOKUP(C274,customers!$A$1:$A$1001,customers!$G$1:$G$1001,,0)</f>
        <v>Ireland</v>
      </c>
      <c r="I274" t="str">
        <f>INDEX(products!$A$1:$G$49,MATCH(orders!$D274,products!$A$1:$A$49,0),MATCH(orders!I$1,products!$A$1:$G$1,0))</f>
        <v>Rob</v>
      </c>
      <c r="J274" t="str">
        <f>INDEX(products!$A$1:$G$49,MATCH(orders!$D274,products!$A$1:$A$49,0),MATCH(orders!J$1,products!$A$1:$G$1,0))</f>
        <v>L</v>
      </c>
      <c r="K274" s="7">
        <f>INDEX(products!$A$1:$G$49,MATCH(orders!$D274,products!$A$1:$A$49,0),MATCH(orders!K$1,products!$A$1:$G$1,0))</f>
        <v>1</v>
      </c>
      <c r="L274" s="4">
        <f>INDEX(products!$A$1:$G$49,MATCH(orders!$D274,products!$A$1:$A$49,0),MATCH(orders!L$1,products!$A$1:$G$1,0))</f>
        <v>11.95</v>
      </c>
      <c r="M274" s="4">
        <f t="shared" si="4"/>
        <v>71.699999999999989</v>
      </c>
      <c r="N274" t="str" cm="1">
        <f t="array" ref="N274">_xlfn.IFS(I274="Rob","Robusta",I274="Exc","Excelsa",I274="Ara","Arabica",I274="Lib","Liberica")</f>
        <v>Robusta</v>
      </c>
      <c r="O274" t="str" cm="1">
        <f t="array" ref="O274">_xlfn.IFS(J274="M","Medium",J274="L","Large",J274="D","Dark")</f>
        <v>Large</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_xlfn.XLOOKUP(C275,customers!$A$1:$A$1001,customers!$B$1:$B$1001,,0)</f>
        <v>Warner Maddox</v>
      </c>
      <c r="G275" s="2" t="str">
        <f>IF(_xlfn.XLOOKUP(C275,customers!$A$1:$A$1001,customers!$C$1:$C$1001,,0)=0,"",_xlfn.XLOOKUP(C275,customers!$A$1:$A$1001,customers!$C$1:$C$1001,,0))</f>
        <v>wmaddox7l@timesonline.co.uk</v>
      </c>
      <c r="H275" s="2" t="str">
        <f>_xlfn.XLOOKUP(C275,customers!$A$1:$A$1001,customers!$G$1:$G$1001,,0)</f>
        <v>United States</v>
      </c>
      <c r="I275" t="str">
        <f>INDEX(products!$A$1:$G$49,MATCH(orders!$D275,products!$A$1:$A$49,0),MATCH(orders!I$1,products!$A$1:$G$1,0))</f>
        <v>Ara</v>
      </c>
      <c r="J275" t="str">
        <f>INDEX(products!$A$1:$G$49,MATCH(orders!$D275,products!$A$1:$A$49,0),MATCH(orders!J$1,products!$A$1:$G$1,0))</f>
        <v>L</v>
      </c>
      <c r="K275" s="7">
        <f>INDEX(products!$A$1:$G$49,MATCH(orders!$D275,products!$A$1:$A$49,0),MATCH(orders!K$1,products!$A$1:$G$1,0))</f>
        <v>0.2</v>
      </c>
      <c r="L275" s="4">
        <f>INDEX(products!$A$1:$G$49,MATCH(orders!$D275,products!$A$1:$A$49,0),MATCH(orders!L$1,products!$A$1:$G$1,0))</f>
        <v>3.8849999999999998</v>
      </c>
      <c r="M275" s="4">
        <f t="shared" si="4"/>
        <v>7.77</v>
      </c>
      <c r="N275" t="str" cm="1">
        <f t="array" ref="N275">_xlfn.IFS(I275="Rob","Robusta",I275="Exc","Excelsa",I275="Ara","Arabica",I275="Lib","Liberica")</f>
        <v>Arabica</v>
      </c>
      <c r="O275" t="str" cm="1">
        <f t="array" ref="O275">_xlfn.IFS(J275="M","Medium",J275="L","Large",J275="D","Dark")</f>
        <v>Large</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_xlfn.XLOOKUP(C276,customers!$A$1:$A$1001,customers!$B$1:$B$1001,,0)</f>
        <v>Donnie Hedlestone</v>
      </c>
      <c r="G276" s="2" t="str">
        <f>IF(_xlfn.XLOOKUP(C276,customers!$A$1:$A$1001,customers!$C$1:$C$1001,,0)=0,"",_xlfn.XLOOKUP(C276,customers!$A$1:$A$1001,customers!$C$1:$C$1001,,0))</f>
        <v>dhedlestone7m@craigslist.org</v>
      </c>
      <c r="H276" s="2" t="str">
        <f>_xlfn.XLOOKUP(C276,customers!$A$1:$A$1001,customers!$G$1:$G$1001,,0)</f>
        <v>United States</v>
      </c>
      <c r="I276" t="str">
        <f>INDEX(products!$A$1:$G$49,MATCH(orders!$D276,products!$A$1:$A$49,0),MATCH(orders!I$1,products!$A$1:$G$1,0))</f>
        <v>Ara</v>
      </c>
      <c r="J276" t="str">
        <f>INDEX(products!$A$1:$G$49,MATCH(orders!$D276,products!$A$1:$A$49,0),MATCH(orders!J$1,products!$A$1:$G$1,0))</f>
        <v>M</v>
      </c>
      <c r="K276" s="7">
        <f>INDEX(products!$A$1:$G$49,MATCH(orders!$D276,products!$A$1:$A$49,0),MATCH(orders!K$1,products!$A$1:$G$1,0))</f>
        <v>2.5</v>
      </c>
      <c r="L276" s="4">
        <f>INDEX(products!$A$1:$G$49,MATCH(orders!$D276,products!$A$1:$A$49,0),MATCH(orders!L$1,products!$A$1:$G$1,0))</f>
        <v>25.874999999999996</v>
      </c>
      <c r="M276" s="4">
        <f t="shared" si="4"/>
        <v>25.874999999999996</v>
      </c>
      <c r="N276" t="str" cm="1">
        <f t="array" ref="N276">_xlfn.IFS(I276="Rob","Robusta",I276="Exc","Excelsa",I276="Ara","Arabica",I276="Lib","Liberica")</f>
        <v>Arabica</v>
      </c>
      <c r="O276" t="str" cm="1">
        <f t="array" ref="O276">_xlfn.IFS(J276="M","Medium",J276="L","Large",J276="D","Dark")</f>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_xlfn.XLOOKUP(C277,customers!$A$1:$A$1001,customers!$B$1:$B$1001,,0)</f>
        <v>Teddi Crowthe</v>
      </c>
      <c r="G277" s="2" t="str">
        <f>IF(_xlfn.XLOOKUP(C277,customers!$A$1:$A$1001,customers!$C$1:$C$1001,,0)=0,"",_xlfn.XLOOKUP(C277,customers!$A$1:$A$1001,customers!$C$1:$C$1001,,0))</f>
        <v>tcrowthe7n@europa.eu</v>
      </c>
      <c r="H277" s="2" t="str">
        <f>_xlfn.XLOOKUP(C277,customers!$A$1:$A$1001,customers!$G$1:$G$1001,,0)</f>
        <v>United States</v>
      </c>
      <c r="I277" t="str">
        <f>INDEX(products!$A$1:$G$49,MATCH(orders!$D277,products!$A$1:$A$49,0),MATCH(orders!I$1,products!$A$1:$G$1,0))</f>
        <v>Exc</v>
      </c>
      <c r="J277" t="str">
        <f>INDEX(products!$A$1:$G$49,MATCH(orders!$D277,products!$A$1:$A$49,0),MATCH(orders!J$1,products!$A$1:$G$1,0))</f>
        <v>L</v>
      </c>
      <c r="K277" s="7">
        <f>INDEX(products!$A$1:$G$49,MATCH(orders!$D277,products!$A$1:$A$49,0),MATCH(orders!K$1,products!$A$1:$G$1,0))</f>
        <v>2.5</v>
      </c>
      <c r="L277" s="4">
        <f>INDEX(products!$A$1:$G$49,MATCH(orders!$D277,products!$A$1:$A$49,0),MATCH(orders!L$1,products!$A$1:$G$1,0))</f>
        <v>34.154999999999994</v>
      </c>
      <c r="M277" s="4">
        <f t="shared" si="4"/>
        <v>204.92999999999995</v>
      </c>
      <c r="N277" t="str" cm="1">
        <f t="array" ref="N277">_xlfn.IFS(I277="Rob","Robusta",I277="Exc","Excelsa",I277="Ara","Arabica",I277="Lib","Liberica")</f>
        <v>Excelsa</v>
      </c>
      <c r="O277" t="str" cm="1">
        <f t="array" ref="O277">_xlfn.IFS(J277="M","Medium",J277="L","Large",J277="D","Dark")</f>
        <v>Large</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_xlfn.XLOOKUP(C278,customers!$A$1:$A$1001,customers!$B$1:$B$1001,,0)</f>
        <v>Dorelia Bury</v>
      </c>
      <c r="G278" s="2" t="str">
        <f>IF(_xlfn.XLOOKUP(C278,customers!$A$1:$A$1001,customers!$C$1:$C$1001,,0)=0,"",_xlfn.XLOOKUP(C278,customers!$A$1:$A$1001,customers!$C$1:$C$1001,,0))</f>
        <v>dbury7o@tinyurl.com</v>
      </c>
      <c r="H278" s="2" t="str">
        <f>_xlfn.XLOOKUP(C278,customers!$A$1:$A$1001,customers!$G$1:$G$1001,,0)</f>
        <v>Ireland</v>
      </c>
      <c r="I278" t="str">
        <f>INDEX(products!$A$1:$G$49,MATCH(orders!$D278,products!$A$1:$A$49,0),MATCH(orders!I$1,products!$A$1:$G$1,0))</f>
        <v>Rob</v>
      </c>
      <c r="J278" t="str">
        <f>INDEX(products!$A$1:$G$49,MATCH(orders!$D278,products!$A$1:$A$49,0),MATCH(orders!J$1,products!$A$1:$G$1,0))</f>
        <v>L</v>
      </c>
      <c r="K278" s="7">
        <f>INDEX(products!$A$1:$G$49,MATCH(orders!$D278,products!$A$1:$A$49,0),MATCH(orders!K$1,products!$A$1:$G$1,0))</f>
        <v>2.5</v>
      </c>
      <c r="L278" s="4">
        <f>INDEX(products!$A$1:$G$49,MATCH(orders!$D278,products!$A$1:$A$49,0),MATCH(orders!L$1,products!$A$1:$G$1,0))</f>
        <v>27.484999999999996</v>
      </c>
      <c r="M278" s="4">
        <f t="shared" si="4"/>
        <v>109.93999999999998</v>
      </c>
      <c r="N278" t="str" cm="1">
        <f t="array" ref="N278">_xlfn.IFS(I278="Rob","Robusta",I278="Exc","Excelsa",I278="Ara","Arabica",I278="Lib","Liberica")</f>
        <v>Robusta</v>
      </c>
      <c r="O278" t="str" cm="1">
        <f t="array" ref="O278">_xlfn.IFS(J278="M","Medium",J278="L","Large",J278="D","Dark")</f>
        <v>Large</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_xlfn.XLOOKUP(C279,customers!$A$1:$A$1001,customers!$B$1:$B$1001,,0)</f>
        <v>Gussy Broadbear</v>
      </c>
      <c r="G279" s="2" t="str">
        <f>IF(_xlfn.XLOOKUP(C279,customers!$A$1:$A$1001,customers!$C$1:$C$1001,,0)=0,"",_xlfn.XLOOKUP(C279,customers!$A$1:$A$1001,customers!$C$1:$C$1001,,0))</f>
        <v>gbroadbear7p@omniture.com</v>
      </c>
      <c r="H279" s="2" t="str">
        <f>_xlfn.XLOOKUP(C279,customers!$A$1:$A$1001,customers!$G$1:$G$1001,,0)</f>
        <v>United States</v>
      </c>
      <c r="I279" t="str">
        <f>INDEX(products!$A$1:$G$49,MATCH(orders!$D279,products!$A$1:$A$49,0),MATCH(orders!I$1,products!$A$1:$G$1,0))</f>
        <v>Exc</v>
      </c>
      <c r="J279" t="str">
        <f>INDEX(products!$A$1:$G$49,MATCH(orders!$D279,products!$A$1:$A$49,0),MATCH(orders!J$1,products!$A$1:$G$1,0))</f>
        <v>L</v>
      </c>
      <c r="K279" s="7">
        <f>INDEX(products!$A$1:$G$49,MATCH(orders!$D279,products!$A$1:$A$49,0),MATCH(orders!K$1,products!$A$1:$G$1,0))</f>
        <v>1</v>
      </c>
      <c r="L279" s="4">
        <f>INDEX(products!$A$1:$G$49,MATCH(orders!$D279,products!$A$1:$A$49,0),MATCH(orders!L$1,products!$A$1:$G$1,0))</f>
        <v>14.85</v>
      </c>
      <c r="M279" s="4">
        <f t="shared" si="4"/>
        <v>89.1</v>
      </c>
      <c r="N279" t="str" cm="1">
        <f t="array" ref="N279">_xlfn.IFS(I279="Rob","Robusta",I279="Exc","Excelsa",I279="Ara","Arabica",I279="Lib","Liberica")</f>
        <v>Excelsa</v>
      </c>
      <c r="O279" t="str" cm="1">
        <f t="array" ref="O279">_xlfn.IFS(J279="M","Medium",J279="L","Large",J279="D","Dark")</f>
        <v>Large</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_xlfn.XLOOKUP(C280,customers!$A$1:$A$1001,customers!$B$1:$B$1001,,0)</f>
        <v>Emlynne Palfrey</v>
      </c>
      <c r="G280" s="2" t="str">
        <f>IF(_xlfn.XLOOKUP(C280,customers!$A$1:$A$1001,customers!$C$1:$C$1001,,0)=0,"",_xlfn.XLOOKUP(C280,customers!$A$1:$A$1001,customers!$C$1:$C$1001,,0))</f>
        <v>epalfrey7q@devhub.com</v>
      </c>
      <c r="H280" s="2" t="str">
        <f>_xlfn.XLOOKUP(C280,customers!$A$1:$A$1001,customers!$G$1:$G$1001,,0)</f>
        <v>United States</v>
      </c>
      <c r="I280" t="str">
        <f>INDEX(products!$A$1:$G$49,MATCH(orders!$D280,products!$A$1:$A$49,0),MATCH(orders!I$1,products!$A$1:$G$1,0))</f>
        <v>Ara</v>
      </c>
      <c r="J280" t="str">
        <f>INDEX(products!$A$1:$G$49,MATCH(orders!$D280,products!$A$1:$A$49,0),MATCH(orders!J$1,products!$A$1:$G$1,0))</f>
        <v>L</v>
      </c>
      <c r="K280" s="7">
        <f>INDEX(products!$A$1:$G$49,MATCH(orders!$D280,products!$A$1:$A$49,0),MATCH(orders!K$1,products!$A$1:$G$1,0))</f>
        <v>0.2</v>
      </c>
      <c r="L280" s="4">
        <f>INDEX(products!$A$1:$G$49,MATCH(orders!$D280,products!$A$1:$A$49,0),MATCH(orders!L$1,products!$A$1:$G$1,0))</f>
        <v>3.8849999999999998</v>
      </c>
      <c r="M280" s="4">
        <f t="shared" si="4"/>
        <v>7.77</v>
      </c>
      <c r="N280" t="str" cm="1">
        <f t="array" ref="N280">_xlfn.IFS(I280="Rob","Robusta",I280="Exc","Excelsa",I280="Ara","Arabica",I280="Lib","Liberica")</f>
        <v>Arabica</v>
      </c>
      <c r="O280" t="str" cm="1">
        <f t="array" ref="O280">_xlfn.IFS(J280="M","Medium",J280="L","Large",J280="D","Dark")</f>
        <v>Large</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_xlfn.XLOOKUP(C281,customers!$A$1:$A$1001,customers!$B$1:$B$1001,,0)</f>
        <v>Parsifal Metrick</v>
      </c>
      <c r="G281" s="2" t="str">
        <f>IF(_xlfn.XLOOKUP(C281,customers!$A$1:$A$1001,customers!$C$1:$C$1001,,0)=0,"",_xlfn.XLOOKUP(C281,customers!$A$1:$A$1001,customers!$C$1:$C$1001,,0))</f>
        <v>pmetrick7r@rakuten.co.jp</v>
      </c>
      <c r="H281" s="2" t="str">
        <f>_xlfn.XLOOKUP(C281,customers!$A$1:$A$1001,customers!$G$1:$G$1001,,0)</f>
        <v>United States</v>
      </c>
      <c r="I281" t="str">
        <f>INDEX(products!$A$1:$G$49,MATCH(orders!$D281,products!$A$1:$A$49,0),MATCH(orders!I$1,products!$A$1:$G$1,0))</f>
        <v>Lib</v>
      </c>
      <c r="J281" t="str">
        <f>INDEX(products!$A$1:$G$49,MATCH(orders!$D281,products!$A$1:$A$49,0),MATCH(orders!J$1,products!$A$1:$G$1,0))</f>
        <v>M</v>
      </c>
      <c r="K281" s="7">
        <f>INDEX(products!$A$1:$G$49,MATCH(orders!$D281,products!$A$1:$A$49,0),MATCH(orders!K$1,products!$A$1:$G$1,0))</f>
        <v>2.5</v>
      </c>
      <c r="L281" s="4">
        <f>INDEX(products!$A$1:$G$49,MATCH(orders!$D281,products!$A$1:$A$49,0),MATCH(orders!L$1,products!$A$1:$G$1,0))</f>
        <v>33.464999999999996</v>
      </c>
      <c r="M281" s="4">
        <f t="shared" si="4"/>
        <v>33.464999999999996</v>
      </c>
      <c r="N281" t="str" cm="1">
        <f t="array" ref="N281">_xlfn.IFS(I281="Rob","Robusta",I281="Exc","Excelsa",I281="Ara","Arabica",I281="Lib","Liberica")</f>
        <v>Liberica</v>
      </c>
      <c r="O281" t="str" cm="1">
        <f t="array" ref="O281">_xlfn.IFS(J281="M","Medium",J281="L","Large",J281="D","Dark")</f>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_xlfn.XLOOKUP(C282,customers!$A$1:$A$1001,customers!$B$1:$B$1001,,0)</f>
        <v>Christopher Grieveson</v>
      </c>
      <c r="G282" s="2" t="str">
        <f>IF(_xlfn.XLOOKUP(C282,customers!$A$1:$A$1001,customers!$C$1:$C$1001,,0)=0,"",_xlfn.XLOOKUP(C282,customers!$A$1:$A$1001,customers!$C$1:$C$1001,,0))</f>
        <v/>
      </c>
      <c r="H282" s="2" t="str">
        <f>_xlfn.XLOOKUP(C282,customers!$A$1:$A$1001,customers!$G$1:$G$1001,,0)</f>
        <v>United States</v>
      </c>
      <c r="I282" t="str">
        <f>INDEX(products!$A$1:$G$49,MATCH(orders!$D282,products!$A$1:$A$49,0),MATCH(orders!I$1,products!$A$1:$G$1,0))</f>
        <v>Exc</v>
      </c>
      <c r="J282" t="str">
        <f>INDEX(products!$A$1:$G$49,MATCH(orders!$D282,products!$A$1:$A$49,0),MATCH(orders!J$1,products!$A$1:$G$1,0))</f>
        <v>M</v>
      </c>
      <c r="K282" s="7">
        <f>INDEX(products!$A$1:$G$49,MATCH(orders!$D282,products!$A$1:$A$49,0),MATCH(orders!K$1,products!$A$1:$G$1,0))</f>
        <v>0.5</v>
      </c>
      <c r="L282" s="4">
        <f>INDEX(products!$A$1:$G$49,MATCH(orders!$D282,products!$A$1:$A$49,0),MATCH(orders!L$1,products!$A$1:$G$1,0))</f>
        <v>8.25</v>
      </c>
      <c r="M282" s="4">
        <f t="shared" si="4"/>
        <v>41.25</v>
      </c>
      <c r="N282" t="str" cm="1">
        <f t="array" ref="N282">_xlfn.IFS(I282="Rob","Robusta",I282="Exc","Excelsa",I282="Ara","Arabica",I282="Lib","Liberica")</f>
        <v>Excelsa</v>
      </c>
      <c r="O282" t="str" cm="1">
        <f t="array" ref="O282">_xlfn.IFS(J282="M","Medium",J282="L","Large",J282="D","Dark")</f>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_xlfn.XLOOKUP(C283,customers!$A$1:$A$1001,customers!$B$1:$B$1001,,0)</f>
        <v>Karlan Karby</v>
      </c>
      <c r="G283" s="2" t="str">
        <f>IF(_xlfn.XLOOKUP(C283,customers!$A$1:$A$1001,customers!$C$1:$C$1001,,0)=0,"",_xlfn.XLOOKUP(C283,customers!$A$1:$A$1001,customers!$C$1:$C$1001,,0))</f>
        <v>kkarby7t@sbwire.com</v>
      </c>
      <c r="H283" s="2" t="str">
        <f>_xlfn.XLOOKUP(C283,customers!$A$1:$A$1001,customers!$G$1:$G$1001,,0)</f>
        <v>United States</v>
      </c>
      <c r="I283" t="str">
        <f>INDEX(products!$A$1:$G$49,MATCH(orders!$D283,products!$A$1:$A$49,0),MATCH(orders!I$1,products!$A$1:$G$1,0))</f>
        <v>Exc</v>
      </c>
      <c r="J283" t="str">
        <f>INDEX(products!$A$1:$G$49,MATCH(orders!$D283,products!$A$1:$A$49,0),MATCH(orders!J$1,products!$A$1:$G$1,0))</f>
        <v>L</v>
      </c>
      <c r="K283" s="7">
        <f>INDEX(products!$A$1:$G$49,MATCH(orders!$D283,products!$A$1:$A$49,0),MATCH(orders!K$1,products!$A$1:$G$1,0))</f>
        <v>1</v>
      </c>
      <c r="L283" s="4">
        <f>INDEX(products!$A$1:$G$49,MATCH(orders!$D283,products!$A$1:$A$49,0),MATCH(orders!L$1,products!$A$1:$G$1,0))</f>
        <v>14.85</v>
      </c>
      <c r="M283" s="4">
        <f t="shared" si="4"/>
        <v>59.4</v>
      </c>
      <c r="N283" t="str" cm="1">
        <f t="array" ref="N283">_xlfn.IFS(I283="Rob","Robusta",I283="Exc","Excelsa",I283="Ara","Arabica",I283="Lib","Liberica")</f>
        <v>Excelsa</v>
      </c>
      <c r="O283" t="str" cm="1">
        <f t="array" ref="O283">_xlfn.IFS(J283="M","Medium",J283="L","Large",J283="D","Dark")</f>
        <v>Large</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_xlfn.XLOOKUP(C284,customers!$A$1:$A$1001,customers!$B$1:$B$1001,,0)</f>
        <v>Flory Crumpe</v>
      </c>
      <c r="G284" s="2" t="str">
        <f>IF(_xlfn.XLOOKUP(C284,customers!$A$1:$A$1001,customers!$C$1:$C$1001,,0)=0,"",_xlfn.XLOOKUP(C284,customers!$A$1:$A$1001,customers!$C$1:$C$1001,,0))</f>
        <v>fcrumpe7u@ftc.gov</v>
      </c>
      <c r="H284" s="2" t="str">
        <f>_xlfn.XLOOKUP(C284,customers!$A$1:$A$1001,customers!$G$1:$G$1001,,0)</f>
        <v>United Kingdom</v>
      </c>
      <c r="I284" t="str">
        <f>INDEX(products!$A$1:$G$49,MATCH(orders!$D284,products!$A$1:$A$49,0),MATCH(orders!I$1,products!$A$1:$G$1,0))</f>
        <v>Ara</v>
      </c>
      <c r="J284" t="str">
        <f>INDEX(products!$A$1:$G$49,MATCH(orders!$D284,products!$A$1:$A$49,0),MATCH(orders!J$1,products!$A$1:$G$1,0))</f>
        <v>L</v>
      </c>
      <c r="K284" s="7">
        <f>INDEX(products!$A$1:$G$49,MATCH(orders!$D284,products!$A$1:$A$49,0),MATCH(orders!K$1,products!$A$1:$G$1,0))</f>
        <v>0.5</v>
      </c>
      <c r="L284" s="4">
        <f>INDEX(products!$A$1:$G$49,MATCH(orders!$D284,products!$A$1:$A$49,0),MATCH(orders!L$1,products!$A$1:$G$1,0))</f>
        <v>7.77</v>
      </c>
      <c r="M284" s="4">
        <f t="shared" si="4"/>
        <v>7.77</v>
      </c>
      <c r="N284" t="str" cm="1">
        <f t="array" ref="N284">_xlfn.IFS(I284="Rob","Robusta",I284="Exc","Excelsa",I284="Ara","Arabica",I284="Lib","Liberica")</f>
        <v>Arabica</v>
      </c>
      <c r="O284" t="str" cm="1">
        <f t="array" ref="O284">_xlfn.IFS(J284="M","Medium",J284="L","Large",J284="D","Dark")</f>
        <v>Large</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_xlfn.XLOOKUP(C285,customers!$A$1:$A$1001,customers!$B$1:$B$1001,,0)</f>
        <v>Amity Chatto</v>
      </c>
      <c r="G285" s="2" t="str">
        <f>IF(_xlfn.XLOOKUP(C285,customers!$A$1:$A$1001,customers!$C$1:$C$1001,,0)=0,"",_xlfn.XLOOKUP(C285,customers!$A$1:$A$1001,customers!$C$1:$C$1001,,0))</f>
        <v>achatto7v@sakura.ne.jp</v>
      </c>
      <c r="H285" s="2" t="str">
        <f>_xlfn.XLOOKUP(C285,customers!$A$1:$A$1001,customers!$G$1:$G$1001,,0)</f>
        <v>United Kingdom</v>
      </c>
      <c r="I285" t="str">
        <f>INDEX(products!$A$1:$G$49,MATCH(orders!$D285,products!$A$1:$A$49,0),MATCH(orders!I$1,products!$A$1:$G$1,0))</f>
        <v>Rob</v>
      </c>
      <c r="J285" t="str">
        <f>INDEX(products!$A$1:$G$49,MATCH(orders!$D285,products!$A$1:$A$49,0),MATCH(orders!J$1,products!$A$1:$G$1,0))</f>
        <v>D</v>
      </c>
      <c r="K285" s="7">
        <f>INDEX(products!$A$1:$G$49,MATCH(orders!$D285,products!$A$1:$A$49,0),MATCH(orders!K$1,products!$A$1:$G$1,0))</f>
        <v>0.5</v>
      </c>
      <c r="L285" s="4">
        <f>INDEX(products!$A$1:$G$49,MATCH(orders!$D285,products!$A$1:$A$49,0),MATCH(orders!L$1,products!$A$1:$G$1,0))</f>
        <v>5.3699999999999992</v>
      </c>
      <c r="M285" s="4">
        <f t="shared" si="4"/>
        <v>5.3699999999999992</v>
      </c>
      <c r="N285" t="str" cm="1">
        <f t="array" ref="N285">_xlfn.IFS(I285="Rob","Robusta",I285="Exc","Excelsa",I285="Ara","Arabica",I285="Lib","Liberica")</f>
        <v>Robusta</v>
      </c>
      <c r="O285" t="str" cm="1">
        <f t="array" ref="O285">_xlfn.IFS(J285="M","Medium",J285="L","Large",J285="D","Dark")</f>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_xlfn.XLOOKUP(C286,customers!$A$1:$A$1001,customers!$B$1:$B$1001,,0)</f>
        <v>Nanine McCarthy</v>
      </c>
      <c r="G286" s="2" t="str">
        <f>IF(_xlfn.XLOOKUP(C286,customers!$A$1:$A$1001,customers!$C$1:$C$1001,,0)=0,"",_xlfn.XLOOKUP(C286,customers!$A$1:$A$1001,customers!$C$1:$C$1001,,0))</f>
        <v/>
      </c>
      <c r="H286" s="2" t="str">
        <f>_xlfn.XLOOKUP(C286,customers!$A$1:$A$1001,customers!$G$1:$G$1001,,0)</f>
        <v>United States</v>
      </c>
      <c r="I286" t="str">
        <f>INDEX(products!$A$1:$G$49,MATCH(orders!$D286,products!$A$1:$A$49,0),MATCH(orders!I$1,products!$A$1:$G$1,0))</f>
        <v>Exc</v>
      </c>
      <c r="J286" t="str">
        <f>INDEX(products!$A$1:$G$49,MATCH(orders!$D286,products!$A$1:$A$49,0),MATCH(orders!J$1,products!$A$1:$G$1,0))</f>
        <v>M</v>
      </c>
      <c r="K286" s="7">
        <f>INDEX(products!$A$1:$G$49,MATCH(orders!$D286,products!$A$1:$A$49,0),MATCH(orders!K$1,products!$A$1:$G$1,0))</f>
        <v>2.5</v>
      </c>
      <c r="L286" s="4">
        <f>INDEX(products!$A$1:$G$49,MATCH(orders!$D286,products!$A$1:$A$49,0),MATCH(orders!L$1,products!$A$1:$G$1,0))</f>
        <v>31.624999999999996</v>
      </c>
      <c r="M286" s="4">
        <f t="shared" si="4"/>
        <v>94.874999999999986</v>
      </c>
      <c r="N286" t="str" cm="1">
        <f t="array" ref="N286">_xlfn.IFS(I286="Rob","Robusta",I286="Exc","Excelsa",I286="Ara","Arabica",I286="Lib","Liberica")</f>
        <v>Excelsa</v>
      </c>
      <c r="O286" t="str" cm="1">
        <f t="array" ref="O286">_xlfn.IFS(J286="M","Medium",J286="L","Large",J286="D","Dark")</f>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_xlfn.XLOOKUP(C287,customers!$A$1:$A$1001,customers!$B$1:$B$1001,,0)</f>
        <v>Lyndsey Megany</v>
      </c>
      <c r="G287" s="2" t="str">
        <f>IF(_xlfn.XLOOKUP(C287,customers!$A$1:$A$1001,customers!$C$1:$C$1001,,0)=0,"",_xlfn.XLOOKUP(C287,customers!$A$1:$A$1001,customers!$C$1:$C$1001,,0))</f>
        <v/>
      </c>
      <c r="H287" s="2" t="str">
        <f>_xlfn.XLOOKUP(C287,customers!$A$1:$A$1001,customers!$G$1:$G$1001,,0)</f>
        <v>United States</v>
      </c>
      <c r="I287" t="str">
        <f>INDEX(products!$A$1:$G$49,MATCH(orders!$D287,products!$A$1:$A$49,0),MATCH(orders!I$1,products!$A$1:$G$1,0))</f>
        <v>Lib</v>
      </c>
      <c r="J287" t="str">
        <f>INDEX(products!$A$1:$G$49,MATCH(orders!$D287,products!$A$1:$A$49,0),MATCH(orders!J$1,products!$A$1:$G$1,0))</f>
        <v>L</v>
      </c>
      <c r="K287" s="7">
        <f>INDEX(products!$A$1:$G$49,MATCH(orders!$D287,products!$A$1:$A$49,0),MATCH(orders!K$1,products!$A$1:$G$1,0))</f>
        <v>2.5</v>
      </c>
      <c r="L287" s="4">
        <f>INDEX(products!$A$1:$G$49,MATCH(orders!$D287,products!$A$1:$A$49,0),MATCH(orders!L$1,products!$A$1:$G$1,0))</f>
        <v>36.454999999999998</v>
      </c>
      <c r="M287" s="4">
        <f t="shared" si="4"/>
        <v>36.454999999999998</v>
      </c>
      <c r="N287" t="str" cm="1">
        <f t="array" ref="N287">_xlfn.IFS(I287="Rob","Robusta",I287="Exc","Excelsa",I287="Ara","Arabica",I287="Lib","Liberica")</f>
        <v>Liberica</v>
      </c>
      <c r="O287" t="str" cm="1">
        <f t="array" ref="O287">_xlfn.IFS(J287="M","Medium",J287="L","Large",J287="D","Dark")</f>
        <v>Large</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_xlfn.XLOOKUP(C288,customers!$A$1:$A$1001,customers!$B$1:$B$1001,,0)</f>
        <v>Byram Mergue</v>
      </c>
      <c r="G288" s="2" t="str">
        <f>IF(_xlfn.XLOOKUP(C288,customers!$A$1:$A$1001,customers!$C$1:$C$1001,,0)=0,"",_xlfn.XLOOKUP(C288,customers!$A$1:$A$1001,customers!$C$1:$C$1001,,0))</f>
        <v>bmergue7y@umn.edu</v>
      </c>
      <c r="H288" s="2" t="str">
        <f>_xlfn.XLOOKUP(C288,customers!$A$1:$A$1001,customers!$G$1:$G$1001,,0)</f>
        <v>United States</v>
      </c>
      <c r="I288" t="str">
        <f>INDEX(products!$A$1:$G$49,MATCH(orders!$D288,products!$A$1:$A$49,0),MATCH(orders!I$1,products!$A$1:$G$1,0))</f>
        <v>Ara</v>
      </c>
      <c r="J288" t="str">
        <f>INDEX(products!$A$1:$G$49,MATCH(orders!$D288,products!$A$1:$A$49,0),MATCH(orders!J$1,products!$A$1:$G$1,0))</f>
        <v>M</v>
      </c>
      <c r="K288" s="7">
        <f>INDEX(products!$A$1:$G$49,MATCH(orders!$D288,products!$A$1:$A$49,0),MATCH(orders!K$1,products!$A$1:$G$1,0))</f>
        <v>0.2</v>
      </c>
      <c r="L288" s="4">
        <f>INDEX(products!$A$1:$G$49,MATCH(orders!$D288,products!$A$1:$A$49,0),MATCH(orders!L$1,products!$A$1:$G$1,0))</f>
        <v>3.375</v>
      </c>
      <c r="M288" s="4">
        <f t="shared" si="4"/>
        <v>13.5</v>
      </c>
      <c r="N288" t="str" cm="1">
        <f t="array" ref="N288">_xlfn.IFS(I288="Rob","Robusta",I288="Exc","Excelsa",I288="Ara","Arabica",I288="Lib","Liberica")</f>
        <v>Arabica</v>
      </c>
      <c r="O288" t="str" cm="1">
        <f t="array" ref="O288">_xlfn.IFS(J288="M","Medium",J288="L","Large",J288="D","Dark")</f>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_xlfn.XLOOKUP(C289,customers!$A$1:$A$1001,customers!$B$1:$B$1001,,0)</f>
        <v>Kerr Patise</v>
      </c>
      <c r="G289" s="2" t="str">
        <f>IF(_xlfn.XLOOKUP(C289,customers!$A$1:$A$1001,customers!$C$1:$C$1001,,0)=0,"",_xlfn.XLOOKUP(C289,customers!$A$1:$A$1001,customers!$C$1:$C$1001,,0))</f>
        <v>kpatise7z@jigsy.com</v>
      </c>
      <c r="H289" s="2" t="str">
        <f>_xlfn.XLOOKUP(C289,customers!$A$1:$A$1001,customers!$G$1:$G$1001,,0)</f>
        <v>United States</v>
      </c>
      <c r="I289" t="str">
        <f>INDEX(products!$A$1:$G$49,MATCH(orders!$D289,products!$A$1:$A$49,0),MATCH(orders!I$1,products!$A$1:$G$1,0))</f>
        <v>Rob</v>
      </c>
      <c r="J289" t="str">
        <f>INDEX(products!$A$1:$G$49,MATCH(orders!$D289,products!$A$1:$A$49,0),MATCH(orders!J$1,products!$A$1:$G$1,0))</f>
        <v>L</v>
      </c>
      <c r="K289" s="7">
        <f>INDEX(products!$A$1:$G$49,MATCH(orders!$D289,products!$A$1:$A$49,0),MATCH(orders!K$1,products!$A$1:$G$1,0))</f>
        <v>0.2</v>
      </c>
      <c r="L289" s="4">
        <f>INDEX(products!$A$1:$G$49,MATCH(orders!$D289,products!$A$1:$A$49,0),MATCH(orders!L$1,products!$A$1:$G$1,0))</f>
        <v>3.5849999999999995</v>
      </c>
      <c r="M289" s="4">
        <f t="shared" si="4"/>
        <v>14.339999999999998</v>
      </c>
      <c r="N289" t="str" cm="1">
        <f t="array" ref="N289">_xlfn.IFS(I289="Rob","Robusta",I289="Exc","Excelsa",I289="Ara","Arabica",I289="Lib","Liberica")</f>
        <v>Robusta</v>
      </c>
      <c r="O289" t="str" cm="1">
        <f t="array" ref="O289">_xlfn.IFS(J289="M","Medium",J289="L","Large",J289="D","Dark")</f>
        <v>Large</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_xlfn.XLOOKUP(C290,customers!$A$1:$A$1001,customers!$B$1:$B$1001,,0)</f>
        <v>Mathew Goulter</v>
      </c>
      <c r="G290" s="2" t="str">
        <f>IF(_xlfn.XLOOKUP(C290,customers!$A$1:$A$1001,customers!$C$1:$C$1001,,0)=0,"",_xlfn.XLOOKUP(C290,customers!$A$1:$A$1001,customers!$C$1:$C$1001,,0))</f>
        <v/>
      </c>
      <c r="H290" s="2" t="str">
        <f>_xlfn.XLOOKUP(C290,customers!$A$1:$A$1001,customers!$G$1:$G$1001,,0)</f>
        <v>Ireland</v>
      </c>
      <c r="I290" t="str">
        <f>INDEX(products!$A$1:$G$49,MATCH(orders!$D290,products!$A$1:$A$49,0),MATCH(orders!I$1,products!$A$1:$G$1,0))</f>
        <v>Exc</v>
      </c>
      <c r="J290" t="str">
        <f>INDEX(products!$A$1:$G$49,MATCH(orders!$D290,products!$A$1:$A$49,0),MATCH(orders!J$1,products!$A$1:$G$1,0))</f>
        <v>M</v>
      </c>
      <c r="K290" s="7">
        <f>INDEX(products!$A$1:$G$49,MATCH(orders!$D290,products!$A$1:$A$49,0),MATCH(orders!K$1,products!$A$1:$G$1,0))</f>
        <v>0.5</v>
      </c>
      <c r="L290" s="4">
        <f>INDEX(products!$A$1:$G$49,MATCH(orders!$D290,products!$A$1:$A$49,0),MATCH(orders!L$1,products!$A$1:$G$1,0))</f>
        <v>8.25</v>
      </c>
      <c r="M290" s="4">
        <f t="shared" si="4"/>
        <v>8.25</v>
      </c>
      <c r="N290" t="str" cm="1">
        <f t="array" ref="N290">_xlfn.IFS(I290="Rob","Robusta",I290="Exc","Excelsa",I290="Ara","Arabica",I290="Lib","Liberica")</f>
        <v>Excelsa</v>
      </c>
      <c r="O290" t="str" cm="1">
        <f t="array" ref="O290">_xlfn.IFS(J290="M","Medium",J290="L","Large",J290="D","Dark")</f>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_xlfn.XLOOKUP(C291,customers!$A$1:$A$1001,customers!$B$1:$B$1001,,0)</f>
        <v>Marris Grcic</v>
      </c>
      <c r="G291" s="2" t="str">
        <f>IF(_xlfn.XLOOKUP(C291,customers!$A$1:$A$1001,customers!$C$1:$C$1001,,0)=0,"",_xlfn.XLOOKUP(C291,customers!$A$1:$A$1001,customers!$C$1:$C$1001,,0))</f>
        <v/>
      </c>
      <c r="H291" s="2" t="str">
        <f>_xlfn.XLOOKUP(C291,customers!$A$1:$A$1001,customers!$G$1:$G$1001,,0)</f>
        <v>United States</v>
      </c>
      <c r="I291" t="str">
        <f>INDEX(products!$A$1:$G$49,MATCH(orders!$D291,products!$A$1:$A$49,0),MATCH(orders!I$1,products!$A$1:$G$1,0))</f>
        <v>Rob</v>
      </c>
      <c r="J291" t="str">
        <f>INDEX(products!$A$1:$G$49,MATCH(orders!$D291,products!$A$1:$A$49,0),MATCH(orders!J$1,products!$A$1:$G$1,0))</f>
        <v>D</v>
      </c>
      <c r="K291" s="7">
        <f>INDEX(products!$A$1:$G$49,MATCH(orders!$D291,products!$A$1:$A$49,0),MATCH(orders!K$1,products!$A$1:$G$1,0))</f>
        <v>0.2</v>
      </c>
      <c r="L291" s="4">
        <f>INDEX(products!$A$1:$G$49,MATCH(orders!$D291,products!$A$1:$A$49,0),MATCH(orders!L$1,products!$A$1:$G$1,0))</f>
        <v>2.6849999999999996</v>
      </c>
      <c r="M291" s="4">
        <f t="shared" si="4"/>
        <v>13.424999999999997</v>
      </c>
      <c r="N291" t="str" cm="1">
        <f t="array" ref="N291">_xlfn.IFS(I291="Rob","Robusta",I291="Exc","Excelsa",I291="Ara","Arabica",I291="Lib","Liberica")</f>
        <v>Robusta</v>
      </c>
      <c r="O291" t="str" cm="1">
        <f t="array" ref="O291">_xlfn.IFS(J291="M","Medium",J291="L","Large",J291="D","Dark")</f>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_xlfn.XLOOKUP(C292,customers!$A$1:$A$1001,customers!$B$1:$B$1001,,0)</f>
        <v>Domeniga Duke</v>
      </c>
      <c r="G292" s="2" t="str">
        <f>IF(_xlfn.XLOOKUP(C292,customers!$A$1:$A$1001,customers!$C$1:$C$1001,,0)=0,"",_xlfn.XLOOKUP(C292,customers!$A$1:$A$1001,customers!$C$1:$C$1001,,0))</f>
        <v>dduke82@vkontakte.ru</v>
      </c>
      <c r="H292" s="2" t="str">
        <f>_xlfn.XLOOKUP(C292,customers!$A$1:$A$1001,customers!$G$1:$G$1001,,0)</f>
        <v>United States</v>
      </c>
      <c r="I292" t="str">
        <f>INDEX(products!$A$1:$G$49,MATCH(orders!$D292,products!$A$1:$A$49,0),MATCH(orders!I$1,products!$A$1:$G$1,0))</f>
        <v>Ara</v>
      </c>
      <c r="J292" t="str">
        <f>INDEX(products!$A$1:$G$49,MATCH(orders!$D292,products!$A$1:$A$49,0),MATCH(orders!J$1,products!$A$1:$G$1,0))</f>
        <v>D</v>
      </c>
      <c r="K292" s="7">
        <f>INDEX(products!$A$1:$G$49,MATCH(orders!$D292,products!$A$1:$A$49,0),MATCH(orders!K$1,products!$A$1:$G$1,0))</f>
        <v>1</v>
      </c>
      <c r="L292" s="4">
        <f>INDEX(products!$A$1:$G$49,MATCH(orders!$D292,products!$A$1:$A$49,0),MATCH(orders!L$1,products!$A$1:$G$1,0))</f>
        <v>9.9499999999999993</v>
      </c>
      <c r="M292" s="4">
        <f t="shared" si="4"/>
        <v>49.75</v>
      </c>
      <c r="N292" t="str" cm="1">
        <f t="array" ref="N292">_xlfn.IFS(I292="Rob","Robusta",I292="Exc","Excelsa",I292="Ara","Arabica",I292="Lib","Liberica")</f>
        <v>Arabica</v>
      </c>
      <c r="O292" t="str" cm="1">
        <f t="array" ref="O292">_xlfn.IFS(J292="M","Medium",J292="L","Large",J292="D","Dark")</f>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_xlfn.XLOOKUP(C293,customers!$A$1:$A$1001,customers!$B$1:$B$1001,,0)</f>
        <v>Violante Skouling</v>
      </c>
      <c r="G293" s="2" t="str">
        <f>IF(_xlfn.XLOOKUP(C293,customers!$A$1:$A$1001,customers!$C$1:$C$1001,,0)=0,"",_xlfn.XLOOKUP(C293,customers!$A$1:$A$1001,customers!$C$1:$C$1001,,0))</f>
        <v/>
      </c>
      <c r="H293" s="2" t="str">
        <f>_xlfn.XLOOKUP(C293,customers!$A$1:$A$1001,customers!$G$1:$G$1001,,0)</f>
        <v>Ireland</v>
      </c>
      <c r="I293" t="str">
        <f>INDEX(products!$A$1:$G$49,MATCH(orders!$D293,products!$A$1:$A$49,0),MATCH(orders!I$1,products!$A$1:$G$1,0))</f>
        <v>Exc</v>
      </c>
      <c r="J293" t="str">
        <f>INDEX(products!$A$1:$G$49,MATCH(orders!$D293,products!$A$1:$A$49,0),MATCH(orders!J$1,products!$A$1:$G$1,0))</f>
        <v>M</v>
      </c>
      <c r="K293" s="7">
        <f>INDEX(products!$A$1:$G$49,MATCH(orders!$D293,products!$A$1:$A$49,0),MATCH(orders!K$1,products!$A$1:$G$1,0))</f>
        <v>0.5</v>
      </c>
      <c r="L293" s="4">
        <f>INDEX(products!$A$1:$G$49,MATCH(orders!$D293,products!$A$1:$A$49,0),MATCH(orders!L$1,products!$A$1:$G$1,0))</f>
        <v>8.25</v>
      </c>
      <c r="M293" s="4">
        <f t="shared" si="4"/>
        <v>16.5</v>
      </c>
      <c r="N293" t="str" cm="1">
        <f t="array" ref="N293">_xlfn.IFS(I293="Rob","Robusta",I293="Exc","Excelsa",I293="Ara","Arabica",I293="Lib","Liberica")</f>
        <v>Excelsa</v>
      </c>
      <c r="O293" t="str" cm="1">
        <f t="array" ref="O293">_xlfn.IFS(J293="M","Medium",J293="L","Large",J293="D","Dark")</f>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_xlfn.XLOOKUP(C294,customers!$A$1:$A$1001,customers!$B$1:$B$1001,,0)</f>
        <v>Isidore Hussey</v>
      </c>
      <c r="G294" s="2" t="str">
        <f>IF(_xlfn.XLOOKUP(C294,customers!$A$1:$A$1001,customers!$C$1:$C$1001,,0)=0,"",_xlfn.XLOOKUP(C294,customers!$A$1:$A$1001,customers!$C$1:$C$1001,,0))</f>
        <v>ihussey84@mapy.cz</v>
      </c>
      <c r="H294" s="2" t="str">
        <f>_xlfn.XLOOKUP(C294,customers!$A$1:$A$1001,customers!$G$1:$G$1001,,0)</f>
        <v>United States</v>
      </c>
      <c r="I294" t="str">
        <f>INDEX(products!$A$1:$G$49,MATCH(orders!$D294,products!$A$1:$A$49,0),MATCH(orders!I$1,products!$A$1:$G$1,0))</f>
        <v>Ara</v>
      </c>
      <c r="J294" t="str">
        <f>INDEX(products!$A$1:$G$49,MATCH(orders!$D294,products!$A$1:$A$49,0),MATCH(orders!J$1,products!$A$1:$G$1,0))</f>
        <v>D</v>
      </c>
      <c r="K294" s="7">
        <f>INDEX(products!$A$1:$G$49,MATCH(orders!$D294,products!$A$1:$A$49,0),MATCH(orders!K$1,products!$A$1:$G$1,0))</f>
        <v>0.5</v>
      </c>
      <c r="L294" s="4">
        <f>INDEX(products!$A$1:$G$49,MATCH(orders!$D294,products!$A$1:$A$49,0),MATCH(orders!L$1,products!$A$1:$G$1,0))</f>
        <v>5.97</v>
      </c>
      <c r="M294" s="4">
        <f t="shared" si="4"/>
        <v>17.91</v>
      </c>
      <c r="N294" t="str" cm="1">
        <f t="array" ref="N294">_xlfn.IFS(I294="Rob","Robusta",I294="Exc","Excelsa",I294="Ara","Arabica",I294="Lib","Liberica")</f>
        <v>Arabica</v>
      </c>
      <c r="O294" t="str" cm="1">
        <f t="array" ref="O294">_xlfn.IFS(J294="M","Medium",J294="L","Large",J294="D","Dark")</f>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_xlfn.XLOOKUP(C295,customers!$A$1:$A$1001,customers!$B$1:$B$1001,,0)</f>
        <v>Cassie Pinkerton</v>
      </c>
      <c r="G295" s="2" t="str">
        <f>IF(_xlfn.XLOOKUP(C295,customers!$A$1:$A$1001,customers!$C$1:$C$1001,,0)=0,"",_xlfn.XLOOKUP(C295,customers!$A$1:$A$1001,customers!$C$1:$C$1001,,0))</f>
        <v>cpinkerton85@upenn.edu</v>
      </c>
      <c r="H295" s="2" t="str">
        <f>_xlfn.XLOOKUP(C295,customers!$A$1:$A$1001,customers!$G$1:$G$1001,,0)</f>
        <v>United States</v>
      </c>
      <c r="I295" t="str">
        <f>INDEX(products!$A$1:$G$49,MATCH(orders!$D295,products!$A$1:$A$49,0),MATCH(orders!I$1,products!$A$1:$G$1,0))</f>
        <v>Ara</v>
      </c>
      <c r="J295" t="str">
        <f>INDEX(products!$A$1:$G$49,MATCH(orders!$D295,products!$A$1:$A$49,0),MATCH(orders!J$1,products!$A$1:$G$1,0))</f>
        <v>D</v>
      </c>
      <c r="K295" s="7">
        <f>INDEX(products!$A$1:$G$49,MATCH(orders!$D295,products!$A$1:$A$49,0),MATCH(orders!K$1,products!$A$1:$G$1,0))</f>
        <v>0.5</v>
      </c>
      <c r="L295" s="4">
        <f>INDEX(products!$A$1:$G$49,MATCH(orders!$D295,products!$A$1:$A$49,0),MATCH(orders!L$1,products!$A$1:$G$1,0))</f>
        <v>5.97</v>
      </c>
      <c r="M295" s="4">
        <f t="shared" si="4"/>
        <v>29.849999999999998</v>
      </c>
      <c r="N295" t="str" cm="1">
        <f t="array" ref="N295">_xlfn.IFS(I295="Rob","Robusta",I295="Exc","Excelsa",I295="Ara","Arabica",I295="Lib","Liberica")</f>
        <v>Arabica</v>
      </c>
      <c r="O295" t="str" cm="1">
        <f t="array" ref="O295">_xlfn.IFS(J295="M","Medium",J295="L","Large",J295="D","Dark")</f>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_xlfn.XLOOKUP(C296,customers!$A$1:$A$1001,customers!$B$1:$B$1001,,0)</f>
        <v>Micki Fero</v>
      </c>
      <c r="G296" s="2" t="str">
        <f>IF(_xlfn.XLOOKUP(C296,customers!$A$1:$A$1001,customers!$C$1:$C$1001,,0)=0,"",_xlfn.XLOOKUP(C296,customers!$A$1:$A$1001,customers!$C$1:$C$1001,,0))</f>
        <v/>
      </c>
      <c r="H296" s="2" t="str">
        <f>_xlfn.XLOOKUP(C296,customers!$A$1:$A$1001,customers!$G$1:$G$1001,,0)</f>
        <v>United States</v>
      </c>
      <c r="I296" t="str">
        <f>INDEX(products!$A$1:$G$49,MATCH(orders!$D296,products!$A$1:$A$49,0),MATCH(orders!I$1,products!$A$1:$G$1,0))</f>
        <v>Exc</v>
      </c>
      <c r="J296" t="str">
        <f>INDEX(products!$A$1:$G$49,MATCH(orders!$D296,products!$A$1:$A$49,0),MATCH(orders!J$1,products!$A$1:$G$1,0))</f>
        <v>L</v>
      </c>
      <c r="K296" s="7">
        <f>INDEX(products!$A$1:$G$49,MATCH(orders!$D296,products!$A$1:$A$49,0),MATCH(orders!K$1,products!$A$1:$G$1,0))</f>
        <v>1</v>
      </c>
      <c r="L296" s="4">
        <f>INDEX(products!$A$1:$G$49,MATCH(orders!$D296,products!$A$1:$A$49,0),MATCH(orders!L$1,products!$A$1:$G$1,0))</f>
        <v>14.85</v>
      </c>
      <c r="M296" s="4">
        <f t="shared" si="4"/>
        <v>44.55</v>
      </c>
      <c r="N296" t="str" cm="1">
        <f t="array" ref="N296">_xlfn.IFS(I296="Rob","Robusta",I296="Exc","Excelsa",I296="Ara","Arabica",I296="Lib","Liberica")</f>
        <v>Excelsa</v>
      </c>
      <c r="O296" t="str" cm="1">
        <f t="array" ref="O296">_xlfn.IFS(J296="M","Medium",J296="L","Large",J296="D","Dark")</f>
        <v>Large</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_xlfn.XLOOKUP(C297,customers!$A$1:$A$1001,customers!$B$1:$B$1001,,0)</f>
        <v>Cybill Graddell</v>
      </c>
      <c r="G297" s="2" t="str">
        <f>IF(_xlfn.XLOOKUP(C297,customers!$A$1:$A$1001,customers!$C$1:$C$1001,,0)=0,"",_xlfn.XLOOKUP(C297,customers!$A$1:$A$1001,customers!$C$1:$C$1001,,0))</f>
        <v/>
      </c>
      <c r="H297" s="2" t="str">
        <f>_xlfn.XLOOKUP(C297,customers!$A$1:$A$1001,customers!$G$1:$G$1001,,0)</f>
        <v>United States</v>
      </c>
      <c r="I297" t="str">
        <f>INDEX(products!$A$1:$G$49,MATCH(orders!$D297,products!$A$1:$A$49,0),MATCH(orders!I$1,products!$A$1:$G$1,0))</f>
        <v>Exc</v>
      </c>
      <c r="J297" t="str">
        <f>INDEX(products!$A$1:$G$49,MATCH(orders!$D297,products!$A$1:$A$49,0),MATCH(orders!J$1,products!$A$1:$G$1,0))</f>
        <v>M</v>
      </c>
      <c r="K297" s="7">
        <f>INDEX(products!$A$1:$G$49,MATCH(orders!$D297,products!$A$1:$A$49,0),MATCH(orders!K$1,products!$A$1:$G$1,0))</f>
        <v>1</v>
      </c>
      <c r="L297" s="4">
        <f>INDEX(products!$A$1:$G$49,MATCH(orders!$D297,products!$A$1:$A$49,0),MATCH(orders!L$1,products!$A$1:$G$1,0))</f>
        <v>13.75</v>
      </c>
      <c r="M297" s="4">
        <f t="shared" si="4"/>
        <v>27.5</v>
      </c>
      <c r="N297" t="str" cm="1">
        <f t="array" ref="N297">_xlfn.IFS(I297="Rob","Robusta",I297="Exc","Excelsa",I297="Ara","Arabica",I297="Lib","Liberica")</f>
        <v>Excelsa</v>
      </c>
      <c r="O297" t="str" cm="1">
        <f t="array" ref="O297">_xlfn.IFS(J297="M","Medium",J297="L","Large",J297="D","Dark")</f>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_xlfn.XLOOKUP(C298,customers!$A$1:$A$1001,customers!$B$1:$B$1001,,0)</f>
        <v>Dorian Vizor</v>
      </c>
      <c r="G298" s="2" t="str">
        <f>IF(_xlfn.XLOOKUP(C298,customers!$A$1:$A$1001,customers!$C$1:$C$1001,,0)=0,"",_xlfn.XLOOKUP(C298,customers!$A$1:$A$1001,customers!$C$1:$C$1001,,0))</f>
        <v>dvizor88@furl.net</v>
      </c>
      <c r="H298" s="2" t="str">
        <f>_xlfn.XLOOKUP(C298,customers!$A$1:$A$1001,customers!$G$1:$G$1001,,0)</f>
        <v>United States</v>
      </c>
      <c r="I298" t="str">
        <f>INDEX(products!$A$1:$G$49,MATCH(orders!$D298,products!$A$1:$A$49,0),MATCH(orders!I$1,products!$A$1:$G$1,0))</f>
        <v>Rob</v>
      </c>
      <c r="J298" t="str">
        <f>INDEX(products!$A$1:$G$49,MATCH(orders!$D298,products!$A$1:$A$49,0),MATCH(orders!J$1,products!$A$1:$G$1,0))</f>
        <v>M</v>
      </c>
      <c r="K298" s="7">
        <f>INDEX(products!$A$1:$G$49,MATCH(orders!$D298,products!$A$1:$A$49,0),MATCH(orders!K$1,products!$A$1:$G$1,0))</f>
        <v>0.5</v>
      </c>
      <c r="L298" s="4">
        <f>INDEX(products!$A$1:$G$49,MATCH(orders!$D298,products!$A$1:$A$49,0),MATCH(orders!L$1,products!$A$1:$G$1,0))</f>
        <v>5.97</v>
      </c>
      <c r="M298" s="4">
        <f t="shared" si="4"/>
        <v>35.82</v>
      </c>
      <c r="N298" t="str" cm="1">
        <f t="array" ref="N298">_xlfn.IFS(I298="Rob","Robusta",I298="Exc","Excelsa",I298="Ara","Arabica",I298="Lib","Liberica")</f>
        <v>Robusta</v>
      </c>
      <c r="O298" t="str" cm="1">
        <f t="array" ref="O298">_xlfn.IFS(J298="M","Medium",J298="L","Large",J298="D","Dark")</f>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_xlfn.XLOOKUP(C299,customers!$A$1:$A$1001,customers!$B$1:$B$1001,,0)</f>
        <v>Eddi Sedgebeer</v>
      </c>
      <c r="G299" s="2" t="str">
        <f>IF(_xlfn.XLOOKUP(C299,customers!$A$1:$A$1001,customers!$C$1:$C$1001,,0)=0,"",_xlfn.XLOOKUP(C299,customers!$A$1:$A$1001,customers!$C$1:$C$1001,,0))</f>
        <v>esedgebeer89@oaic.gov.au</v>
      </c>
      <c r="H299" s="2" t="str">
        <f>_xlfn.XLOOKUP(C299,customers!$A$1:$A$1001,customers!$G$1:$G$1001,,0)</f>
        <v>United States</v>
      </c>
      <c r="I299" t="str">
        <f>INDEX(products!$A$1:$G$49,MATCH(orders!$D299,products!$A$1:$A$49,0),MATCH(orders!I$1,products!$A$1:$G$1,0))</f>
        <v>Rob</v>
      </c>
      <c r="J299" t="str">
        <f>INDEX(products!$A$1:$G$49,MATCH(orders!$D299,products!$A$1:$A$49,0),MATCH(orders!J$1,products!$A$1:$G$1,0))</f>
        <v>D</v>
      </c>
      <c r="K299" s="7">
        <f>INDEX(products!$A$1:$G$49,MATCH(orders!$D299,products!$A$1:$A$49,0),MATCH(orders!K$1,products!$A$1:$G$1,0))</f>
        <v>0.5</v>
      </c>
      <c r="L299" s="4">
        <f>INDEX(products!$A$1:$G$49,MATCH(orders!$D299,products!$A$1:$A$49,0),MATCH(orders!L$1,products!$A$1:$G$1,0))</f>
        <v>5.3699999999999992</v>
      </c>
      <c r="M299" s="4">
        <f t="shared" si="4"/>
        <v>16.11</v>
      </c>
      <c r="N299" t="str" cm="1">
        <f t="array" ref="N299">_xlfn.IFS(I299="Rob","Robusta",I299="Exc","Excelsa",I299="Ara","Arabica",I299="Lib","Liberica")</f>
        <v>Robusta</v>
      </c>
      <c r="O299" t="str" cm="1">
        <f t="array" ref="O299">_xlfn.IFS(J299="M","Medium",J299="L","Large",J299="D","Dark")</f>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_xlfn.XLOOKUP(C300,customers!$A$1:$A$1001,customers!$B$1:$B$1001,,0)</f>
        <v>Ken Lestrange</v>
      </c>
      <c r="G300" s="2" t="str">
        <f>IF(_xlfn.XLOOKUP(C300,customers!$A$1:$A$1001,customers!$C$1:$C$1001,,0)=0,"",_xlfn.XLOOKUP(C300,customers!$A$1:$A$1001,customers!$C$1:$C$1001,,0))</f>
        <v>klestrange8a@lulu.com</v>
      </c>
      <c r="H300" s="2" t="str">
        <f>_xlfn.XLOOKUP(C300,customers!$A$1:$A$1001,customers!$G$1:$G$1001,,0)</f>
        <v>United States</v>
      </c>
      <c r="I300" t="str">
        <f>INDEX(products!$A$1:$G$49,MATCH(orders!$D300,products!$A$1:$A$49,0),MATCH(orders!I$1,products!$A$1:$G$1,0))</f>
        <v>Exc</v>
      </c>
      <c r="J300" t="str">
        <f>INDEX(products!$A$1:$G$49,MATCH(orders!$D300,products!$A$1:$A$49,0),MATCH(orders!J$1,products!$A$1:$G$1,0))</f>
        <v>L</v>
      </c>
      <c r="K300" s="7">
        <f>INDEX(products!$A$1:$G$49,MATCH(orders!$D300,products!$A$1:$A$49,0),MATCH(orders!K$1,products!$A$1:$G$1,0))</f>
        <v>0.2</v>
      </c>
      <c r="L300" s="4">
        <f>INDEX(products!$A$1:$G$49,MATCH(orders!$D300,products!$A$1:$A$49,0),MATCH(orders!L$1,products!$A$1:$G$1,0))</f>
        <v>4.4550000000000001</v>
      </c>
      <c r="M300" s="4">
        <f t="shared" si="4"/>
        <v>26.73</v>
      </c>
      <c r="N300" t="str" cm="1">
        <f t="array" ref="N300">_xlfn.IFS(I300="Rob","Robusta",I300="Exc","Excelsa",I300="Ara","Arabica",I300="Lib","Liberica")</f>
        <v>Excelsa</v>
      </c>
      <c r="O300" t="str" cm="1">
        <f t="array" ref="O300">_xlfn.IFS(J300="M","Medium",J300="L","Large",J300="D","Dark")</f>
        <v>Large</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_xlfn.XLOOKUP(C301,customers!$A$1:$A$1001,customers!$B$1:$B$1001,,0)</f>
        <v>Lacee Tanti</v>
      </c>
      <c r="G301" s="2" t="str">
        <f>IF(_xlfn.XLOOKUP(C301,customers!$A$1:$A$1001,customers!$C$1:$C$1001,,0)=0,"",_xlfn.XLOOKUP(C301,customers!$A$1:$A$1001,customers!$C$1:$C$1001,,0))</f>
        <v>ltanti8b@techcrunch.com</v>
      </c>
      <c r="H301" s="2" t="str">
        <f>_xlfn.XLOOKUP(C301,customers!$A$1:$A$1001,customers!$G$1:$G$1001,,0)</f>
        <v>United States</v>
      </c>
      <c r="I301" t="str">
        <f>INDEX(products!$A$1:$G$49,MATCH(orders!$D301,products!$A$1:$A$49,0),MATCH(orders!I$1,products!$A$1:$G$1,0))</f>
        <v>Exc</v>
      </c>
      <c r="J301" t="str">
        <f>INDEX(products!$A$1:$G$49,MATCH(orders!$D301,products!$A$1:$A$49,0),MATCH(orders!J$1,products!$A$1:$G$1,0))</f>
        <v>L</v>
      </c>
      <c r="K301" s="7">
        <f>INDEX(products!$A$1:$G$49,MATCH(orders!$D301,products!$A$1:$A$49,0),MATCH(orders!K$1,products!$A$1:$G$1,0))</f>
        <v>2.5</v>
      </c>
      <c r="L301" s="4">
        <f>INDEX(products!$A$1:$G$49,MATCH(orders!$D301,products!$A$1:$A$49,0),MATCH(orders!L$1,products!$A$1:$G$1,0))</f>
        <v>34.154999999999994</v>
      </c>
      <c r="M301" s="4">
        <f t="shared" si="4"/>
        <v>204.92999999999995</v>
      </c>
      <c r="N301" t="str" cm="1">
        <f t="array" ref="N301">_xlfn.IFS(I301="Rob","Robusta",I301="Exc","Excelsa",I301="Ara","Arabica",I301="Lib","Liberica")</f>
        <v>Excelsa</v>
      </c>
      <c r="O301" t="str" cm="1">
        <f t="array" ref="O301">_xlfn.IFS(J301="M","Medium",J301="L","Large",J301="D","Dark")</f>
        <v>Large</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_xlfn.XLOOKUP(C302,customers!$A$1:$A$1001,customers!$B$1:$B$1001,,0)</f>
        <v>Arel De Lasci</v>
      </c>
      <c r="G302" s="2" t="str">
        <f>IF(_xlfn.XLOOKUP(C302,customers!$A$1:$A$1001,customers!$C$1:$C$1001,,0)=0,"",_xlfn.XLOOKUP(C302,customers!$A$1:$A$1001,customers!$C$1:$C$1001,,0))</f>
        <v>ade8c@1und1.de</v>
      </c>
      <c r="H302" s="2" t="str">
        <f>_xlfn.XLOOKUP(C302,customers!$A$1:$A$1001,customers!$G$1:$G$1001,,0)</f>
        <v>United States</v>
      </c>
      <c r="I302" t="str">
        <f>INDEX(products!$A$1:$G$49,MATCH(orders!$D302,products!$A$1:$A$49,0),MATCH(orders!I$1,products!$A$1:$G$1,0))</f>
        <v>Ara</v>
      </c>
      <c r="J302" t="str">
        <f>INDEX(products!$A$1:$G$49,MATCH(orders!$D302,products!$A$1:$A$49,0),MATCH(orders!J$1,products!$A$1:$G$1,0))</f>
        <v>L</v>
      </c>
      <c r="K302" s="7">
        <f>INDEX(products!$A$1:$G$49,MATCH(orders!$D302,products!$A$1:$A$49,0),MATCH(orders!K$1,products!$A$1:$G$1,0))</f>
        <v>1</v>
      </c>
      <c r="L302" s="4">
        <f>INDEX(products!$A$1:$G$49,MATCH(orders!$D302,products!$A$1:$A$49,0),MATCH(orders!L$1,products!$A$1:$G$1,0))</f>
        <v>12.95</v>
      </c>
      <c r="M302" s="4">
        <f t="shared" si="4"/>
        <v>38.849999999999994</v>
      </c>
      <c r="N302" t="str" cm="1">
        <f t="array" ref="N302">_xlfn.IFS(I302="Rob","Robusta",I302="Exc","Excelsa",I302="Ara","Arabica",I302="Lib","Liberica")</f>
        <v>Arabica</v>
      </c>
      <c r="O302" t="str" cm="1">
        <f t="array" ref="O302">_xlfn.IFS(J302="M","Medium",J302="L","Large",J302="D","Dark")</f>
        <v>Large</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_xlfn.XLOOKUP(C303,customers!$A$1:$A$1001,customers!$B$1:$B$1001,,0)</f>
        <v>Trescha Jedrachowicz</v>
      </c>
      <c r="G303" s="2" t="str">
        <f>IF(_xlfn.XLOOKUP(C303,customers!$A$1:$A$1001,customers!$C$1:$C$1001,,0)=0,"",_xlfn.XLOOKUP(C303,customers!$A$1:$A$1001,customers!$C$1:$C$1001,,0))</f>
        <v>tjedrachowicz8d@acquirethisname.com</v>
      </c>
      <c r="H303" s="2" t="str">
        <f>_xlfn.XLOOKUP(C303,customers!$A$1:$A$1001,customers!$G$1:$G$1001,,0)</f>
        <v>United States</v>
      </c>
      <c r="I303" t="str">
        <f>INDEX(products!$A$1:$G$49,MATCH(orders!$D303,products!$A$1:$A$49,0),MATCH(orders!I$1,products!$A$1:$G$1,0))</f>
        <v>Lib</v>
      </c>
      <c r="J303" t="str">
        <f>INDEX(products!$A$1:$G$49,MATCH(orders!$D303,products!$A$1:$A$49,0),MATCH(orders!J$1,products!$A$1:$G$1,0))</f>
        <v>D</v>
      </c>
      <c r="K303" s="7">
        <f>INDEX(products!$A$1:$G$49,MATCH(orders!$D303,products!$A$1:$A$49,0),MATCH(orders!K$1,products!$A$1:$G$1,0))</f>
        <v>0.2</v>
      </c>
      <c r="L303" s="4">
        <f>INDEX(products!$A$1:$G$49,MATCH(orders!$D303,products!$A$1:$A$49,0),MATCH(orders!L$1,products!$A$1:$G$1,0))</f>
        <v>3.8849999999999998</v>
      </c>
      <c r="M303" s="4">
        <f t="shared" si="4"/>
        <v>15.54</v>
      </c>
      <c r="N303" t="str" cm="1">
        <f t="array" ref="N303">_xlfn.IFS(I303="Rob","Robusta",I303="Exc","Excelsa",I303="Ara","Arabica",I303="Lib","Liberica")</f>
        <v>Liberica</v>
      </c>
      <c r="O303" t="str" cm="1">
        <f t="array" ref="O303">_xlfn.IFS(J303="M","Medium",J303="L","Large",J303="D","Dark")</f>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_xlfn.XLOOKUP(C304,customers!$A$1:$A$1001,customers!$B$1:$B$1001,,0)</f>
        <v>Perkin Stonner</v>
      </c>
      <c r="G304" s="2" t="str">
        <f>IF(_xlfn.XLOOKUP(C304,customers!$A$1:$A$1001,customers!$C$1:$C$1001,,0)=0,"",_xlfn.XLOOKUP(C304,customers!$A$1:$A$1001,customers!$C$1:$C$1001,,0))</f>
        <v>pstonner8e@moonfruit.com</v>
      </c>
      <c r="H304" s="2" t="str">
        <f>_xlfn.XLOOKUP(C304,customers!$A$1:$A$1001,customers!$G$1:$G$1001,,0)</f>
        <v>United States</v>
      </c>
      <c r="I304" t="str">
        <f>INDEX(products!$A$1:$G$49,MATCH(orders!$D304,products!$A$1:$A$49,0),MATCH(orders!I$1,products!$A$1:$G$1,0))</f>
        <v>Ara</v>
      </c>
      <c r="J304" t="str">
        <f>INDEX(products!$A$1:$G$49,MATCH(orders!$D304,products!$A$1:$A$49,0),MATCH(orders!J$1,products!$A$1:$G$1,0))</f>
        <v>M</v>
      </c>
      <c r="K304" s="7">
        <f>INDEX(products!$A$1:$G$49,MATCH(orders!$D304,products!$A$1:$A$49,0),MATCH(orders!K$1,products!$A$1:$G$1,0))</f>
        <v>0.5</v>
      </c>
      <c r="L304" s="4">
        <f>INDEX(products!$A$1:$G$49,MATCH(orders!$D304,products!$A$1:$A$49,0),MATCH(orders!L$1,products!$A$1:$G$1,0))</f>
        <v>6.75</v>
      </c>
      <c r="M304" s="4">
        <f t="shared" si="4"/>
        <v>6.75</v>
      </c>
      <c r="N304" t="str" cm="1">
        <f t="array" ref="N304">_xlfn.IFS(I304="Rob","Robusta",I304="Exc","Excelsa",I304="Ara","Arabica",I304="Lib","Liberica")</f>
        <v>Arabica</v>
      </c>
      <c r="O304" t="str" cm="1">
        <f t="array" ref="O304">_xlfn.IFS(J304="M","Medium",J304="L","Large",J304="D","Dark")</f>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_xlfn.XLOOKUP(C305,customers!$A$1:$A$1001,customers!$B$1:$B$1001,,0)</f>
        <v>Darrin Tingly</v>
      </c>
      <c r="G305" s="2" t="str">
        <f>IF(_xlfn.XLOOKUP(C305,customers!$A$1:$A$1001,customers!$C$1:$C$1001,,0)=0,"",_xlfn.XLOOKUP(C305,customers!$A$1:$A$1001,customers!$C$1:$C$1001,,0))</f>
        <v>dtingly8f@goo.ne.jp</v>
      </c>
      <c r="H305" s="2" t="str">
        <f>_xlfn.XLOOKUP(C305,customers!$A$1:$A$1001,customers!$G$1:$G$1001,,0)</f>
        <v>United States</v>
      </c>
      <c r="I305" t="str">
        <f>INDEX(products!$A$1:$G$49,MATCH(orders!$D305,products!$A$1:$A$49,0),MATCH(orders!I$1,products!$A$1:$G$1,0))</f>
        <v>Exc</v>
      </c>
      <c r="J305" t="str">
        <f>INDEX(products!$A$1:$G$49,MATCH(orders!$D305,products!$A$1:$A$49,0),MATCH(orders!J$1,products!$A$1:$G$1,0))</f>
        <v>D</v>
      </c>
      <c r="K305" s="7">
        <f>INDEX(products!$A$1:$G$49,MATCH(orders!$D305,products!$A$1:$A$49,0),MATCH(orders!K$1,products!$A$1:$G$1,0))</f>
        <v>2.5</v>
      </c>
      <c r="L305" s="4">
        <f>INDEX(products!$A$1:$G$49,MATCH(orders!$D305,products!$A$1:$A$49,0),MATCH(orders!L$1,products!$A$1:$G$1,0))</f>
        <v>27.945</v>
      </c>
      <c r="M305" s="4">
        <f t="shared" si="4"/>
        <v>111.78</v>
      </c>
      <c r="N305" t="str" cm="1">
        <f t="array" ref="N305">_xlfn.IFS(I305="Rob","Robusta",I305="Exc","Excelsa",I305="Ara","Arabica",I305="Lib","Liberica")</f>
        <v>Excelsa</v>
      </c>
      <c r="O305" t="str" cm="1">
        <f t="array" ref="O305">_xlfn.IFS(J305="M","Medium",J305="L","Large",J305="D","Dark")</f>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_xlfn.XLOOKUP(C306,customers!$A$1:$A$1001,customers!$B$1:$B$1001,,0)</f>
        <v>Claudetta Rushe</v>
      </c>
      <c r="G306" s="2" t="str">
        <f>IF(_xlfn.XLOOKUP(C306,customers!$A$1:$A$1001,customers!$C$1:$C$1001,,0)=0,"",_xlfn.XLOOKUP(C306,customers!$A$1:$A$1001,customers!$C$1:$C$1001,,0))</f>
        <v>crushe8n@about.me</v>
      </c>
      <c r="H306" s="2" t="str">
        <f>_xlfn.XLOOKUP(C306,customers!$A$1:$A$1001,customers!$G$1:$G$1001,,0)</f>
        <v>United States</v>
      </c>
      <c r="I306" t="str">
        <f>INDEX(products!$A$1:$G$49,MATCH(orders!$D306,products!$A$1:$A$49,0),MATCH(orders!I$1,products!$A$1:$G$1,0))</f>
        <v>Ara</v>
      </c>
      <c r="J306" t="str">
        <f>INDEX(products!$A$1:$G$49,MATCH(orders!$D306,products!$A$1:$A$49,0),MATCH(orders!J$1,products!$A$1:$G$1,0))</f>
        <v>L</v>
      </c>
      <c r="K306" s="7">
        <f>INDEX(products!$A$1:$G$49,MATCH(orders!$D306,products!$A$1:$A$49,0),MATCH(orders!K$1,products!$A$1:$G$1,0))</f>
        <v>0.2</v>
      </c>
      <c r="L306" s="4">
        <f>INDEX(products!$A$1:$G$49,MATCH(orders!$D306,products!$A$1:$A$49,0),MATCH(orders!L$1,products!$A$1:$G$1,0))</f>
        <v>3.8849999999999998</v>
      </c>
      <c r="M306" s="4">
        <f t="shared" si="4"/>
        <v>3.8849999999999998</v>
      </c>
      <c r="N306" t="str" cm="1">
        <f t="array" ref="N306">_xlfn.IFS(I306="Rob","Robusta",I306="Exc","Excelsa",I306="Ara","Arabica",I306="Lib","Liberica")</f>
        <v>Arabica</v>
      </c>
      <c r="O306" t="str" cm="1">
        <f t="array" ref="O306">_xlfn.IFS(J306="M","Medium",J306="L","Large",J306="D","Dark")</f>
        <v>Large</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_xlfn.XLOOKUP(C307,customers!$A$1:$A$1001,customers!$B$1:$B$1001,,0)</f>
        <v>Benn Checci</v>
      </c>
      <c r="G307" s="2" t="str">
        <f>IF(_xlfn.XLOOKUP(C307,customers!$A$1:$A$1001,customers!$C$1:$C$1001,,0)=0,"",_xlfn.XLOOKUP(C307,customers!$A$1:$A$1001,customers!$C$1:$C$1001,,0))</f>
        <v>bchecci8h@usa.gov</v>
      </c>
      <c r="H307" s="2" t="str">
        <f>_xlfn.XLOOKUP(C307,customers!$A$1:$A$1001,customers!$G$1:$G$1001,,0)</f>
        <v>United Kingdom</v>
      </c>
      <c r="I307" t="str">
        <f>INDEX(products!$A$1:$G$49,MATCH(orders!$D307,products!$A$1:$A$49,0),MATCH(orders!I$1,products!$A$1:$G$1,0))</f>
        <v>Lib</v>
      </c>
      <c r="J307" t="str">
        <f>INDEX(products!$A$1:$G$49,MATCH(orders!$D307,products!$A$1:$A$49,0),MATCH(orders!J$1,products!$A$1:$G$1,0))</f>
        <v>M</v>
      </c>
      <c r="K307" s="7">
        <f>INDEX(products!$A$1:$G$49,MATCH(orders!$D307,products!$A$1:$A$49,0),MATCH(orders!K$1,products!$A$1:$G$1,0))</f>
        <v>0.2</v>
      </c>
      <c r="L307" s="4">
        <f>INDEX(products!$A$1:$G$49,MATCH(orders!$D307,products!$A$1:$A$49,0),MATCH(orders!L$1,products!$A$1:$G$1,0))</f>
        <v>4.3650000000000002</v>
      </c>
      <c r="M307" s="4">
        <f t="shared" si="4"/>
        <v>21.825000000000003</v>
      </c>
      <c r="N307" t="str" cm="1">
        <f t="array" ref="N307">_xlfn.IFS(I307="Rob","Robusta",I307="Exc","Excelsa",I307="Ara","Arabica",I307="Lib","Liberica")</f>
        <v>Liberica</v>
      </c>
      <c r="O307" t="str" cm="1">
        <f t="array" ref="O307">_xlfn.IFS(J307="M","Medium",J307="L","Large",J307="D","Dark")</f>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_xlfn.XLOOKUP(C308,customers!$A$1:$A$1001,customers!$B$1:$B$1001,,0)</f>
        <v>Janifer Bagot</v>
      </c>
      <c r="G308" s="2" t="str">
        <f>IF(_xlfn.XLOOKUP(C308,customers!$A$1:$A$1001,customers!$C$1:$C$1001,,0)=0,"",_xlfn.XLOOKUP(C308,customers!$A$1:$A$1001,customers!$C$1:$C$1001,,0))</f>
        <v>jbagot8i@mac.com</v>
      </c>
      <c r="H308" s="2" t="str">
        <f>_xlfn.XLOOKUP(C308,customers!$A$1:$A$1001,customers!$G$1:$G$1001,,0)</f>
        <v>United States</v>
      </c>
      <c r="I308" t="str">
        <f>INDEX(products!$A$1:$G$49,MATCH(orders!$D308,products!$A$1:$A$49,0),MATCH(orders!I$1,products!$A$1:$G$1,0))</f>
        <v>Rob</v>
      </c>
      <c r="J308" t="str">
        <f>INDEX(products!$A$1:$G$49,MATCH(orders!$D308,products!$A$1:$A$49,0),MATCH(orders!J$1,products!$A$1:$G$1,0))</f>
        <v>M</v>
      </c>
      <c r="K308" s="7">
        <f>INDEX(products!$A$1:$G$49,MATCH(orders!$D308,products!$A$1:$A$49,0),MATCH(orders!K$1,products!$A$1:$G$1,0))</f>
        <v>0.2</v>
      </c>
      <c r="L308" s="4">
        <f>INDEX(products!$A$1:$G$49,MATCH(orders!$D308,products!$A$1:$A$49,0),MATCH(orders!L$1,products!$A$1:$G$1,0))</f>
        <v>2.9849999999999999</v>
      </c>
      <c r="M308" s="4">
        <f t="shared" si="4"/>
        <v>14.924999999999999</v>
      </c>
      <c r="N308" t="str" cm="1">
        <f t="array" ref="N308">_xlfn.IFS(I308="Rob","Robusta",I308="Exc","Excelsa",I308="Ara","Arabica",I308="Lib","Liberica")</f>
        <v>Robusta</v>
      </c>
      <c r="O308" t="str" cm="1">
        <f t="array" ref="O308">_xlfn.IFS(J308="M","Medium",J308="L","Large",J308="D","Dark")</f>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_xlfn.XLOOKUP(C309,customers!$A$1:$A$1001,customers!$B$1:$B$1001,,0)</f>
        <v>Ermin Beeble</v>
      </c>
      <c r="G309" s="2" t="str">
        <f>IF(_xlfn.XLOOKUP(C309,customers!$A$1:$A$1001,customers!$C$1:$C$1001,,0)=0,"",_xlfn.XLOOKUP(C309,customers!$A$1:$A$1001,customers!$C$1:$C$1001,,0))</f>
        <v>ebeeble8j@soundcloud.com</v>
      </c>
      <c r="H309" s="2" t="str">
        <f>_xlfn.XLOOKUP(C309,customers!$A$1:$A$1001,customers!$G$1:$G$1001,,0)</f>
        <v>United States</v>
      </c>
      <c r="I309" t="str">
        <f>INDEX(products!$A$1:$G$49,MATCH(orders!$D309,products!$A$1:$A$49,0),MATCH(orders!I$1,products!$A$1:$G$1,0))</f>
        <v>Ara</v>
      </c>
      <c r="J309" t="str">
        <f>INDEX(products!$A$1:$G$49,MATCH(orders!$D309,products!$A$1:$A$49,0),MATCH(orders!J$1,products!$A$1:$G$1,0))</f>
        <v>M</v>
      </c>
      <c r="K309" s="7">
        <f>INDEX(products!$A$1:$G$49,MATCH(orders!$D309,products!$A$1:$A$49,0),MATCH(orders!K$1,products!$A$1:$G$1,0))</f>
        <v>1</v>
      </c>
      <c r="L309" s="4">
        <f>INDEX(products!$A$1:$G$49,MATCH(orders!$D309,products!$A$1:$A$49,0),MATCH(orders!L$1,products!$A$1:$G$1,0))</f>
        <v>11.25</v>
      </c>
      <c r="M309" s="4">
        <f t="shared" si="4"/>
        <v>33.75</v>
      </c>
      <c r="N309" t="str" cm="1">
        <f t="array" ref="N309">_xlfn.IFS(I309="Rob","Robusta",I309="Exc","Excelsa",I309="Ara","Arabica",I309="Lib","Liberica")</f>
        <v>Arabica</v>
      </c>
      <c r="O309" t="str" cm="1">
        <f t="array" ref="O309">_xlfn.IFS(J309="M","Medium",J309="L","Large",J309="D","Dark")</f>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_xlfn.XLOOKUP(C310,customers!$A$1:$A$1001,customers!$B$1:$B$1001,,0)</f>
        <v>Cos Fluin</v>
      </c>
      <c r="G310" s="2" t="str">
        <f>IF(_xlfn.XLOOKUP(C310,customers!$A$1:$A$1001,customers!$C$1:$C$1001,,0)=0,"",_xlfn.XLOOKUP(C310,customers!$A$1:$A$1001,customers!$C$1:$C$1001,,0))</f>
        <v>cfluin8k@flickr.com</v>
      </c>
      <c r="H310" s="2" t="str">
        <f>_xlfn.XLOOKUP(C310,customers!$A$1:$A$1001,customers!$G$1:$G$1001,,0)</f>
        <v>United Kingdom</v>
      </c>
      <c r="I310" t="str">
        <f>INDEX(products!$A$1:$G$49,MATCH(orders!$D310,products!$A$1:$A$49,0),MATCH(orders!I$1,products!$A$1:$G$1,0))</f>
        <v>Ara</v>
      </c>
      <c r="J310" t="str">
        <f>INDEX(products!$A$1:$G$49,MATCH(orders!$D310,products!$A$1:$A$49,0),MATCH(orders!J$1,products!$A$1:$G$1,0))</f>
        <v>M</v>
      </c>
      <c r="K310" s="7">
        <f>INDEX(products!$A$1:$G$49,MATCH(orders!$D310,products!$A$1:$A$49,0),MATCH(orders!K$1,products!$A$1:$G$1,0))</f>
        <v>1</v>
      </c>
      <c r="L310" s="4">
        <f>INDEX(products!$A$1:$G$49,MATCH(orders!$D310,products!$A$1:$A$49,0),MATCH(orders!L$1,products!$A$1:$G$1,0))</f>
        <v>11.25</v>
      </c>
      <c r="M310" s="4">
        <f t="shared" si="4"/>
        <v>33.75</v>
      </c>
      <c r="N310" t="str" cm="1">
        <f t="array" ref="N310">_xlfn.IFS(I310="Rob","Robusta",I310="Exc","Excelsa",I310="Ara","Arabica",I310="Lib","Liberica")</f>
        <v>Arabica</v>
      </c>
      <c r="O310" t="str" cm="1">
        <f t="array" ref="O310">_xlfn.IFS(J310="M","Medium",J310="L","Large",J310="D","Dark")</f>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_xlfn.XLOOKUP(C311,customers!$A$1:$A$1001,customers!$B$1:$B$1001,,0)</f>
        <v>Eveleen Bletsor</v>
      </c>
      <c r="G311" s="2" t="str">
        <f>IF(_xlfn.XLOOKUP(C311,customers!$A$1:$A$1001,customers!$C$1:$C$1001,,0)=0,"",_xlfn.XLOOKUP(C311,customers!$A$1:$A$1001,customers!$C$1:$C$1001,,0))</f>
        <v>ebletsor8l@vinaora.com</v>
      </c>
      <c r="H311" s="2" t="str">
        <f>_xlfn.XLOOKUP(C311,customers!$A$1:$A$1001,customers!$G$1:$G$1001,,0)</f>
        <v>United States</v>
      </c>
      <c r="I311" t="str">
        <f>INDEX(products!$A$1:$G$49,MATCH(orders!$D311,products!$A$1:$A$49,0),MATCH(orders!I$1,products!$A$1:$G$1,0))</f>
        <v>Lib</v>
      </c>
      <c r="J311" t="str">
        <f>INDEX(products!$A$1:$G$49,MATCH(orders!$D311,products!$A$1:$A$49,0),MATCH(orders!J$1,products!$A$1:$G$1,0))</f>
        <v>M</v>
      </c>
      <c r="K311" s="7">
        <f>INDEX(products!$A$1:$G$49,MATCH(orders!$D311,products!$A$1:$A$49,0),MATCH(orders!K$1,products!$A$1:$G$1,0))</f>
        <v>0.2</v>
      </c>
      <c r="L311" s="4">
        <f>INDEX(products!$A$1:$G$49,MATCH(orders!$D311,products!$A$1:$A$49,0),MATCH(orders!L$1,products!$A$1:$G$1,0))</f>
        <v>4.3650000000000002</v>
      </c>
      <c r="M311" s="4">
        <f t="shared" si="4"/>
        <v>26.19</v>
      </c>
      <c r="N311" t="str" cm="1">
        <f t="array" ref="N311">_xlfn.IFS(I311="Rob","Robusta",I311="Exc","Excelsa",I311="Ara","Arabica",I311="Lib","Liberica")</f>
        <v>Liberica</v>
      </c>
      <c r="O311" t="str" cm="1">
        <f t="array" ref="O311">_xlfn.IFS(J311="M","Medium",J311="L","Large",J311="D","Dark")</f>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_xlfn.XLOOKUP(C312,customers!$A$1:$A$1001,customers!$B$1:$B$1001,,0)</f>
        <v>Paola Brydell</v>
      </c>
      <c r="G312" s="2" t="str">
        <f>IF(_xlfn.XLOOKUP(C312,customers!$A$1:$A$1001,customers!$C$1:$C$1001,,0)=0,"",_xlfn.XLOOKUP(C312,customers!$A$1:$A$1001,customers!$C$1:$C$1001,,0))</f>
        <v>pbrydell8m@bloglovin.com</v>
      </c>
      <c r="H312" s="2" t="str">
        <f>_xlfn.XLOOKUP(C312,customers!$A$1:$A$1001,customers!$G$1:$G$1001,,0)</f>
        <v>Ireland</v>
      </c>
      <c r="I312" t="str">
        <f>INDEX(products!$A$1:$G$49,MATCH(orders!$D312,products!$A$1:$A$49,0),MATCH(orders!I$1,products!$A$1:$G$1,0))</f>
        <v>Exc</v>
      </c>
      <c r="J312" t="str">
        <f>INDEX(products!$A$1:$G$49,MATCH(orders!$D312,products!$A$1:$A$49,0),MATCH(orders!J$1,products!$A$1:$G$1,0))</f>
        <v>L</v>
      </c>
      <c r="K312" s="7">
        <f>INDEX(products!$A$1:$G$49,MATCH(orders!$D312,products!$A$1:$A$49,0),MATCH(orders!K$1,products!$A$1:$G$1,0))</f>
        <v>1</v>
      </c>
      <c r="L312" s="4">
        <f>INDEX(products!$A$1:$G$49,MATCH(orders!$D312,products!$A$1:$A$49,0),MATCH(orders!L$1,products!$A$1:$G$1,0))</f>
        <v>14.85</v>
      </c>
      <c r="M312" s="4">
        <f t="shared" si="4"/>
        <v>14.85</v>
      </c>
      <c r="N312" t="str" cm="1">
        <f t="array" ref="N312">_xlfn.IFS(I312="Rob","Robusta",I312="Exc","Excelsa",I312="Ara","Arabica",I312="Lib","Liberica")</f>
        <v>Excelsa</v>
      </c>
      <c r="O312" t="str" cm="1">
        <f t="array" ref="O312">_xlfn.IFS(J312="M","Medium",J312="L","Large",J312="D","Dark")</f>
        <v>Large</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_xlfn.XLOOKUP(C313,customers!$A$1:$A$1001,customers!$B$1:$B$1001,,0)</f>
        <v>Claudetta Rushe</v>
      </c>
      <c r="G313" s="2" t="str">
        <f>IF(_xlfn.XLOOKUP(C313,customers!$A$1:$A$1001,customers!$C$1:$C$1001,,0)=0,"",_xlfn.XLOOKUP(C313,customers!$A$1:$A$1001,customers!$C$1:$C$1001,,0))</f>
        <v>crushe8n@about.me</v>
      </c>
      <c r="H313" s="2" t="str">
        <f>_xlfn.XLOOKUP(C313,customers!$A$1:$A$1001,customers!$G$1:$G$1001,,0)</f>
        <v>United States</v>
      </c>
      <c r="I313" t="str">
        <f>INDEX(products!$A$1:$G$49,MATCH(orders!$D313,products!$A$1:$A$49,0),MATCH(orders!I$1,products!$A$1:$G$1,0))</f>
        <v>Exc</v>
      </c>
      <c r="J313" t="str">
        <f>INDEX(products!$A$1:$G$49,MATCH(orders!$D313,products!$A$1:$A$49,0),MATCH(orders!J$1,products!$A$1:$G$1,0))</f>
        <v>M</v>
      </c>
      <c r="K313" s="7">
        <f>INDEX(products!$A$1:$G$49,MATCH(orders!$D313,products!$A$1:$A$49,0),MATCH(orders!K$1,products!$A$1:$G$1,0))</f>
        <v>2.5</v>
      </c>
      <c r="L313" s="4">
        <f>INDEX(products!$A$1:$G$49,MATCH(orders!$D313,products!$A$1:$A$49,0),MATCH(orders!L$1,products!$A$1:$G$1,0))</f>
        <v>31.624999999999996</v>
      </c>
      <c r="M313" s="4">
        <f t="shared" si="4"/>
        <v>189.74999999999997</v>
      </c>
      <c r="N313" t="str" cm="1">
        <f t="array" ref="N313">_xlfn.IFS(I313="Rob","Robusta",I313="Exc","Excelsa",I313="Ara","Arabica",I313="Lib","Liberica")</f>
        <v>Excelsa</v>
      </c>
      <c r="O313" t="str" cm="1">
        <f t="array" ref="O313">_xlfn.IFS(J313="M","Medium",J313="L","Large",J313="D","Dark")</f>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_xlfn.XLOOKUP(C314,customers!$A$1:$A$1001,customers!$B$1:$B$1001,,0)</f>
        <v>Natka Leethem</v>
      </c>
      <c r="G314" s="2" t="str">
        <f>IF(_xlfn.XLOOKUP(C314,customers!$A$1:$A$1001,customers!$C$1:$C$1001,,0)=0,"",_xlfn.XLOOKUP(C314,customers!$A$1:$A$1001,customers!$C$1:$C$1001,,0))</f>
        <v>nleethem8o@mac.com</v>
      </c>
      <c r="H314" s="2" t="str">
        <f>_xlfn.XLOOKUP(C314,customers!$A$1:$A$1001,customers!$G$1:$G$1001,,0)</f>
        <v>United States</v>
      </c>
      <c r="I314" t="str">
        <f>INDEX(products!$A$1:$G$49,MATCH(orders!$D314,products!$A$1:$A$49,0),MATCH(orders!I$1,products!$A$1:$G$1,0))</f>
        <v>Rob</v>
      </c>
      <c r="J314" t="str">
        <f>INDEX(products!$A$1:$G$49,MATCH(orders!$D314,products!$A$1:$A$49,0),MATCH(orders!J$1,products!$A$1:$G$1,0))</f>
        <v>M</v>
      </c>
      <c r="K314" s="7">
        <f>INDEX(products!$A$1:$G$49,MATCH(orders!$D314,products!$A$1:$A$49,0),MATCH(orders!K$1,products!$A$1:$G$1,0))</f>
        <v>0.5</v>
      </c>
      <c r="L314" s="4">
        <f>INDEX(products!$A$1:$G$49,MATCH(orders!$D314,products!$A$1:$A$49,0),MATCH(orders!L$1,products!$A$1:$G$1,0))</f>
        <v>5.97</v>
      </c>
      <c r="M314" s="4">
        <f t="shared" si="4"/>
        <v>5.97</v>
      </c>
      <c r="N314" t="str" cm="1">
        <f t="array" ref="N314">_xlfn.IFS(I314="Rob","Robusta",I314="Exc","Excelsa",I314="Ara","Arabica",I314="Lib","Liberica")</f>
        <v>Robusta</v>
      </c>
      <c r="O314" t="str" cm="1">
        <f t="array" ref="O314">_xlfn.IFS(J314="M","Medium",J314="L","Large",J314="D","Dark")</f>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_xlfn.XLOOKUP(C315,customers!$A$1:$A$1001,customers!$B$1:$B$1001,,0)</f>
        <v>Ailene Nesfield</v>
      </c>
      <c r="G315" s="2" t="str">
        <f>IF(_xlfn.XLOOKUP(C315,customers!$A$1:$A$1001,customers!$C$1:$C$1001,,0)=0,"",_xlfn.XLOOKUP(C315,customers!$A$1:$A$1001,customers!$C$1:$C$1001,,0))</f>
        <v>anesfield8p@people.com.cn</v>
      </c>
      <c r="H315" s="2" t="str">
        <f>_xlfn.XLOOKUP(C315,customers!$A$1:$A$1001,customers!$G$1:$G$1001,,0)</f>
        <v>United Kingdom</v>
      </c>
      <c r="I315" t="str">
        <f>INDEX(products!$A$1:$G$49,MATCH(orders!$D315,products!$A$1:$A$49,0),MATCH(orders!I$1,products!$A$1:$G$1,0))</f>
        <v>Rob</v>
      </c>
      <c r="J315" t="str">
        <f>INDEX(products!$A$1:$G$49,MATCH(orders!$D315,products!$A$1:$A$49,0),MATCH(orders!J$1,products!$A$1:$G$1,0))</f>
        <v>M</v>
      </c>
      <c r="K315" s="7">
        <f>INDEX(products!$A$1:$G$49,MATCH(orders!$D315,products!$A$1:$A$49,0),MATCH(orders!K$1,products!$A$1:$G$1,0))</f>
        <v>1</v>
      </c>
      <c r="L315" s="4">
        <f>INDEX(products!$A$1:$G$49,MATCH(orders!$D315,products!$A$1:$A$49,0),MATCH(orders!L$1,products!$A$1:$G$1,0))</f>
        <v>9.9499999999999993</v>
      </c>
      <c r="M315" s="4">
        <f t="shared" si="4"/>
        <v>29.849999999999998</v>
      </c>
      <c r="N315" t="str" cm="1">
        <f t="array" ref="N315">_xlfn.IFS(I315="Rob","Robusta",I315="Exc","Excelsa",I315="Ara","Arabica",I315="Lib","Liberica")</f>
        <v>Robusta</v>
      </c>
      <c r="O315" t="str" cm="1">
        <f t="array" ref="O315">_xlfn.IFS(J315="M","Medium",J315="L","Large",J315="D","Dark")</f>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_xlfn.XLOOKUP(C316,customers!$A$1:$A$1001,customers!$B$1:$B$1001,,0)</f>
        <v>Stacy Pickworth</v>
      </c>
      <c r="G316" s="2" t="str">
        <f>IF(_xlfn.XLOOKUP(C316,customers!$A$1:$A$1001,customers!$C$1:$C$1001,,0)=0,"",_xlfn.XLOOKUP(C316,customers!$A$1:$A$1001,customers!$C$1:$C$1001,,0))</f>
        <v/>
      </c>
      <c r="H316" s="2" t="str">
        <f>_xlfn.XLOOKUP(C316,customers!$A$1:$A$1001,customers!$G$1:$G$1001,,0)</f>
        <v>United States</v>
      </c>
      <c r="I316" t="str">
        <f>INDEX(products!$A$1:$G$49,MATCH(orders!$D316,products!$A$1:$A$49,0),MATCH(orders!I$1,products!$A$1:$G$1,0))</f>
        <v>Rob</v>
      </c>
      <c r="J316" t="str">
        <f>INDEX(products!$A$1:$G$49,MATCH(orders!$D316,products!$A$1:$A$49,0),MATCH(orders!J$1,products!$A$1:$G$1,0))</f>
        <v>D</v>
      </c>
      <c r="K316" s="7">
        <f>INDEX(products!$A$1:$G$49,MATCH(orders!$D316,products!$A$1:$A$49,0),MATCH(orders!K$1,products!$A$1:$G$1,0))</f>
        <v>1</v>
      </c>
      <c r="L316" s="4">
        <f>INDEX(products!$A$1:$G$49,MATCH(orders!$D316,products!$A$1:$A$49,0),MATCH(orders!L$1,products!$A$1:$G$1,0))</f>
        <v>8.9499999999999993</v>
      </c>
      <c r="M316" s="4">
        <f t="shared" si="4"/>
        <v>44.75</v>
      </c>
      <c r="N316" t="str" cm="1">
        <f t="array" ref="N316">_xlfn.IFS(I316="Rob","Robusta",I316="Exc","Excelsa",I316="Ara","Arabica",I316="Lib","Liberica")</f>
        <v>Robusta</v>
      </c>
      <c r="O316" t="str" cm="1">
        <f t="array" ref="O316">_xlfn.IFS(J316="M","Medium",J316="L","Large",J316="D","Dark")</f>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_xlfn.XLOOKUP(C317,customers!$A$1:$A$1001,customers!$B$1:$B$1001,,0)</f>
        <v>Melli Brockway</v>
      </c>
      <c r="G317" s="2" t="str">
        <f>IF(_xlfn.XLOOKUP(C317,customers!$A$1:$A$1001,customers!$C$1:$C$1001,,0)=0,"",_xlfn.XLOOKUP(C317,customers!$A$1:$A$1001,customers!$C$1:$C$1001,,0))</f>
        <v>mbrockway8r@ibm.com</v>
      </c>
      <c r="H317" s="2" t="str">
        <f>_xlfn.XLOOKUP(C317,customers!$A$1:$A$1001,customers!$G$1:$G$1001,,0)</f>
        <v>United States</v>
      </c>
      <c r="I317" t="str">
        <f>INDEX(products!$A$1:$G$49,MATCH(orders!$D317,products!$A$1:$A$49,0),MATCH(orders!I$1,products!$A$1:$G$1,0))</f>
        <v>Exc</v>
      </c>
      <c r="J317" t="str">
        <f>INDEX(products!$A$1:$G$49,MATCH(orders!$D317,products!$A$1:$A$49,0),MATCH(orders!J$1,products!$A$1:$G$1,0))</f>
        <v>L</v>
      </c>
      <c r="K317" s="7">
        <f>INDEX(products!$A$1:$G$49,MATCH(orders!$D317,products!$A$1:$A$49,0),MATCH(orders!K$1,products!$A$1:$G$1,0))</f>
        <v>2.5</v>
      </c>
      <c r="L317" s="4">
        <f>INDEX(products!$A$1:$G$49,MATCH(orders!$D317,products!$A$1:$A$49,0),MATCH(orders!L$1,products!$A$1:$G$1,0))</f>
        <v>34.154999999999994</v>
      </c>
      <c r="M317" s="4">
        <f t="shared" si="4"/>
        <v>34.154999999999994</v>
      </c>
      <c r="N317" t="str" cm="1">
        <f t="array" ref="N317">_xlfn.IFS(I317="Rob","Robusta",I317="Exc","Excelsa",I317="Ara","Arabica",I317="Lib","Liberica")</f>
        <v>Excelsa</v>
      </c>
      <c r="O317" t="str" cm="1">
        <f t="array" ref="O317">_xlfn.IFS(J317="M","Medium",J317="L","Large",J317="D","Dark")</f>
        <v>Large</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_xlfn.XLOOKUP(C318,customers!$A$1:$A$1001,customers!$B$1:$B$1001,,0)</f>
        <v>Nanny Lush</v>
      </c>
      <c r="G318" s="2" t="str">
        <f>IF(_xlfn.XLOOKUP(C318,customers!$A$1:$A$1001,customers!$C$1:$C$1001,,0)=0,"",_xlfn.XLOOKUP(C318,customers!$A$1:$A$1001,customers!$C$1:$C$1001,,0))</f>
        <v>nlush8s@dedecms.com</v>
      </c>
      <c r="H318" s="2" t="str">
        <f>_xlfn.XLOOKUP(C318,customers!$A$1:$A$1001,customers!$G$1:$G$1001,,0)</f>
        <v>Ireland</v>
      </c>
      <c r="I318" t="str">
        <f>INDEX(products!$A$1:$G$49,MATCH(orders!$D318,products!$A$1:$A$49,0),MATCH(orders!I$1,products!$A$1:$G$1,0))</f>
        <v>Exc</v>
      </c>
      <c r="J318" t="str">
        <f>INDEX(products!$A$1:$G$49,MATCH(orders!$D318,products!$A$1:$A$49,0),MATCH(orders!J$1,products!$A$1:$G$1,0))</f>
        <v>L</v>
      </c>
      <c r="K318" s="7">
        <f>INDEX(products!$A$1:$G$49,MATCH(orders!$D318,products!$A$1:$A$49,0),MATCH(orders!K$1,products!$A$1:$G$1,0))</f>
        <v>2.5</v>
      </c>
      <c r="L318" s="4">
        <f>INDEX(products!$A$1:$G$49,MATCH(orders!$D318,products!$A$1:$A$49,0),MATCH(orders!L$1,products!$A$1:$G$1,0))</f>
        <v>34.154999999999994</v>
      </c>
      <c r="M318" s="4">
        <f t="shared" si="4"/>
        <v>204.92999999999995</v>
      </c>
      <c r="N318" t="str" cm="1">
        <f t="array" ref="N318">_xlfn.IFS(I318="Rob","Robusta",I318="Exc","Excelsa",I318="Ara","Arabica",I318="Lib","Liberica")</f>
        <v>Excelsa</v>
      </c>
      <c r="O318" t="str" cm="1">
        <f t="array" ref="O318">_xlfn.IFS(J318="M","Medium",J318="L","Large",J318="D","Dark")</f>
        <v>Large</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_xlfn.XLOOKUP(C319,customers!$A$1:$A$1001,customers!$B$1:$B$1001,,0)</f>
        <v>Selma McMillian</v>
      </c>
      <c r="G319" s="2" t="str">
        <f>IF(_xlfn.XLOOKUP(C319,customers!$A$1:$A$1001,customers!$C$1:$C$1001,,0)=0,"",_xlfn.XLOOKUP(C319,customers!$A$1:$A$1001,customers!$C$1:$C$1001,,0))</f>
        <v>smcmillian8t@csmonitor.com</v>
      </c>
      <c r="H319" s="2" t="str">
        <f>_xlfn.XLOOKUP(C319,customers!$A$1:$A$1001,customers!$G$1:$G$1001,,0)</f>
        <v>United States</v>
      </c>
      <c r="I319" t="str">
        <f>INDEX(products!$A$1:$G$49,MATCH(orders!$D319,products!$A$1:$A$49,0),MATCH(orders!I$1,products!$A$1:$G$1,0))</f>
        <v>Exc</v>
      </c>
      <c r="J319" t="str">
        <f>INDEX(products!$A$1:$G$49,MATCH(orders!$D319,products!$A$1:$A$49,0),MATCH(orders!J$1,products!$A$1:$G$1,0))</f>
        <v>D</v>
      </c>
      <c r="K319" s="7">
        <f>INDEX(products!$A$1:$G$49,MATCH(orders!$D319,products!$A$1:$A$49,0),MATCH(orders!K$1,products!$A$1:$G$1,0))</f>
        <v>0.5</v>
      </c>
      <c r="L319" s="4">
        <f>INDEX(products!$A$1:$G$49,MATCH(orders!$D319,products!$A$1:$A$49,0),MATCH(orders!L$1,products!$A$1:$G$1,0))</f>
        <v>7.29</v>
      </c>
      <c r="M319" s="4">
        <f t="shared" si="4"/>
        <v>21.87</v>
      </c>
      <c r="N319" t="str" cm="1">
        <f t="array" ref="N319">_xlfn.IFS(I319="Rob","Robusta",I319="Exc","Excelsa",I319="Ara","Arabica",I319="Lib","Liberica")</f>
        <v>Excelsa</v>
      </c>
      <c r="O319" t="str" cm="1">
        <f t="array" ref="O319">_xlfn.IFS(J319="M","Medium",J319="L","Large",J319="D","Dark")</f>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_xlfn.XLOOKUP(C320,customers!$A$1:$A$1001,customers!$B$1:$B$1001,,0)</f>
        <v>Tess Bennison</v>
      </c>
      <c r="G320" s="2" t="str">
        <f>IF(_xlfn.XLOOKUP(C320,customers!$A$1:$A$1001,customers!$C$1:$C$1001,,0)=0,"",_xlfn.XLOOKUP(C320,customers!$A$1:$A$1001,customers!$C$1:$C$1001,,0))</f>
        <v>tbennison8u@google.cn</v>
      </c>
      <c r="H320" s="2" t="str">
        <f>_xlfn.XLOOKUP(C320,customers!$A$1:$A$1001,customers!$G$1:$G$1001,,0)</f>
        <v>United States</v>
      </c>
      <c r="I320" t="str">
        <f>INDEX(products!$A$1:$G$49,MATCH(orders!$D320,products!$A$1:$A$49,0),MATCH(orders!I$1,products!$A$1:$G$1,0))</f>
        <v>Ara</v>
      </c>
      <c r="J320" t="str">
        <f>INDEX(products!$A$1:$G$49,MATCH(orders!$D320,products!$A$1:$A$49,0),MATCH(orders!J$1,products!$A$1:$G$1,0))</f>
        <v>M</v>
      </c>
      <c r="K320" s="7">
        <f>INDEX(products!$A$1:$G$49,MATCH(orders!$D320,products!$A$1:$A$49,0),MATCH(orders!K$1,products!$A$1:$G$1,0))</f>
        <v>2.5</v>
      </c>
      <c r="L320" s="4">
        <f>INDEX(products!$A$1:$G$49,MATCH(orders!$D320,products!$A$1:$A$49,0),MATCH(orders!L$1,products!$A$1:$G$1,0))</f>
        <v>25.874999999999996</v>
      </c>
      <c r="M320" s="4">
        <f t="shared" si="4"/>
        <v>51.749999999999993</v>
      </c>
      <c r="N320" t="str" cm="1">
        <f t="array" ref="N320">_xlfn.IFS(I320="Rob","Robusta",I320="Exc","Excelsa",I320="Ara","Arabica",I320="Lib","Liberica")</f>
        <v>Arabica</v>
      </c>
      <c r="O320" t="str" cm="1">
        <f t="array" ref="O320">_xlfn.IFS(J320="M","Medium",J320="L","Large",J320="D","Dark")</f>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_xlfn.XLOOKUP(C321,customers!$A$1:$A$1001,customers!$B$1:$B$1001,,0)</f>
        <v>Gabie Tweed</v>
      </c>
      <c r="G321" s="2" t="str">
        <f>IF(_xlfn.XLOOKUP(C321,customers!$A$1:$A$1001,customers!$C$1:$C$1001,,0)=0,"",_xlfn.XLOOKUP(C321,customers!$A$1:$A$1001,customers!$C$1:$C$1001,,0))</f>
        <v>gtweed8v@yolasite.com</v>
      </c>
      <c r="H321" s="2" t="str">
        <f>_xlfn.XLOOKUP(C321,customers!$A$1:$A$1001,customers!$G$1:$G$1001,,0)</f>
        <v>United States</v>
      </c>
      <c r="I321" t="str">
        <f>INDEX(products!$A$1:$G$49,MATCH(orders!$D321,products!$A$1:$A$49,0),MATCH(orders!I$1,products!$A$1:$G$1,0))</f>
        <v>Exc</v>
      </c>
      <c r="J321" t="str">
        <f>INDEX(products!$A$1:$G$49,MATCH(orders!$D321,products!$A$1:$A$49,0),MATCH(orders!J$1,products!$A$1:$G$1,0))</f>
        <v>M</v>
      </c>
      <c r="K321" s="7">
        <f>INDEX(products!$A$1:$G$49,MATCH(orders!$D321,products!$A$1:$A$49,0),MATCH(orders!K$1,products!$A$1:$G$1,0))</f>
        <v>0.2</v>
      </c>
      <c r="L321" s="4">
        <f>INDEX(products!$A$1:$G$49,MATCH(orders!$D321,products!$A$1:$A$49,0),MATCH(orders!L$1,products!$A$1:$G$1,0))</f>
        <v>4.125</v>
      </c>
      <c r="M321" s="4">
        <f t="shared" si="4"/>
        <v>8.25</v>
      </c>
      <c r="N321" t="str" cm="1">
        <f t="array" ref="N321">_xlfn.IFS(I321="Rob","Robusta",I321="Exc","Excelsa",I321="Ara","Arabica",I321="Lib","Liberica")</f>
        <v>Excelsa</v>
      </c>
      <c r="O321" t="str" cm="1">
        <f t="array" ref="O321">_xlfn.IFS(J321="M","Medium",J321="L","Large",J321="D","Dark")</f>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_xlfn.XLOOKUP(C322,customers!$A$1:$A$1001,customers!$B$1:$B$1001,,0)</f>
        <v>Gabie Tweed</v>
      </c>
      <c r="G322" s="2" t="str">
        <f>IF(_xlfn.XLOOKUP(C322,customers!$A$1:$A$1001,customers!$C$1:$C$1001,,0)=0,"",_xlfn.XLOOKUP(C322,customers!$A$1:$A$1001,customers!$C$1:$C$1001,,0))</f>
        <v>gtweed8v@yolasite.com</v>
      </c>
      <c r="H322" s="2" t="str">
        <f>_xlfn.XLOOKUP(C322,customers!$A$1:$A$1001,customers!$G$1:$G$1001,,0)</f>
        <v>United States</v>
      </c>
      <c r="I322" t="str">
        <f>INDEX(products!$A$1:$G$49,MATCH(orders!$D322,products!$A$1:$A$49,0),MATCH(orders!I$1,products!$A$1:$G$1,0))</f>
        <v>Ara</v>
      </c>
      <c r="J322" t="str">
        <f>INDEX(products!$A$1:$G$49,MATCH(orders!$D322,products!$A$1:$A$49,0),MATCH(orders!J$1,products!$A$1:$G$1,0))</f>
        <v>L</v>
      </c>
      <c r="K322" s="7">
        <f>INDEX(products!$A$1:$G$49,MATCH(orders!$D322,products!$A$1:$A$49,0),MATCH(orders!K$1,products!$A$1:$G$1,0))</f>
        <v>0.2</v>
      </c>
      <c r="L322" s="4">
        <f>INDEX(products!$A$1:$G$49,MATCH(orders!$D322,products!$A$1:$A$49,0),MATCH(orders!L$1,products!$A$1:$G$1,0))</f>
        <v>3.8849999999999998</v>
      </c>
      <c r="M322" s="4">
        <f t="shared" si="4"/>
        <v>19.424999999999997</v>
      </c>
      <c r="N322" t="str" cm="1">
        <f t="array" ref="N322">_xlfn.IFS(I322="Rob","Robusta",I322="Exc","Excelsa",I322="Ara","Arabica",I322="Lib","Liberica")</f>
        <v>Arabica</v>
      </c>
      <c r="O322" t="str" cm="1">
        <f t="array" ref="O322">_xlfn.IFS(J322="M","Medium",J322="L","Large",J322="D","Dark")</f>
        <v>Large</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_xlfn.XLOOKUP(C323,customers!$A$1:$A$1001,customers!$B$1:$B$1001,,0)</f>
        <v>Gaile Goggin</v>
      </c>
      <c r="G323" s="2" t="str">
        <f>IF(_xlfn.XLOOKUP(C323,customers!$A$1:$A$1001,customers!$C$1:$C$1001,,0)=0,"",_xlfn.XLOOKUP(C323,customers!$A$1:$A$1001,customers!$C$1:$C$1001,,0))</f>
        <v>ggoggin8x@wix.com</v>
      </c>
      <c r="H323" s="2" t="str">
        <f>_xlfn.XLOOKUP(C323,customers!$A$1:$A$1001,customers!$G$1:$G$1001,,0)</f>
        <v>Ireland</v>
      </c>
      <c r="I323" t="str">
        <f>INDEX(products!$A$1:$G$49,MATCH(orders!$D323,products!$A$1:$A$49,0),MATCH(orders!I$1,products!$A$1:$G$1,0))</f>
        <v>Ara</v>
      </c>
      <c r="J323" t="str">
        <f>INDEX(products!$A$1:$G$49,MATCH(orders!$D323,products!$A$1:$A$49,0),MATCH(orders!J$1,products!$A$1:$G$1,0))</f>
        <v>M</v>
      </c>
      <c r="K323" s="7">
        <f>INDEX(products!$A$1:$G$49,MATCH(orders!$D323,products!$A$1:$A$49,0),MATCH(orders!K$1,products!$A$1:$G$1,0))</f>
        <v>0.2</v>
      </c>
      <c r="L323" s="4">
        <f>INDEX(products!$A$1:$G$49,MATCH(orders!$D323,products!$A$1:$A$49,0),MATCH(orders!L$1,products!$A$1:$G$1,0))</f>
        <v>3.375</v>
      </c>
      <c r="M323" s="4">
        <f t="shared" ref="M323:M386" si="5">L323*E323</f>
        <v>20.25</v>
      </c>
      <c r="N323" t="str" cm="1">
        <f t="array" ref="N323">_xlfn.IFS(I323="Rob","Robusta",I323="Exc","Excelsa",I323="Ara","Arabica",I323="Lib","Liberica")</f>
        <v>Arabica</v>
      </c>
      <c r="O323" t="str" cm="1">
        <f t="array" ref="O323">_xlfn.IFS(J323="M","Medium",J323="L","Large",J323="D","Dark")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_xlfn.XLOOKUP(C324,customers!$A$1:$A$1001,customers!$B$1:$B$1001,,0)</f>
        <v>Skylar Jeyness</v>
      </c>
      <c r="G324" s="2" t="str">
        <f>IF(_xlfn.XLOOKUP(C324,customers!$A$1:$A$1001,customers!$C$1:$C$1001,,0)=0,"",_xlfn.XLOOKUP(C324,customers!$A$1:$A$1001,customers!$C$1:$C$1001,,0))</f>
        <v>sjeyness8y@biglobe.ne.jp</v>
      </c>
      <c r="H324" s="2" t="str">
        <f>_xlfn.XLOOKUP(C324,customers!$A$1:$A$1001,customers!$G$1:$G$1001,,0)</f>
        <v>Ireland</v>
      </c>
      <c r="I324" t="str">
        <f>INDEX(products!$A$1:$G$49,MATCH(orders!$D324,products!$A$1:$A$49,0),MATCH(orders!I$1,products!$A$1:$G$1,0))</f>
        <v>Lib</v>
      </c>
      <c r="J324" t="str">
        <f>INDEX(products!$A$1:$G$49,MATCH(orders!$D324,products!$A$1:$A$49,0),MATCH(orders!J$1,products!$A$1:$G$1,0))</f>
        <v>D</v>
      </c>
      <c r="K324" s="7">
        <f>INDEX(products!$A$1:$G$49,MATCH(orders!$D324,products!$A$1:$A$49,0),MATCH(orders!K$1,products!$A$1:$G$1,0))</f>
        <v>0.5</v>
      </c>
      <c r="L324" s="4">
        <f>INDEX(products!$A$1:$G$49,MATCH(orders!$D324,products!$A$1:$A$49,0),MATCH(orders!L$1,products!$A$1:$G$1,0))</f>
        <v>7.77</v>
      </c>
      <c r="M324" s="4">
        <f t="shared" si="5"/>
        <v>23.31</v>
      </c>
      <c r="N324" t="str" cm="1">
        <f t="array" ref="N324">_xlfn.IFS(I324="Rob","Robusta",I324="Exc","Excelsa",I324="Ara","Arabica",I324="Lib","Liberica")</f>
        <v>Liberica</v>
      </c>
      <c r="O324" t="str" cm="1">
        <f t="array" ref="O324">_xlfn.IFS(J324="M","Medium",J324="L","Large",J324="D","Dark")</f>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_xlfn.XLOOKUP(C325,customers!$A$1:$A$1001,customers!$B$1:$B$1001,,0)</f>
        <v>Donica Bonhome</v>
      </c>
      <c r="G325" s="2" t="str">
        <f>IF(_xlfn.XLOOKUP(C325,customers!$A$1:$A$1001,customers!$C$1:$C$1001,,0)=0,"",_xlfn.XLOOKUP(C325,customers!$A$1:$A$1001,customers!$C$1:$C$1001,,0))</f>
        <v>dbonhome8z@shinystat.com</v>
      </c>
      <c r="H325" s="2" t="str">
        <f>_xlfn.XLOOKUP(C325,customers!$A$1:$A$1001,customers!$G$1:$G$1001,,0)</f>
        <v>United States</v>
      </c>
      <c r="I325" t="str">
        <f>INDEX(products!$A$1:$G$49,MATCH(orders!$D325,products!$A$1:$A$49,0),MATCH(orders!I$1,products!$A$1:$G$1,0))</f>
        <v>Exc</v>
      </c>
      <c r="J325" t="str">
        <f>INDEX(products!$A$1:$G$49,MATCH(orders!$D325,products!$A$1:$A$49,0),MATCH(orders!J$1,products!$A$1:$G$1,0))</f>
        <v>D</v>
      </c>
      <c r="K325" s="7">
        <f>INDEX(products!$A$1:$G$49,MATCH(orders!$D325,products!$A$1:$A$49,0),MATCH(orders!K$1,products!$A$1:$G$1,0))</f>
        <v>0.2</v>
      </c>
      <c r="L325" s="4">
        <f>INDEX(products!$A$1:$G$49,MATCH(orders!$D325,products!$A$1:$A$49,0),MATCH(orders!L$1,products!$A$1:$G$1,0))</f>
        <v>3.645</v>
      </c>
      <c r="M325" s="4">
        <f t="shared" si="5"/>
        <v>18.225000000000001</v>
      </c>
      <c r="N325" t="str" cm="1">
        <f t="array" ref="N325">_xlfn.IFS(I325="Rob","Robusta",I325="Exc","Excelsa",I325="Ara","Arabica",I325="Lib","Liberica")</f>
        <v>Excelsa</v>
      </c>
      <c r="O325" t="str" cm="1">
        <f t="array" ref="O325">_xlfn.IFS(J325="M","Medium",J325="L","Large",J325="D","Dark")</f>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_xlfn.XLOOKUP(C326,customers!$A$1:$A$1001,customers!$B$1:$B$1001,,0)</f>
        <v>Diena Peetermann</v>
      </c>
      <c r="G326" s="2" t="str">
        <f>IF(_xlfn.XLOOKUP(C326,customers!$A$1:$A$1001,customers!$C$1:$C$1001,,0)=0,"",_xlfn.XLOOKUP(C326,customers!$A$1:$A$1001,customers!$C$1:$C$1001,,0))</f>
        <v/>
      </c>
      <c r="H326" s="2" t="str">
        <f>_xlfn.XLOOKUP(C326,customers!$A$1:$A$1001,customers!$G$1:$G$1001,,0)</f>
        <v>United States</v>
      </c>
      <c r="I326" t="str">
        <f>INDEX(products!$A$1:$G$49,MATCH(orders!$D326,products!$A$1:$A$49,0),MATCH(orders!I$1,products!$A$1:$G$1,0))</f>
        <v>Exc</v>
      </c>
      <c r="J326" t="str">
        <f>INDEX(products!$A$1:$G$49,MATCH(orders!$D326,products!$A$1:$A$49,0),MATCH(orders!J$1,products!$A$1:$G$1,0))</f>
        <v>M</v>
      </c>
      <c r="K326" s="7">
        <f>INDEX(products!$A$1:$G$49,MATCH(orders!$D326,products!$A$1:$A$49,0),MATCH(orders!K$1,products!$A$1:$G$1,0))</f>
        <v>1</v>
      </c>
      <c r="L326" s="4">
        <f>INDEX(products!$A$1:$G$49,MATCH(orders!$D326,products!$A$1:$A$49,0),MATCH(orders!L$1,products!$A$1:$G$1,0))</f>
        <v>13.75</v>
      </c>
      <c r="M326" s="4">
        <f t="shared" si="5"/>
        <v>13.75</v>
      </c>
      <c r="N326" t="str" cm="1">
        <f t="array" ref="N326">_xlfn.IFS(I326="Rob","Robusta",I326="Exc","Excelsa",I326="Ara","Arabica",I326="Lib","Liberica")</f>
        <v>Excelsa</v>
      </c>
      <c r="O326" t="str" cm="1">
        <f t="array" ref="O326">_xlfn.IFS(J326="M","Medium",J326="L","Large",J326="D","Dark")</f>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_xlfn.XLOOKUP(C327,customers!$A$1:$A$1001,customers!$B$1:$B$1001,,0)</f>
        <v>Trina Le Sarr</v>
      </c>
      <c r="G327" s="2" t="str">
        <f>IF(_xlfn.XLOOKUP(C327,customers!$A$1:$A$1001,customers!$C$1:$C$1001,,0)=0,"",_xlfn.XLOOKUP(C327,customers!$A$1:$A$1001,customers!$C$1:$C$1001,,0))</f>
        <v>tle91@epa.gov</v>
      </c>
      <c r="H327" s="2" t="str">
        <f>_xlfn.XLOOKUP(C327,customers!$A$1:$A$1001,customers!$G$1:$G$1001,,0)</f>
        <v>United States</v>
      </c>
      <c r="I327" t="str">
        <f>INDEX(products!$A$1:$G$49,MATCH(orders!$D327,products!$A$1:$A$49,0),MATCH(orders!I$1,products!$A$1:$G$1,0))</f>
        <v>Ara</v>
      </c>
      <c r="J327" t="str">
        <f>INDEX(products!$A$1:$G$49,MATCH(orders!$D327,products!$A$1:$A$49,0),MATCH(orders!J$1,products!$A$1:$G$1,0))</f>
        <v>L</v>
      </c>
      <c r="K327" s="7">
        <f>INDEX(products!$A$1:$G$49,MATCH(orders!$D327,products!$A$1:$A$49,0),MATCH(orders!K$1,products!$A$1:$G$1,0))</f>
        <v>2.5</v>
      </c>
      <c r="L327" s="4">
        <f>INDEX(products!$A$1:$G$49,MATCH(orders!$D327,products!$A$1:$A$49,0),MATCH(orders!L$1,products!$A$1:$G$1,0))</f>
        <v>29.784999999999997</v>
      </c>
      <c r="M327" s="4">
        <f t="shared" si="5"/>
        <v>29.784999999999997</v>
      </c>
      <c r="N327" t="str" cm="1">
        <f t="array" ref="N327">_xlfn.IFS(I327="Rob","Robusta",I327="Exc","Excelsa",I327="Ara","Arabica",I327="Lib","Liberica")</f>
        <v>Arabica</v>
      </c>
      <c r="O327" t="str" cm="1">
        <f t="array" ref="O327">_xlfn.IFS(J327="M","Medium",J327="L","Large",J327="D","Dark")</f>
        <v>Large</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_xlfn.XLOOKUP(C328,customers!$A$1:$A$1001,customers!$B$1:$B$1001,,0)</f>
        <v>Flynn Antony</v>
      </c>
      <c r="G328" s="2" t="str">
        <f>IF(_xlfn.XLOOKUP(C328,customers!$A$1:$A$1001,customers!$C$1:$C$1001,,0)=0,"",_xlfn.XLOOKUP(C328,customers!$A$1:$A$1001,customers!$C$1:$C$1001,,0))</f>
        <v/>
      </c>
      <c r="H328" s="2" t="str">
        <f>_xlfn.XLOOKUP(C328,customers!$A$1:$A$1001,customers!$G$1:$G$1001,,0)</f>
        <v>United States</v>
      </c>
      <c r="I328" t="str">
        <f>INDEX(products!$A$1:$G$49,MATCH(orders!$D328,products!$A$1:$A$49,0),MATCH(orders!I$1,products!$A$1:$G$1,0))</f>
        <v>Rob</v>
      </c>
      <c r="J328" t="str">
        <f>INDEX(products!$A$1:$G$49,MATCH(orders!$D328,products!$A$1:$A$49,0),MATCH(orders!J$1,products!$A$1:$G$1,0))</f>
        <v>D</v>
      </c>
      <c r="K328" s="7">
        <f>INDEX(products!$A$1:$G$49,MATCH(orders!$D328,products!$A$1:$A$49,0),MATCH(orders!K$1,products!$A$1:$G$1,0))</f>
        <v>1</v>
      </c>
      <c r="L328" s="4">
        <f>INDEX(products!$A$1:$G$49,MATCH(orders!$D328,products!$A$1:$A$49,0),MATCH(orders!L$1,products!$A$1:$G$1,0))</f>
        <v>8.9499999999999993</v>
      </c>
      <c r="M328" s="4">
        <f t="shared" si="5"/>
        <v>44.75</v>
      </c>
      <c r="N328" t="str" cm="1">
        <f t="array" ref="N328">_xlfn.IFS(I328="Rob","Robusta",I328="Exc","Excelsa",I328="Ara","Arabica",I328="Lib","Liberica")</f>
        <v>Robusta</v>
      </c>
      <c r="O328" t="str" cm="1">
        <f t="array" ref="O328">_xlfn.IFS(J328="M","Medium",J328="L","Large",J328="D","Dark")</f>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_xlfn.XLOOKUP(C329,customers!$A$1:$A$1001,customers!$B$1:$B$1001,,0)</f>
        <v>Baudoin Alldridge</v>
      </c>
      <c r="G329" s="2" t="str">
        <f>IF(_xlfn.XLOOKUP(C329,customers!$A$1:$A$1001,customers!$C$1:$C$1001,,0)=0,"",_xlfn.XLOOKUP(C329,customers!$A$1:$A$1001,customers!$C$1:$C$1001,,0))</f>
        <v>balldridge93@yandex.ru</v>
      </c>
      <c r="H329" s="2" t="str">
        <f>_xlfn.XLOOKUP(C329,customers!$A$1:$A$1001,customers!$G$1:$G$1001,,0)</f>
        <v>United States</v>
      </c>
      <c r="I329" t="str">
        <f>INDEX(products!$A$1:$G$49,MATCH(orders!$D329,products!$A$1:$A$49,0),MATCH(orders!I$1,products!$A$1:$G$1,0))</f>
        <v>Rob</v>
      </c>
      <c r="J329" t="str">
        <f>INDEX(products!$A$1:$G$49,MATCH(orders!$D329,products!$A$1:$A$49,0),MATCH(orders!J$1,products!$A$1:$G$1,0))</f>
        <v>D</v>
      </c>
      <c r="K329" s="7">
        <f>INDEX(products!$A$1:$G$49,MATCH(orders!$D329,products!$A$1:$A$49,0),MATCH(orders!K$1,products!$A$1:$G$1,0))</f>
        <v>1</v>
      </c>
      <c r="L329" s="4">
        <f>INDEX(products!$A$1:$G$49,MATCH(orders!$D329,products!$A$1:$A$49,0),MATCH(orders!L$1,products!$A$1:$G$1,0))</f>
        <v>8.9499999999999993</v>
      </c>
      <c r="M329" s="4">
        <f t="shared" si="5"/>
        <v>44.75</v>
      </c>
      <c r="N329" t="str" cm="1">
        <f t="array" ref="N329">_xlfn.IFS(I329="Rob","Robusta",I329="Exc","Excelsa",I329="Ara","Arabica",I329="Lib","Liberica")</f>
        <v>Robusta</v>
      </c>
      <c r="O329" t="str" cm="1">
        <f t="array" ref="O329">_xlfn.IFS(J329="M","Medium",J329="L","Large",J329="D","Dark")</f>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_xlfn.XLOOKUP(C330,customers!$A$1:$A$1001,customers!$B$1:$B$1001,,0)</f>
        <v>Homer Dulany</v>
      </c>
      <c r="G330" s="2" t="str">
        <f>IF(_xlfn.XLOOKUP(C330,customers!$A$1:$A$1001,customers!$C$1:$C$1001,,0)=0,"",_xlfn.XLOOKUP(C330,customers!$A$1:$A$1001,customers!$C$1:$C$1001,,0))</f>
        <v/>
      </c>
      <c r="H330" s="2" t="str">
        <f>_xlfn.XLOOKUP(C330,customers!$A$1:$A$1001,customers!$G$1:$G$1001,,0)</f>
        <v>United States</v>
      </c>
      <c r="I330" t="str">
        <f>INDEX(products!$A$1:$G$49,MATCH(orders!$D330,products!$A$1:$A$49,0),MATCH(orders!I$1,products!$A$1:$G$1,0))</f>
        <v>Lib</v>
      </c>
      <c r="J330" t="str">
        <f>INDEX(products!$A$1:$G$49,MATCH(orders!$D330,products!$A$1:$A$49,0),MATCH(orders!J$1,products!$A$1:$G$1,0))</f>
        <v>L</v>
      </c>
      <c r="K330" s="7">
        <f>INDEX(products!$A$1:$G$49,MATCH(orders!$D330,products!$A$1:$A$49,0),MATCH(orders!K$1,products!$A$1:$G$1,0))</f>
        <v>0.5</v>
      </c>
      <c r="L330" s="4">
        <f>INDEX(products!$A$1:$G$49,MATCH(orders!$D330,products!$A$1:$A$49,0),MATCH(orders!L$1,products!$A$1:$G$1,0))</f>
        <v>9.51</v>
      </c>
      <c r="M330" s="4">
        <f t="shared" si="5"/>
        <v>38.04</v>
      </c>
      <c r="N330" t="str" cm="1">
        <f t="array" ref="N330">_xlfn.IFS(I330="Rob","Robusta",I330="Exc","Excelsa",I330="Ara","Arabica",I330="Lib","Liberica")</f>
        <v>Liberica</v>
      </c>
      <c r="O330" t="str" cm="1">
        <f t="array" ref="O330">_xlfn.IFS(J330="M","Medium",J330="L","Large",J330="D","Dark")</f>
        <v>Large</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_xlfn.XLOOKUP(C331,customers!$A$1:$A$1001,customers!$B$1:$B$1001,,0)</f>
        <v>Lisa Goodger</v>
      </c>
      <c r="G331" s="2" t="str">
        <f>IF(_xlfn.XLOOKUP(C331,customers!$A$1:$A$1001,customers!$C$1:$C$1001,,0)=0,"",_xlfn.XLOOKUP(C331,customers!$A$1:$A$1001,customers!$C$1:$C$1001,,0))</f>
        <v>lgoodger95@guardian.co.uk</v>
      </c>
      <c r="H331" s="2" t="str">
        <f>_xlfn.XLOOKUP(C331,customers!$A$1:$A$1001,customers!$G$1:$G$1001,,0)</f>
        <v>United States</v>
      </c>
      <c r="I331" t="str">
        <f>INDEX(products!$A$1:$G$49,MATCH(orders!$D331,products!$A$1:$A$49,0),MATCH(orders!I$1,products!$A$1:$G$1,0))</f>
        <v>Rob</v>
      </c>
      <c r="J331" t="str">
        <f>INDEX(products!$A$1:$G$49,MATCH(orders!$D331,products!$A$1:$A$49,0),MATCH(orders!J$1,products!$A$1:$G$1,0))</f>
        <v>D</v>
      </c>
      <c r="K331" s="7">
        <f>INDEX(products!$A$1:$G$49,MATCH(orders!$D331,products!$A$1:$A$49,0),MATCH(orders!K$1,products!$A$1:$G$1,0))</f>
        <v>0.5</v>
      </c>
      <c r="L331" s="4">
        <f>INDEX(products!$A$1:$G$49,MATCH(orders!$D331,products!$A$1:$A$49,0),MATCH(orders!L$1,products!$A$1:$G$1,0))</f>
        <v>5.3699999999999992</v>
      </c>
      <c r="M331" s="4">
        <f t="shared" si="5"/>
        <v>21.479999999999997</v>
      </c>
      <c r="N331" t="str" cm="1">
        <f t="array" ref="N331">_xlfn.IFS(I331="Rob","Robusta",I331="Exc","Excelsa",I331="Ara","Arabica",I331="Lib","Liberica")</f>
        <v>Robusta</v>
      </c>
      <c r="O331" t="str" cm="1">
        <f t="array" ref="O331">_xlfn.IFS(J331="M","Medium",J331="L","Large",J331="D","Dark")</f>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_xlfn.XLOOKUP(C332,customers!$A$1:$A$1001,customers!$B$1:$B$1001,,0)</f>
        <v>Selma McMillian</v>
      </c>
      <c r="G332" s="2" t="str">
        <f>IF(_xlfn.XLOOKUP(C332,customers!$A$1:$A$1001,customers!$C$1:$C$1001,,0)=0,"",_xlfn.XLOOKUP(C332,customers!$A$1:$A$1001,customers!$C$1:$C$1001,,0))</f>
        <v>smcmillian8t@csmonitor.com</v>
      </c>
      <c r="H332" s="2" t="str">
        <f>_xlfn.XLOOKUP(C332,customers!$A$1:$A$1001,customers!$G$1:$G$1001,,0)</f>
        <v>United States</v>
      </c>
      <c r="I332" t="str">
        <f>INDEX(products!$A$1:$G$49,MATCH(orders!$D332,products!$A$1:$A$49,0),MATCH(orders!I$1,products!$A$1:$G$1,0))</f>
        <v>Rob</v>
      </c>
      <c r="J332" t="str">
        <f>INDEX(products!$A$1:$G$49,MATCH(orders!$D332,products!$A$1:$A$49,0),MATCH(orders!J$1,products!$A$1:$G$1,0))</f>
        <v>D</v>
      </c>
      <c r="K332" s="7">
        <f>INDEX(products!$A$1:$G$49,MATCH(orders!$D332,products!$A$1:$A$49,0),MATCH(orders!K$1,products!$A$1:$G$1,0))</f>
        <v>0.5</v>
      </c>
      <c r="L332" s="4">
        <f>INDEX(products!$A$1:$G$49,MATCH(orders!$D332,products!$A$1:$A$49,0),MATCH(orders!L$1,products!$A$1:$G$1,0))</f>
        <v>5.3699999999999992</v>
      </c>
      <c r="M332" s="4">
        <f t="shared" si="5"/>
        <v>16.11</v>
      </c>
      <c r="N332" t="str" cm="1">
        <f t="array" ref="N332">_xlfn.IFS(I332="Rob","Robusta",I332="Exc","Excelsa",I332="Ara","Arabica",I332="Lib","Liberica")</f>
        <v>Robusta</v>
      </c>
      <c r="O332" t="str" cm="1">
        <f t="array" ref="O332">_xlfn.IFS(J332="M","Medium",J332="L","Large",J332="D","Dark")</f>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_xlfn.XLOOKUP(C333,customers!$A$1:$A$1001,customers!$B$1:$B$1001,,0)</f>
        <v>Corine Drewett</v>
      </c>
      <c r="G333" s="2" t="str">
        <f>IF(_xlfn.XLOOKUP(C333,customers!$A$1:$A$1001,customers!$C$1:$C$1001,,0)=0,"",_xlfn.XLOOKUP(C333,customers!$A$1:$A$1001,customers!$C$1:$C$1001,,0))</f>
        <v>cdrewett97@wikipedia.org</v>
      </c>
      <c r="H333" s="2" t="str">
        <f>_xlfn.XLOOKUP(C333,customers!$A$1:$A$1001,customers!$G$1:$G$1001,,0)</f>
        <v>United States</v>
      </c>
      <c r="I333" t="str">
        <f>INDEX(products!$A$1:$G$49,MATCH(orders!$D333,products!$A$1:$A$49,0),MATCH(orders!I$1,products!$A$1:$G$1,0))</f>
        <v>Rob</v>
      </c>
      <c r="J333" t="str">
        <f>INDEX(products!$A$1:$G$49,MATCH(orders!$D333,products!$A$1:$A$49,0),MATCH(orders!J$1,products!$A$1:$G$1,0))</f>
        <v>M</v>
      </c>
      <c r="K333" s="7">
        <f>INDEX(products!$A$1:$G$49,MATCH(orders!$D333,products!$A$1:$A$49,0),MATCH(orders!K$1,products!$A$1:$G$1,0))</f>
        <v>2.5</v>
      </c>
      <c r="L333" s="4">
        <f>INDEX(products!$A$1:$G$49,MATCH(orders!$D333,products!$A$1:$A$49,0),MATCH(orders!L$1,products!$A$1:$G$1,0))</f>
        <v>22.884999999999998</v>
      </c>
      <c r="M333" s="4">
        <f t="shared" si="5"/>
        <v>22.884999999999998</v>
      </c>
      <c r="N333" t="str" cm="1">
        <f t="array" ref="N333">_xlfn.IFS(I333="Rob","Robusta",I333="Exc","Excelsa",I333="Ara","Arabica",I333="Lib","Liberica")</f>
        <v>Robusta</v>
      </c>
      <c r="O333" t="str" cm="1">
        <f t="array" ref="O333">_xlfn.IFS(J333="M","Medium",J333="L","Large",J333="D","Dark")</f>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_xlfn.XLOOKUP(C334,customers!$A$1:$A$1001,customers!$B$1:$B$1001,,0)</f>
        <v>Quinn Parsons</v>
      </c>
      <c r="G334" s="2" t="str">
        <f>IF(_xlfn.XLOOKUP(C334,customers!$A$1:$A$1001,customers!$C$1:$C$1001,,0)=0,"",_xlfn.XLOOKUP(C334,customers!$A$1:$A$1001,customers!$C$1:$C$1001,,0))</f>
        <v>qparsons98@blogtalkradio.com</v>
      </c>
      <c r="H334" s="2" t="str">
        <f>_xlfn.XLOOKUP(C334,customers!$A$1:$A$1001,customers!$G$1:$G$1001,,0)</f>
        <v>United States</v>
      </c>
      <c r="I334" t="str">
        <f>INDEX(products!$A$1:$G$49,MATCH(orders!$D334,products!$A$1:$A$49,0),MATCH(orders!I$1,products!$A$1:$G$1,0))</f>
        <v>Ara</v>
      </c>
      <c r="J334" t="str">
        <f>INDEX(products!$A$1:$G$49,MATCH(orders!$D334,products!$A$1:$A$49,0),MATCH(orders!J$1,products!$A$1:$G$1,0))</f>
        <v>D</v>
      </c>
      <c r="K334" s="7">
        <f>INDEX(products!$A$1:$G$49,MATCH(orders!$D334,products!$A$1:$A$49,0),MATCH(orders!K$1,products!$A$1:$G$1,0))</f>
        <v>0.5</v>
      </c>
      <c r="L334" s="4">
        <f>INDEX(products!$A$1:$G$49,MATCH(orders!$D334,products!$A$1:$A$49,0),MATCH(orders!L$1,products!$A$1:$G$1,0))</f>
        <v>5.97</v>
      </c>
      <c r="M334" s="4">
        <f t="shared" si="5"/>
        <v>17.91</v>
      </c>
      <c r="N334" t="str" cm="1">
        <f t="array" ref="N334">_xlfn.IFS(I334="Rob","Robusta",I334="Exc","Excelsa",I334="Ara","Arabica",I334="Lib","Liberica")</f>
        <v>Arabica</v>
      </c>
      <c r="O334" t="str" cm="1">
        <f t="array" ref="O334">_xlfn.IFS(J334="M","Medium",J334="L","Large",J334="D","Dark")</f>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_xlfn.XLOOKUP(C335,customers!$A$1:$A$1001,customers!$B$1:$B$1001,,0)</f>
        <v>Vivyan Ceely</v>
      </c>
      <c r="G335" s="2" t="str">
        <f>IF(_xlfn.XLOOKUP(C335,customers!$A$1:$A$1001,customers!$C$1:$C$1001,,0)=0,"",_xlfn.XLOOKUP(C335,customers!$A$1:$A$1001,customers!$C$1:$C$1001,,0))</f>
        <v>vceely99@auda.org.au</v>
      </c>
      <c r="H335" s="2" t="str">
        <f>_xlfn.XLOOKUP(C335,customers!$A$1:$A$1001,customers!$G$1:$G$1001,,0)</f>
        <v>United States</v>
      </c>
      <c r="I335" t="str">
        <f>INDEX(products!$A$1:$G$49,MATCH(orders!$D335,products!$A$1:$A$49,0),MATCH(orders!I$1,products!$A$1:$G$1,0))</f>
        <v>Rob</v>
      </c>
      <c r="J335" t="str">
        <f>INDEX(products!$A$1:$G$49,MATCH(orders!$D335,products!$A$1:$A$49,0),MATCH(orders!J$1,products!$A$1:$G$1,0))</f>
        <v>M</v>
      </c>
      <c r="K335" s="7">
        <f>INDEX(products!$A$1:$G$49,MATCH(orders!$D335,products!$A$1:$A$49,0),MATCH(orders!K$1,products!$A$1:$G$1,0))</f>
        <v>0.5</v>
      </c>
      <c r="L335" s="4">
        <f>INDEX(products!$A$1:$G$49,MATCH(orders!$D335,products!$A$1:$A$49,0),MATCH(orders!L$1,products!$A$1:$G$1,0))</f>
        <v>5.97</v>
      </c>
      <c r="M335" s="4">
        <f t="shared" si="5"/>
        <v>23.88</v>
      </c>
      <c r="N335" t="str" cm="1">
        <f t="array" ref="N335">_xlfn.IFS(I335="Rob","Robusta",I335="Exc","Excelsa",I335="Ara","Arabica",I335="Lib","Liberica")</f>
        <v>Robusta</v>
      </c>
      <c r="O335" t="str" cm="1">
        <f t="array" ref="O335">_xlfn.IFS(J335="M","Medium",J335="L","Large",J335="D","Dark")</f>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_xlfn.XLOOKUP(C336,customers!$A$1:$A$1001,customers!$B$1:$B$1001,,0)</f>
        <v>Elonore Goodings</v>
      </c>
      <c r="G336" s="2" t="str">
        <f>IF(_xlfn.XLOOKUP(C336,customers!$A$1:$A$1001,customers!$C$1:$C$1001,,0)=0,"",_xlfn.XLOOKUP(C336,customers!$A$1:$A$1001,customers!$C$1:$C$1001,,0))</f>
        <v/>
      </c>
      <c r="H336" s="2" t="str">
        <f>_xlfn.XLOOKUP(C336,customers!$A$1:$A$1001,customers!$G$1:$G$1001,,0)</f>
        <v>United States</v>
      </c>
      <c r="I336" t="str">
        <f>INDEX(products!$A$1:$G$49,MATCH(orders!$D336,products!$A$1:$A$49,0),MATCH(orders!I$1,products!$A$1:$G$1,0))</f>
        <v>Rob</v>
      </c>
      <c r="J336" t="str">
        <f>INDEX(products!$A$1:$G$49,MATCH(orders!$D336,products!$A$1:$A$49,0),MATCH(orders!J$1,products!$A$1:$G$1,0))</f>
        <v>L</v>
      </c>
      <c r="K336" s="7">
        <f>INDEX(products!$A$1:$G$49,MATCH(orders!$D336,products!$A$1:$A$49,0),MATCH(orders!K$1,products!$A$1:$G$1,0))</f>
        <v>1</v>
      </c>
      <c r="L336" s="4">
        <f>INDEX(products!$A$1:$G$49,MATCH(orders!$D336,products!$A$1:$A$49,0),MATCH(orders!L$1,products!$A$1:$G$1,0))</f>
        <v>11.95</v>
      </c>
      <c r="M336" s="4">
        <f t="shared" si="5"/>
        <v>59.75</v>
      </c>
      <c r="N336" t="str" cm="1">
        <f t="array" ref="N336">_xlfn.IFS(I336="Rob","Robusta",I336="Exc","Excelsa",I336="Ara","Arabica",I336="Lib","Liberica")</f>
        <v>Robusta</v>
      </c>
      <c r="O336" t="str" cm="1">
        <f t="array" ref="O336">_xlfn.IFS(J336="M","Medium",J336="L","Large",J336="D","Dark")</f>
        <v>Large</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_xlfn.XLOOKUP(C337,customers!$A$1:$A$1001,customers!$B$1:$B$1001,,0)</f>
        <v>Clement Vasiliev</v>
      </c>
      <c r="G337" s="2" t="str">
        <f>IF(_xlfn.XLOOKUP(C337,customers!$A$1:$A$1001,customers!$C$1:$C$1001,,0)=0,"",_xlfn.XLOOKUP(C337,customers!$A$1:$A$1001,customers!$C$1:$C$1001,,0))</f>
        <v>cvasiliev9b@discuz.net</v>
      </c>
      <c r="H337" s="2" t="str">
        <f>_xlfn.XLOOKUP(C337,customers!$A$1:$A$1001,customers!$G$1:$G$1001,,0)</f>
        <v>United States</v>
      </c>
      <c r="I337" t="str">
        <f>INDEX(products!$A$1:$G$49,MATCH(orders!$D337,products!$A$1:$A$49,0),MATCH(orders!I$1,products!$A$1:$G$1,0))</f>
        <v>Lib</v>
      </c>
      <c r="J337" t="str">
        <f>INDEX(products!$A$1:$G$49,MATCH(orders!$D337,products!$A$1:$A$49,0),MATCH(orders!J$1,products!$A$1:$G$1,0))</f>
        <v>L</v>
      </c>
      <c r="K337" s="7">
        <f>INDEX(products!$A$1:$G$49,MATCH(orders!$D337,products!$A$1:$A$49,0),MATCH(orders!K$1,products!$A$1:$G$1,0))</f>
        <v>0.2</v>
      </c>
      <c r="L337" s="4">
        <f>INDEX(products!$A$1:$G$49,MATCH(orders!$D337,products!$A$1:$A$49,0),MATCH(orders!L$1,products!$A$1:$G$1,0))</f>
        <v>4.7549999999999999</v>
      </c>
      <c r="M337" s="4">
        <f t="shared" si="5"/>
        <v>28.53</v>
      </c>
      <c r="N337" t="str" cm="1">
        <f t="array" ref="N337">_xlfn.IFS(I337="Rob","Robusta",I337="Exc","Excelsa",I337="Ara","Arabica",I337="Lib","Liberica")</f>
        <v>Liberica</v>
      </c>
      <c r="O337" t="str" cm="1">
        <f t="array" ref="O337">_xlfn.IFS(J337="M","Medium",J337="L","Large",J337="D","Dark")</f>
        <v>Large</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_xlfn.XLOOKUP(C338,customers!$A$1:$A$1001,customers!$B$1:$B$1001,,0)</f>
        <v>Terencio O'Moylan</v>
      </c>
      <c r="G338" s="2" t="str">
        <f>IF(_xlfn.XLOOKUP(C338,customers!$A$1:$A$1001,customers!$C$1:$C$1001,,0)=0,"",_xlfn.XLOOKUP(C338,customers!$A$1:$A$1001,customers!$C$1:$C$1001,,0))</f>
        <v>tomoylan9c@liveinternet.ru</v>
      </c>
      <c r="H338" s="2" t="str">
        <f>_xlfn.XLOOKUP(C338,customers!$A$1:$A$1001,customers!$G$1:$G$1001,,0)</f>
        <v>United Kingdom</v>
      </c>
      <c r="I338" t="str">
        <f>INDEX(products!$A$1:$G$49,MATCH(orders!$D338,products!$A$1:$A$49,0),MATCH(orders!I$1,products!$A$1:$G$1,0))</f>
        <v>Ara</v>
      </c>
      <c r="J338" t="str">
        <f>INDEX(products!$A$1:$G$49,MATCH(orders!$D338,products!$A$1:$A$49,0),MATCH(orders!J$1,products!$A$1:$G$1,0))</f>
        <v>M</v>
      </c>
      <c r="K338" s="7">
        <f>INDEX(products!$A$1:$G$49,MATCH(orders!$D338,products!$A$1:$A$49,0),MATCH(orders!K$1,products!$A$1:$G$1,0))</f>
        <v>1</v>
      </c>
      <c r="L338" s="4">
        <f>INDEX(products!$A$1:$G$49,MATCH(orders!$D338,products!$A$1:$A$49,0),MATCH(orders!L$1,products!$A$1:$G$1,0))</f>
        <v>11.25</v>
      </c>
      <c r="M338" s="4">
        <f t="shared" si="5"/>
        <v>45</v>
      </c>
      <c r="N338" t="str" cm="1">
        <f t="array" ref="N338">_xlfn.IFS(I338="Rob","Robusta",I338="Exc","Excelsa",I338="Ara","Arabica",I338="Lib","Liberica")</f>
        <v>Arabica</v>
      </c>
      <c r="O338" t="str" cm="1">
        <f t="array" ref="O338">_xlfn.IFS(J338="M","Medium",J338="L","Large",J338="D","Dark")</f>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_xlfn.XLOOKUP(C339,customers!$A$1:$A$1001,customers!$B$1:$B$1001,,0)</f>
        <v>Flynn Antony</v>
      </c>
      <c r="G339" s="2" t="str">
        <f>IF(_xlfn.XLOOKUP(C339,customers!$A$1:$A$1001,customers!$C$1:$C$1001,,0)=0,"",_xlfn.XLOOKUP(C339,customers!$A$1:$A$1001,customers!$C$1:$C$1001,,0))</f>
        <v/>
      </c>
      <c r="H339" s="2" t="str">
        <f>_xlfn.XLOOKUP(C339,customers!$A$1:$A$1001,customers!$G$1:$G$1001,,0)</f>
        <v>United States</v>
      </c>
      <c r="I339" t="str">
        <f>INDEX(products!$A$1:$G$49,MATCH(orders!$D339,products!$A$1:$A$49,0),MATCH(orders!I$1,products!$A$1:$G$1,0))</f>
        <v>Exc</v>
      </c>
      <c r="J339" t="str">
        <f>INDEX(products!$A$1:$G$49,MATCH(orders!$D339,products!$A$1:$A$49,0),MATCH(orders!J$1,products!$A$1:$G$1,0))</f>
        <v>D</v>
      </c>
      <c r="K339" s="7">
        <f>INDEX(products!$A$1:$G$49,MATCH(orders!$D339,products!$A$1:$A$49,0),MATCH(orders!K$1,products!$A$1:$G$1,0))</f>
        <v>2.5</v>
      </c>
      <c r="L339" s="4">
        <f>INDEX(products!$A$1:$G$49,MATCH(orders!$D339,products!$A$1:$A$49,0),MATCH(orders!L$1,products!$A$1:$G$1,0))</f>
        <v>27.945</v>
      </c>
      <c r="M339" s="4">
        <f t="shared" si="5"/>
        <v>55.89</v>
      </c>
      <c r="N339" t="str" cm="1">
        <f t="array" ref="N339">_xlfn.IFS(I339="Rob","Robusta",I339="Exc","Excelsa",I339="Ara","Arabica",I339="Lib","Liberica")</f>
        <v>Excelsa</v>
      </c>
      <c r="O339" t="str" cm="1">
        <f t="array" ref="O339">_xlfn.IFS(J339="M","Medium",J339="L","Large",J339="D","Dark")</f>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_xlfn.XLOOKUP(C340,customers!$A$1:$A$1001,customers!$B$1:$B$1001,,0)</f>
        <v>Wyatan Fetherston</v>
      </c>
      <c r="G340" s="2" t="str">
        <f>IF(_xlfn.XLOOKUP(C340,customers!$A$1:$A$1001,customers!$C$1:$C$1001,,0)=0,"",_xlfn.XLOOKUP(C340,customers!$A$1:$A$1001,customers!$C$1:$C$1001,,0))</f>
        <v>wfetherston9e@constantcontact.com</v>
      </c>
      <c r="H340" s="2" t="str">
        <f>_xlfn.XLOOKUP(C340,customers!$A$1:$A$1001,customers!$G$1:$G$1001,,0)</f>
        <v>United States</v>
      </c>
      <c r="I340" t="str">
        <f>INDEX(products!$A$1:$G$49,MATCH(orders!$D340,products!$A$1:$A$49,0),MATCH(orders!I$1,products!$A$1:$G$1,0))</f>
        <v>Exc</v>
      </c>
      <c r="J340" t="str">
        <f>INDEX(products!$A$1:$G$49,MATCH(orders!$D340,products!$A$1:$A$49,0),MATCH(orders!J$1,products!$A$1:$G$1,0))</f>
        <v>L</v>
      </c>
      <c r="K340" s="7">
        <f>INDEX(products!$A$1:$G$49,MATCH(orders!$D340,products!$A$1:$A$49,0),MATCH(orders!K$1,products!$A$1:$G$1,0))</f>
        <v>1</v>
      </c>
      <c r="L340" s="4">
        <f>INDEX(products!$A$1:$G$49,MATCH(orders!$D340,products!$A$1:$A$49,0),MATCH(orders!L$1,products!$A$1:$G$1,0))</f>
        <v>14.85</v>
      </c>
      <c r="M340" s="4">
        <f t="shared" si="5"/>
        <v>59.4</v>
      </c>
      <c r="N340" t="str" cm="1">
        <f t="array" ref="N340">_xlfn.IFS(I340="Rob","Robusta",I340="Exc","Excelsa",I340="Ara","Arabica",I340="Lib","Liberica")</f>
        <v>Excelsa</v>
      </c>
      <c r="O340" t="str" cm="1">
        <f t="array" ref="O340">_xlfn.IFS(J340="M","Medium",J340="L","Large",J340="D","Dark")</f>
        <v>Large</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_xlfn.XLOOKUP(C341,customers!$A$1:$A$1001,customers!$B$1:$B$1001,,0)</f>
        <v>Emmaline Rasmus</v>
      </c>
      <c r="G341" s="2" t="str">
        <f>IF(_xlfn.XLOOKUP(C341,customers!$A$1:$A$1001,customers!$C$1:$C$1001,,0)=0,"",_xlfn.XLOOKUP(C341,customers!$A$1:$A$1001,customers!$C$1:$C$1001,,0))</f>
        <v>erasmus9f@techcrunch.com</v>
      </c>
      <c r="H341" s="2" t="str">
        <f>_xlfn.XLOOKUP(C341,customers!$A$1:$A$1001,customers!$G$1:$G$1001,,0)</f>
        <v>United States</v>
      </c>
      <c r="I341" t="str">
        <f>INDEX(products!$A$1:$G$49,MATCH(orders!$D341,products!$A$1:$A$49,0),MATCH(orders!I$1,products!$A$1:$G$1,0))</f>
        <v>Exc</v>
      </c>
      <c r="J341" t="str">
        <f>INDEX(products!$A$1:$G$49,MATCH(orders!$D341,products!$A$1:$A$49,0),MATCH(orders!J$1,products!$A$1:$G$1,0))</f>
        <v>D</v>
      </c>
      <c r="K341" s="7">
        <f>INDEX(products!$A$1:$G$49,MATCH(orders!$D341,products!$A$1:$A$49,0),MATCH(orders!K$1,products!$A$1:$G$1,0))</f>
        <v>0.2</v>
      </c>
      <c r="L341" s="4">
        <f>INDEX(products!$A$1:$G$49,MATCH(orders!$D341,products!$A$1:$A$49,0),MATCH(orders!L$1,products!$A$1:$G$1,0))</f>
        <v>3.645</v>
      </c>
      <c r="M341" s="4">
        <f t="shared" si="5"/>
        <v>7.29</v>
      </c>
      <c r="N341" t="str" cm="1">
        <f t="array" ref="N341">_xlfn.IFS(I341="Rob","Robusta",I341="Exc","Excelsa",I341="Ara","Arabica",I341="Lib","Liberica")</f>
        <v>Excelsa</v>
      </c>
      <c r="O341" t="str" cm="1">
        <f t="array" ref="O341">_xlfn.IFS(J341="M","Medium",J341="L","Large",J341="D","Dark")</f>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_xlfn.XLOOKUP(C342,customers!$A$1:$A$1001,customers!$B$1:$B$1001,,0)</f>
        <v>Wesley Giorgioni</v>
      </c>
      <c r="G342" s="2" t="str">
        <f>IF(_xlfn.XLOOKUP(C342,customers!$A$1:$A$1001,customers!$C$1:$C$1001,,0)=0,"",_xlfn.XLOOKUP(C342,customers!$A$1:$A$1001,customers!$C$1:$C$1001,,0))</f>
        <v>wgiorgioni9g@wikipedia.org</v>
      </c>
      <c r="H342" s="2" t="str">
        <f>_xlfn.XLOOKUP(C342,customers!$A$1:$A$1001,customers!$G$1:$G$1001,,0)</f>
        <v>United States</v>
      </c>
      <c r="I342" t="str">
        <f>INDEX(products!$A$1:$G$49,MATCH(orders!$D342,products!$A$1:$A$49,0),MATCH(orders!I$1,products!$A$1:$G$1,0))</f>
        <v>Exc</v>
      </c>
      <c r="J342" t="str">
        <f>INDEX(products!$A$1:$G$49,MATCH(orders!$D342,products!$A$1:$A$49,0),MATCH(orders!J$1,products!$A$1:$G$1,0))</f>
        <v>D</v>
      </c>
      <c r="K342" s="7">
        <f>INDEX(products!$A$1:$G$49,MATCH(orders!$D342,products!$A$1:$A$49,0),MATCH(orders!K$1,products!$A$1:$G$1,0))</f>
        <v>0.5</v>
      </c>
      <c r="L342" s="4">
        <f>INDEX(products!$A$1:$G$49,MATCH(orders!$D342,products!$A$1:$A$49,0),MATCH(orders!L$1,products!$A$1:$G$1,0))</f>
        <v>7.29</v>
      </c>
      <c r="M342" s="4">
        <f t="shared" si="5"/>
        <v>7.29</v>
      </c>
      <c r="N342" t="str" cm="1">
        <f t="array" ref="N342">_xlfn.IFS(I342="Rob","Robusta",I342="Exc","Excelsa",I342="Ara","Arabica",I342="Lib","Liberica")</f>
        <v>Excelsa</v>
      </c>
      <c r="O342" t="str" cm="1">
        <f t="array" ref="O342">_xlfn.IFS(J342="M","Medium",J342="L","Large",J342="D","Dark")</f>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_xlfn.XLOOKUP(C343,customers!$A$1:$A$1001,customers!$B$1:$B$1001,,0)</f>
        <v>Lucienne Scargle</v>
      </c>
      <c r="G343" s="2" t="str">
        <f>IF(_xlfn.XLOOKUP(C343,customers!$A$1:$A$1001,customers!$C$1:$C$1001,,0)=0,"",_xlfn.XLOOKUP(C343,customers!$A$1:$A$1001,customers!$C$1:$C$1001,,0))</f>
        <v>lscargle9h@myspace.com</v>
      </c>
      <c r="H343" s="2" t="str">
        <f>_xlfn.XLOOKUP(C343,customers!$A$1:$A$1001,customers!$G$1:$G$1001,,0)</f>
        <v>United States</v>
      </c>
      <c r="I343" t="str">
        <f>INDEX(products!$A$1:$G$49,MATCH(orders!$D343,products!$A$1:$A$49,0),MATCH(orders!I$1,products!$A$1:$G$1,0))</f>
        <v>Exc</v>
      </c>
      <c r="J343" t="str">
        <f>INDEX(products!$A$1:$G$49,MATCH(orders!$D343,products!$A$1:$A$49,0),MATCH(orders!J$1,products!$A$1:$G$1,0))</f>
        <v>L</v>
      </c>
      <c r="K343" s="7">
        <f>INDEX(products!$A$1:$G$49,MATCH(orders!$D343,products!$A$1:$A$49,0),MATCH(orders!K$1,products!$A$1:$G$1,0))</f>
        <v>0.5</v>
      </c>
      <c r="L343" s="4">
        <f>INDEX(products!$A$1:$G$49,MATCH(orders!$D343,products!$A$1:$A$49,0),MATCH(orders!L$1,products!$A$1:$G$1,0))</f>
        <v>8.91</v>
      </c>
      <c r="M343" s="4">
        <f t="shared" si="5"/>
        <v>17.82</v>
      </c>
      <c r="N343" t="str" cm="1">
        <f t="array" ref="N343">_xlfn.IFS(I343="Rob","Robusta",I343="Exc","Excelsa",I343="Ara","Arabica",I343="Lib","Liberica")</f>
        <v>Excelsa</v>
      </c>
      <c r="O343" t="str" cm="1">
        <f t="array" ref="O343">_xlfn.IFS(J343="M","Medium",J343="L","Large",J343="D","Dark")</f>
        <v>Large</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_xlfn.XLOOKUP(C344,customers!$A$1:$A$1001,customers!$B$1:$B$1001,,0)</f>
        <v>Lucienne Scargle</v>
      </c>
      <c r="G344" s="2" t="str">
        <f>IF(_xlfn.XLOOKUP(C344,customers!$A$1:$A$1001,customers!$C$1:$C$1001,,0)=0,"",_xlfn.XLOOKUP(C344,customers!$A$1:$A$1001,customers!$C$1:$C$1001,,0))</f>
        <v>lscargle9h@myspace.com</v>
      </c>
      <c r="H344" s="2" t="str">
        <f>_xlfn.XLOOKUP(C344,customers!$A$1:$A$1001,customers!$G$1:$G$1001,,0)</f>
        <v>United States</v>
      </c>
      <c r="I344" t="str">
        <f>INDEX(products!$A$1:$G$49,MATCH(orders!$D344,products!$A$1:$A$49,0),MATCH(orders!I$1,products!$A$1:$G$1,0))</f>
        <v>Lib</v>
      </c>
      <c r="J344" t="str">
        <f>INDEX(products!$A$1:$G$49,MATCH(orders!$D344,products!$A$1:$A$49,0),MATCH(orders!J$1,products!$A$1:$G$1,0))</f>
        <v>D</v>
      </c>
      <c r="K344" s="7">
        <f>INDEX(products!$A$1:$G$49,MATCH(orders!$D344,products!$A$1:$A$49,0),MATCH(orders!K$1,products!$A$1:$G$1,0))</f>
        <v>0.5</v>
      </c>
      <c r="L344" s="4">
        <f>INDEX(products!$A$1:$G$49,MATCH(orders!$D344,products!$A$1:$A$49,0),MATCH(orders!L$1,products!$A$1:$G$1,0))</f>
        <v>7.77</v>
      </c>
      <c r="M344" s="4">
        <f t="shared" si="5"/>
        <v>38.849999999999994</v>
      </c>
      <c r="N344" t="str" cm="1">
        <f t="array" ref="N344">_xlfn.IFS(I344="Rob","Robusta",I344="Exc","Excelsa",I344="Ara","Arabica",I344="Lib","Liberica")</f>
        <v>Liberica</v>
      </c>
      <c r="O344" t="str" cm="1">
        <f t="array" ref="O344">_xlfn.IFS(J344="M","Medium",J344="L","Large",J344="D","Dark")</f>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_xlfn.XLOOKUP(C345,customers!$A$1:$A$1001,customers!$B$1:$B$1001,,0)</f>
        <v>Noam Climance</v>
      </c>
      <c r="G345" s="2" t="str">
        <f>IF(_xlfn.XLOOKUP(C345,customers!$A$1:$A$1001,customers!$C$1:$C$1001,,0)=0,"",_xlfn.XLOOKUP(C345,customers!$A$1:$A$1001,customers!$C$1:$C$1001,,0))</f>
        <v>nclimance9j@europa.eu</v>
      </c>
      <c r="H345" s="2" t="str">
        <f>_xlfn.XLOOKUP(C345,customers!$A$1:$A$1001,customers!$G$1:$G$1001,,0)</f>
        <v>United States</v>
      </c>
      <c r="I345" t="str">
        <f>INDEX(products!$A$1:$G$49,MATCH(orders!$D345,products!$A$1:$A$49,0),MATCH(orders!I$1,products!$A$1:$G$1,0))</f>
        <v>Rob</v>
      </c>
      <c r="J345" t="str">
        <f>INDEX(products!$A$1:$G$49,MATCH(orders!$D345,products!$A$1:$A$49,0),MATCH(orders!J$1,products!$A$1:$G$1,0))</f>
        <v>D</v>
      </c>
      <c r="K345" s="7">
        <f>INDEX(products!$A$1:$G$49,MATCH(orders!$D345,products!$A$1:$A$49,0),MATCH(orders!K$1,products!$A$1:$G$1,0))</f>
        <v>0.5</v>
      </c>
      <c r="L345" s="4">
        <f>INDEX(products!$A$1:$G$49,MATCH(orders!$D345,products!$A$1:$A$49,0),MATCH(orders!L$1,products!$A$1:$G$1,0))</f>
        <v>5.3699999999999992</v>
      </c>
      <c r="M345" s="4">
        <f t="shared" si="5"/>
        <v>32.22</v>
      </c>
      <c r="N345" t="str" cm="1">
        <f t="array" ref="N345">_xlfn.IFS(I345="Rob","Robusta",I345="Exc","Excelsa",I345="Ara","Arabica",I345="Lib","Liberica")</f>
        <v>Robusta</v>
      </c>
      <c r="O345" t="str" cm="1">
        <f t="array" ref="O345">_xlfn.IFS(J345="M","Medium",J345="L","Large",J345="D","Dark")</f>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_xlfn.XLOOKUP(C346,customers!$A$1:$A$1001,customers!$B$1:$B$1001,,0)</f>
        <v>Catarina Donn</v>
      </c>
      <c r="G346" s="2" t="str">
        <f>IF(_xlfn.XLOOKUP(C346,customers!$A$1:$A$1001,customers!$C$1:$C$1001,,0)=0,"",_xlfn.XLOOKUP(C346,customers!$A$1:$A$1001,customers!$C$1:$C$1001,,0))</f>
        <v/>
      </c>
      <c r="H346" s="2" t="str">
        <f>_xlfn.XLOOKUP(C346,customers!$A$1:$A$1001,customers!$G$1:$G$1001,,0)</f>
        <v>Ireland</v>
      </c>
      <c r="I346" t="str">
        <f>INDEX(products!$A$1:$G$49,MATCH(orders!$D346,products!$A$1:$A$49,0),MATCH(orders!I$1,products!$A$1:$G$1,0))</f>
        <v>Rob</v>
      </c>
      <c r="J346" t="str">
        <f>INDEX(products!$A$1:$G$49,MATCH(orders!$D346,products!$A$1:$A$49,0),MATCH(orders!J$1,products!$A$1:$G$1,0))</f>
        <v>M</v>
      </c>
      <c r="K346" s="7">
        <f>INDEX(products!$A$1:$G$49,MATCH(orders!$D346,products!$A$1:$A$49,0),MATCH(orders!K$1,products!$A$1:$G$1,0))</f>
        <v>1</v>
      </c>
      <c r="L346" s="4">
        <f>INDEX(products!$A$1:$G$49,MATCH(orders!$D346,products!$A$1:$A$49,0),MATCH(orders!L$1,products!$A$1:$G$1,0))</f>
        <v>9.9499999999999993</v>
      </c>
      <c r="M346" s="4">
        <f t="shared" si="5"/>
        <v>19.899999999999999</v>
      </c>
      <c r="N346" t="str" cm="1">
        <f t="array" ref="N346">_xlfn.IFS(I346="Rob","Robusta",I346="Exc","Excelsa",I346="Ara","Arabica",I346="Lib","Liberica")</f>
        <v>Robusta</v>
      </c>
      <c r="O346" t="str" cm="1">
        <f t="array" ref="O346">_xlfn.IFS(J346="M","Medium",J346="L","Large",J346="D","Dark")</f>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_xlfn.XLOOKUP(C347,customers!$A$1:$A$1001,customers!$B$1:$B$1001,,0)</f>
        <v>Ameline Snazle</v>
      </c>
      <c r="G347" s="2" t="str">
        <f>IF(_xlfn.XLOOKUP(C347,customers!$A$1:$A$1001,customers!$C$1:$C$1001,,0)=0,"",_xlfn.XLOOKUP(C347,customers!$A$1:$A$1001,customers!$C$1:$C$1001,,0))</f>
        <v>asnazle9l@oracle.com</v>
      </c>
      <c r="H347" s="2" t="str">
        <f>_xlfn.XLOOKUP(C347,customers!$A$1:$A$1001,customers!$G$1:$G$1001,,0)</f>
        <v>United States</v>
      </c>
      <c r="I347" t="str">
        <f>INDEX(products!$A$1:$G$49,MATCH(orders!$D347,products!$A$1:$A$49,0),MATCH(orders!I$1,products!$A$1:$G$1,0))</f>
        <v>Rob</v>
      </c>
      <c r="J347" t="str">
        <f>INDEX(products!$A$1:$G$49,MATCH(orders!$D347,products!$A$1:$A$49,0),MATCH(orders!J$1,products!$A$1:$G$1,0))</f>
        <v>L</v>
      </c>
      <c r="K347" s="7">
        <f>INDEX(products!$A$1:$G$49,MATCH(orders!$D347,products!$A$1:$A$49,0),MATCH(orders!K$1,products!$A$1:$G$1,0))</f>
        <v>1</v>
      </c>
      <c r="L347" s="4">
        <f>INDEX(products!$A$1:$G$49,MATCH(orders!$D347,products!$A$1:$A$49,0),MATCH(orders!L$1,products!$A$1:$G$1,0))</f>
        <v>11.95</v>
      </c>
      <c r="M347" s="4">
        <f t="shared" si="5"/>
        <v>59.75</v>
      </c>
      <c r="N347" t="str" cm="1">
        <f t="array" ref="N347">_xlfn.IFS(I347="Rob","Robusta",I347="Exc","Excelsa",I347="Ara","Arabica",I347="Lib","Liberica")</f>
        <v>Robusta</v>
      </c>
      <c r="O347" t="str" cm="1">
        <f t="array" ref="O347">_xlfn.IFS(J347="M","Medium",J347="L","Large",J347="D","Dark")</f>
        <v>Large</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_xlfn.XLOOKUP(C348,customers!$A$1:$A$1001,customers!$B$1:$B$1001,,0)</f>
        <v>Rebeka Worg</v>
      </c>
      <c r="G348" s="2" t="str">
        <f>IF(_xlfn.XLOOKUP(C348,customers!$A$1:$A$1001,customers!$C$1:$C$1001,,0)=0,"",_xlfn.XLOOKUP(C348,customers!$A$1:$A$1001,customers!$C$1:$C$1001,,0))</f>
        <v>rworg9m@arstechnica.com</v>
      </c>
      <c r="H348" s="2" t="str">
        <f>_xlfn.XLOOKUP(C348,customers!$A$1:$A$1001,customers!$G$1:$G$1001,,0)</f>
        <v>United States</v>
      </c>
      <c r="I348" t="str">
        <f>INDEX(products!$A$1:$G$49,MATCH(orders!$D348,products!$A$1:$A$49,0),MATCH(orders!I$1,products!$A$1:$G$1,0))</f>
        <v>Ara</v>
      </c>
      <c r="J348" t="str">
        <f>INDEX(products!$A$1:$G$49,MATCH(orders!$D348,products!$A$1:$A$49,0),MATCH(orders!J$1,products!$A$1:$G$1,0))</f>
        <v>L</v>
      </c>
      <c r="K348" s="7">
        <f>INDEX(products!$A$1:$G$49,MATCH(orders!$D348,products!$A$1:$A$49,0),MATCH(orders!K$1,products!$A$1:$G$1,0))</f>
        <v>0.5</v>
      </c>
      <c r="L348" s="4">
        <f>INDEX(products!$A$1:$G$49,MATCH(orders!$D348,products!$A$1:$A$49,0),MATCH(orders!L$1,products!$A$1:$G$1,0))</f>
        <v>7.77</v>
      </c>
      <c r="M348" s="4">
        <f t="shared" si="5"/>
        <v>23.31</v>
      </c>
      <c r="N348" t="str" cm="1">
        <f t="array" ref="N348">_xlfn.IFS(I348="Rob","Robusta",I348="Exc","Excelsa",I348="Ara","Arabica",I348="Lib","Liberica")</f>
        <v>Arabica</v>
      </c>
      <c r="O348" t="str" cm="1">
        <f t="array" ref="O348">_xlfn.IFS(J348="M","Medium",J348="L","Large",J348="D","Dark")</f>
        <v>Large</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_xlfn.XLOOKUP(C349,customers!$A$1:$A$1001,customers!$B$1:$B$1001,,0)</f>
        <v>Lewes Danes</v>
      </c>
      <c r="G349" s="2" t="str">
        <f>IF(_xlfn.XLOOKUP(C349,customers!$A$1:$A$1001,customers!$C$1:$C$1001,,0)=0,"",_xlfn.XLOOKUP(C349,customers!$A$1:$A$1001,customers!$C$1:$C$1001,,0))</f>
        <v>ldanes9n@umn.edu</v>
      </c>
      <c r="H349" s="2" t="str">
        <f>_xlfn.XLOOKUP(C349,customers!$A$1:$A$1001,customers!$G$1:$G$1001,,0)</f>
        <v>United States</v>
      </c>
      <c r="I349" t="str">
        <f>INDEX(products!$A$1:$G$49,MATCH(orders!$D349,products!$A$1:$A$49,0),MATCH(orders!I$1,products!$A$1:$G$1,0))</f>
        <v>Lib</v>
      </c>
      <c r="J349" t="str">
        <f>INDEX(products!$A$1:$G$49,MATCH(orders!$D349,products!$A$1:$A$49,0),MATCH(orders!J$1,products!$A$1:$G$1,0))</f>
        <v>M</v>
      </c>
      <c r="K349" s="7">
        <f>INDEX(products!$A$1:$G$49,MATCH(orders!$D349,products!$A$1:$A$49,0),MATCH(orders!K$1,products!$A$1:$G$1,0))</f>
        <v>1</v>
      </c>
      <c r="L349" s="4">
        <f>INDEX(products!$A$1:$G$49,MATCH(orders!$D349,products!$A$1:$A$49,0),MATCH(orders!L$1,products!$A$1:$G$1,0))</f>
        <v>14.55</v>
      </c>
      <c r="M349" s="4">
        <f t="shared" si="5"/>
        <v>43.650000000000006</v>
      </c>
      <c r="N349" t="str" cm="1">
        <f t="array" ref="N349">_xlfn.IFS(I349="Rob","Robusta",I349="Exc","Excelsa",I349="Ara","Arabica",I349="Lib","Liberica")</f>
        <v>Liberica</v>
      </c>
      <c r="O349" t="str" cm="1">
        <f t="array" ref="O349">_xlfn.IFS(J349="M","Medium",J349="L","Large",J349="D","Dark")</f>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_xlfn.XLOOKUP(C350,customers!$A$1:$A$1001,customers!$B$1:$B$1001,,0)</f>
        <v>Shelli Keynd</v>
      </c>
      <c r="G350" s="2" t="str">
        <f>IF(_xlfn.XLOOKUP(C350,customers!$A$1:$A$1001,customers!$C$1:$C$1001,,0)=0,"",_xlfn.XLOOKUP(C350,customers!$A$1:$A$1001,customers!$C$1:$C$1001,,0))</f>
        <v>skeynd9o@narod.ru</v>
      </c>
      <c r="H350" s="2" t="str">
        <f>_xlfn.XLOOKUP(C350,customers!$A$1:$A$1001,customers!$G$1:$G$1001,,0)</f>
        <v>United States</v>
      </c>
      <c r="I350" t="str">
        <f>INDEX(products!$A$1:$G$49,MATCH(orders!$D350,products!$A$1:$A$49,0),MATCH(orders!I$1,products!$A$1:$G$1,0))</f>
        <v>Exc</v>
      </c>
      <c r="J350" t="str">
        <f>INDEX(products!$A$1:$G$49,MATCH(orders!$D350,products!$A$1:$A$49,0),MATCH(orders!J$1,products!$A$1:$G$1,0))</f>
        <v>L</v>
      </c>
      <c r="K350" s="7">
        <f>INDEX(products!$A$1:$G$49,MATCH(orders!$D350,products!$A$1:$A$49,0),MATCH(orders!K$1,products!$A$1:$G$1,0))</f>
        <v>2.5</v>
      </c>
      <c r="L350" s="4">
        <f>INDEX(products!$A$1:$G$49,MATCH(orders!$D350,products!$A$1:$A$49,0),MATCH(orders!L$1,products!$A$1:$G$1,0))</f>
        <v>34.154999999999994</v>
      </c>
      <c r="M350" s="4">
        <f t="shared" si="5"/>
        <v>204.92999999999995</v>
      </c>
      <c r="N350" t="str" cm="1">
        <f t="array" ref="N350">_xlfn.IFS(I350="Rob","Robusta",I350="Exc","Excelsa",I350="Ara","Arabica",I350="Lib","Liberica")</f>
        <v>Excelsa</v>
      </c>
      <c r="O350" t="str" cm="1">
        <f t="array" ref="O350">_xlfn.IFS(J350="M","Medium",J350="L","Large",J350="D","Dark")</f>
        <v>Large</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_xlfn.XLOOKUP(C351,customers!$A$1:$A$1001,customers!$B$1:$B$1001,,0)</f>
        <v>Dell Daveridge</v>
      </c>
      <c r="G351" s="2" t="str">
        <f>IF(_xlfn.XLOOKUP(C351,customers!$A$1:$A$1001,customers!$C$1:$C$1001,,0)=0,"",_xlfn.XLOOKUP(C351,customers!$A$1:$A$1001,customers!$C$1:$C$1001,,0))</f>
        <v>ddaveridge9p@arstechnica.com</v>
      </c>
      <c r="H351" s="2" t="str">
        <f>_xlfn.XLOOKUP(C351,customers!$A$1:$A$1001,customers!$G$1:$G$1001,,0)</f>
        <v>United States</v>
      </c>
      <c r="I351" t="str">
        <f>INDEX(products!$A$1:$G$49,MATCH(orders!$D351,products!$A$1:$A$49,0),MATCH(orders!I$1,products!$A$1:$G$1,0))</f>
        <v>Rob</v>
      </c>
      <c r="J351" t="str">
        <f>INDEX(products!$A$1:$G$49,MATCH(orders!$D351,products!$A$1:$A$49,0),MATCH(orders!J$1,products!$A$1:$G$1,0))</f>
        <v>L</v>
      </c>
      <c r="K351" s="7">
        <f>INDEX(products!$A$1:$G$49,MATCH(orders!$D351,products!$A$1:$A$49,0),MATCH(orders!K$1,products!$A$1:$G$1,0))</f>
        <v>0.2</v>
      </c>
      <c r="L351" s="4">
        <f>INDEX(products!$A$1:$G$49,MATCH(orders!$D351,products!$A$1:$A$49,0),MATCH(orders!L$1,products!$A$1:$G$1,0))</f>
        <v>3.5849999999999995</v>
      </c>
      <c r="M351" s="4">
        <f t="shared" si="5"/>
        <v>14.339999999999998</v>
      </c>
      <c r="N351" t="str" cm="1">
        <f t="array" ref="N351">_xlfn.IFS(I351="Rob","Robusta",I351="Exc","Excelsa",I351="Ara","Arabica",I351="Lib","Liberica")</f>
        <v>Robusta</v>
      </c>
      <c r="O351" t="str" cm="1">
        <f t="array" ref="O351">_xlfn.IFS(J351="M","Medium",J351="L","Large",J351="D","Dark")</f>
        <v>Large</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_xlfn.XLOOKUP(C352,customers!$A$1:$A$1001,customers!$B$1:$B$1001,,0)</f>
        <v>Joshuah Awdry</v>
      </c>
      <c r="G352" s="2" t="str">
        <f>IF(_xlfn.XLOOKUP(C352,customers!$A$1:$A$1001,customers!$C$1:$C$1001,,0)=0,"",_xlfn.XLOOKUP(C352,customers!$A$1:$A$1001,customers!$C$1:$C$1001,,0))</f>
        <v>jawdry9q@utexas.edu</v>
      </c>
      <c r="H352" s="2" t="str">
        <f>_xlfn.XLOOKUP(C352,customers!$A$1:$A$1001,customers!$G$1:$G$1001,,0)</f>
        <v>United States</v>
      </c>
      <c r="I352" t="str">
        <f>INDEX(products!$A$1:$G$49,MATCH(orders!$D352,products!$A$1:$A$49,0),MATCH(orders!I$1,products!$A$1:$G$1,0))</f>
        <v>Ara</v>
      </c>
      <c r="J352" t="str">
        <f>INDEX(products!$A$1:$G$49,MATCH(orders!$D352,products!$A$1:$A$49,0),MATCH(orders!J$1,products!$A$1:$G$1,0))</f>
        <v>D</v>
      </c>
      <c r="K352" s="7">
        <f>INDEX(products!$A$1:$G$49,MATCH(orders!$D352,products!$A$1:$A$49,0),MATCH(orders!K$1,products!$A$1:$G$1,0))</f>
        <v>0.5</v>
      </c>
      <c r="L352" s="4">
        <f>INDEX(products!$A$1:$G$49,MATCH(orders!$D352,products!$A$1:$A$49,0),MATCH(orders!L$1,products!$A$1:$G$1,0))</f>
        <v>5.97</v>
      </c>
      <c r="M352" s="4">
        <f t="shared" si="5"/>
        <v>23.88</v>
      </c>
      <c r="N352" t="str" cm="1">
        <f t="array" ref="N352">_xlfn.IFS(I352="Rob","Robusta",I352="Exc","Excelsa",I352="Ara","Arabica",I352="Lib","Liberica")</f>
        <v>Arabica</v>
      </c>
      <c r="O352" t="str" cm="1">
        <f t="array" ref="O352">_xlfn.IFS(J352="M","Medium",J352="L","Large",J352="D","Dark")</f>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_xlfn.XLOOKUP(C353,customers!$A$1:$A$1001,customers!$B$1:$B$1001,,0)</f>
        <v>Ethel Ryles</v>
      </c>
      <c r="G353" s="2" t="str">
        <f>IF(_xlfn.XLOOKUP(C353,customers!$A$1:$A$1001,customers!$C$1:$C$1001,,0)=0,"",_xlfn.XLOOKUP(C353,customers!$A$1:$A$1001,customers!$C$1:$C$1001,,0))</f>
        <v>eryles9r@fastcompany.com</v>
      </c>
      <c r="H353" s="2" t="str">
        <f>_xlfn.XLOOKUP(C353,customers!$A$1:$A$1001,customers!$G$1:$G$1001,,0)</f>
        <v>United States</v>
      </c>
      <c r="I353" t="str">
        <f>INDEX(products!$A$1:$G$49,MATCH(orders!$D353,products!$A$1:$A$49,0),MATCH(orders!I$1,products!$A$1:$G$1,0))</f>
        <v>Ara</v>
      </c>
      <c r="J353" t="str">
        <f>INDEX(products!$A$1:$G$49,MATCH(orders!$D353,products!$A$1:$A$49,0),MATCH(orders!J$1,products!$A$1:$G$1,0))</f>
        <v>M</v>
      </c>
      <c r="K353" s="7">
        <f>INDEX(products!$A$1:$G$49,MATCH(orders!$D353,products!$A$1:$A$49,0),MATCH(orders!K$1,products!$A$1:$G$1,0))</f>
        <v>1</v>
      </c>
      <c r="L353" s="4">
        <f>INDEX(products!$A$1:$G$49,MATCH(orders!$D353,products!$A$1:$A$49,0),MATCH(orders!L$1,products!$A$1:$G$1,0))</f>
        <v>11.25</v>
      </c>
      <c r="M353" s="4">
        <f t="shared" si="5"/>
        <v>22.5</v>
      </c>
      <c r="N353" t="str" cm="1">
        <f t="array" ref="N353">_xlfn.IFS(I353="Rob","Robusta",I353="Exc","Excelsa",I353="Ara","Arabica",I353="Lib","Liberica")</f>
        <v>Arabica</v>
      </c>
      <c r="O353" t="str" cm="1">
        <f t="array" ref="O353">_xlfn.IFS(J353="M","Medium",J353="L","Large",J353="D","Dark")</f>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_xlfn.XLOOKUP(C354,customers!$A$1:$A$1001,customers!$B$1:$B$1001,,0)</f>
        <v>Flynn Antony</v>
      </c>
      <c r="G354" s="2" t="str">
        <f>IF(_xlfn.XLOOKUP(C354,customers!$A$1:$A$1001,customers!$C$1:$C$1001,,0)=0,"",_xlfn.XLOOKUP(C354,customers!$A$1:$A$1001,customers!$C$1:$C$1001,,0))</f>
        <v/>
      </c>
      <c r="H354" s="2" t="str">
        <f>_xlfn.XLOOKUP(C354,customers!$A$1:$A$1001,customers!$G$1:$G$1001,,0)</f>
        <v>United States</v>
      </c>
      <c r="I354" t="str">
        <f>INDEX(products!$A$1:$G$49,MATCH(orders!$D354,products!$A$1:$A$49,0),MATCH(orders!I$1,products!$A$1:$G$1,0))</f>
        <v>Exc</v>
      </c>
      <c r="J354" t="str">
        <f>INDEX(products!$A$1:$G$49,MATCH(orders!$D354,products!$A$1:$A$49,0),MATCH(orders!J$1,products!$A$1:$G$1,0))</f>
        <v>D</v>
      </c>
      <c r="K354" s="7">
        <f>INDEX(products!$A$1:$G$49,MATCH(orders!$D354,products!$A$1:$A$49,0),MATCH(orders!K$1,products!$A$1:$G$1,0))</f>
        <v>0.5</v>
      </c>
      <c r="L354" s="4">
        <f>INDEX(products!$A$1:$G$49,MATCH(orders!$D354,products!$A$1:$A$49,0),MATCH(orders!L$1,products!$A$1:$G$1,0))</f>
        <v>7.29</v>
      </c>
      <c r="M354" s="4">
        <f t="shared" si="5"/>
        <v>36.450000000000003</v>
      </c>
      <c r="N354" t="str" cm="1">
        <f t="array" ref="N354">_xlfn.IFS(I354="Rob","Robusta",I354="Exc","Excelsa",I354="Ara","Arabica",I354="Lib","Liberica")</f>
        <v>Excelsa</v>
      </c>
      <c r="O354" t="str" cm="1">
        <f t="array" ref="O354">_xlfn.IFS(J354="M","Medium",J354="L","Large",J354="D","Dark")</f>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_xlfn.XLOOKUP(C355,customers!$A$1:$A$1001,customers!$B$1:$B$1001,,0)</f>
        <v>Maitilde Boxill</v>
      </c>
      <c r="G355" s="2" t="str">
        <f>IF(_xlfn.XLOOKUP(C355,customers!$A$1:$A$1001,customers!$C$1:$C$1001,,0)=0,"",_xlfn.XLOOKUP(C355,customers!$A$1:$A$1001,customers!$C$1:$C$1001,,0))</f>
        <v/>
      </c>
      <c r="H355" s="2" t="str">
        <f>_xlfn.XLOOKUP(C355,customers!$A$1:$A$1001,customers!$G$1:$G$1001,,0)</f>
        <v>United States</v>
      </c>
      <c r="I355" t="str">
        <f>INDEX(products!$A$1:$G$49,MATCH(orders!$D355,products!$A$1:$A$49,0),MATCH(orders!I$1,products!$A$1:$G$1,0))</f>
        <v>Ara</v>
      </c>
      <c r="J355" t="str">
        <f>INDEX(products!$A$1:$G$49,MATCH(orders!$D355,products!$A$1:$A$49,0),MATCH(orders!J$1,products!$A$1:$G$1,0))</f>
        <v>M</v>
      </c>
      <c r="K355" s="7">
        <f>INDEX(products!$A$1:$G$49,MATCH(orders!$D355,products!$A$1:$A$49,0),MATCH(orders!K$1,products!$A$1:$G$1,0))</f>
        <v>0.5</v>
      </c>
      <c r="L355" s="4">
        <f>INDEX(products!$A$1:$G$49,MATCH(orders!$D355,products!$A$1:$A$49,0),MATCH(orders!L$1,products!$A$1:$G$1,0))</f>
        <v>6.75</v>
      </c>
      <c r="M355" s="4">
        <f t="shared" si="5"/>
        <v>27</v>
      </c>
      <c r="N355" t="str" cm="1">
        <f t="array" ref="N355">_xlfn.IFS(I355="Rob","Robusta",I355="Exc","Excelsa",I355="Ara","Arabica",I355="Lib","Liberica")</f>
        <v>Arabica</v>
      </c>
      <c r="O355" t="str" cm="1">
        <f t="array" ref="O355">_xlfn.IFS(J355="M","Medium",J355="L","Large",J355="D","Dark")</f>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_xlfn.XLOOKUP(C356,customers!$A$1:$A$1001,customers!$B$1:$B$1001,,0)</f>
        <v>Jodee Caldicott</v>
      </c>
      <c r="G356" s="2" t="str">
        <f>IF(_xlfn.XLOOKUP(C356,customers!$A$1:$A$1001,customers!$C$1:$C$1001,,0)=0,"",_xlfn.XLOOKUP(C356,customers!$A$1:$A$1001,customers!$C$1:$C$1001,,0))</f>
        <v>jcaldicott9u@usda.gov</v>
      </c>
      <c r="H356" s="2" t="str">
        <f>_xlfn.XLOOKUP(C356,customers!$A$1:$A$1001,customers!$G$1:$G$1001,,0)</f>
        <v>United States</v>
      </c>
      <c r="I356" t="str">
        <f>INDEX(products!$A$1:$G$49,MATCH(orders!$D356,products!$A$1:$A$49,0),MATCH(orders!I$1,products!$A$1:$G$1,0))</f>
        <v>Ara</v>
      </c>
      <c r="J356" t="str">
        <f>INDEX(products!$A$1:$G$49,MATCH(orders!$D356,products!$A$1:$A$49,0),MATCH(orders!J$1,products!$A$1:$G$1,0))</f>
        <v>M</v>
      </c>
      <c r="K356" s="7">
        <f>INDEX(products!$A$1:$G$49,MATCH(orders!$D356,products!$A$1:$A$49,0),MATCH(orders!K$1,products!$A$1:$G$1,0))</f>
        <v>2.5</v>
      </c>
      <c r="L356" s="4">
        <f>INDEX(products!$A$1:$G$49,MATCH(orders!$D356,products!$A$1:$A$49,0),MATCH(orders!L$1,products!$A$1:$G$1,0))</f>
        <v>25.874999999999996</v>
      </c>
      <c r="M356" s="4">
        <f t="shared" si="5"/>
        <v>155.24999999999997</v>
      </c>
      <c r="N356" t="str" cm="1">
        <f t="array" ref="N356">_xlfn.IFS(I356="Rob","Robusta",I356="Exc","Excelsa",I356="Ara","Arabica",I356="Lib","Liberica")</f>
        <v>Arabica</v>
      </c>
      <c r="O356" t="str" cm="1">
        <f t="array" ref="O356">_xlfn.IFS(J356="M","Medium",J356="L","Large",J356="D","Dark")</f>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_xlfn.XLOOKUP(C357,customers!$A$1:$A$1001,customers!$B$1:$B$1001,,0)</f>
        <v>Marianna Vedmore</v>
      </c>
      <c r="G357" s="2" t="str">
        <f>IF(_xlfn.XLOOKUP(C357,customers!$A$1:$A$1001,customers!$C$1:$C$1001,,0)=0,"",_xlfn.XLOOKUP(C357,customers!$A$1:$A$1001,customers!$C$1:$C$1001,,0))</f>
        <v>mvedmore9v@a8.net</v>
      </c>
      <c r="H357" s="2" t="str">
        <f>_xlfn.XLOOKUP(C357,customers!$A$1:$A$1001,customers!$G$1:$G$1001,,0)</f>
        <v>United States</v>
      </c>
      <c r="I357" t="str">
        <f>INDEX(products!$A$1:$G$49,MATCH(orders!$D357,products!$A$1:$A$49,0),MATCH(orders!I$1,products!$A$1:$G$1,0))</f>
        <v>Ara</v>
      </c>
      <c r="J357" t="str">
        <f>INDEX(products!$A$1:$G$49,MATCH(orders!$D357,products!$A$1:$A$49,0),MATCH(orders!J$1,products!$A$1:$G$1,0))</f>
        <v>D</v>
      </c>
      <c r="K357" s="7">
        <f>INDEX(products!$A$1:$G$49,MATCH(orders!$D357,products!$A$1:$A$49,0),MATCH(orders!K$1,products!$A$1:$G$1,0))</f>
        <v>2.5</v>
      </c>
      <c r="L357" s="4">
        <f>INDEX(products!$A$1:$G$49,MATCH(orders!$D357,products!$A$1:$A$49,0),MATCH(orders!L$1,products!$A$1:$G$1,0))</f>
        <v>22.884999999999998</v>
      </c>
      <c r="M357" s="4">
        <f t="shared" si="5"/>
        <v>114.42499999999998</v>
      </c>
      <c r="N357" t="str" cm="1">
        <f t="array" ref="N357">_xlfn.IFS(I357="Rob","Robusta",I357="Exc","Excelsa",I357="Ara","Arabica",I357="Lib","Liberica")</f>
        <v>Arabica</v>
      </c>
      <c r="O357" t="str" cm="1">
        <f t="array" ref="O357">_xlfn.IFS(J357="M","Medium",J357="L","Large",J357="D","Dark")</f>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_xlfn.XLOOKUP(C358,customers!$A$1:$A$1001,customers!$B$1:$B$1001,,0)</f>
        <v>Willey Romao</v>
      </c>
      <c r="G358" s="2" t="str">
        <f>IF(_xlfn.XLOOKUP(C358,customers!$A$1:$A$1001,customers!$C$1:$C$1001,,0)=0,"",_xlfn.XLOOKUP(C358,customers!$A$1:$A$1001,customers!$C$1:$C$1001,,0))</f>
        <v>wromao9w@chronoengine.com</v>
      </c>
      <c r="H358" s="2" t="str">
        <f>_xlfn.XLOOKUP(C358,customers!$A$1:$A$1001,customers!$G$1:$G$1001,,0)</f>
        <v>United States</v>
      </c>
      <c r="I358" t="str">
        <f>INDEX(products!$A$1:$G$49,MATCH(orders!$D358,products!$A$1:$A$49,0),MATCH(orders!I$1,products!$A$1:$G$1,0))</f>
        <v>Lib</v>
      </c>
      <c r="J358" t="str">
        <f>INDEX(products!$A$1:$G$49,MATCH(orders!$D358,products!$A$1:$A$49,0),MATCH(orders!J$1,products!$A$1:$G$1,0))</f>
        <v>D</v>
      </c>
      <c r="K358" s="7">
        <f>INDEX(products!$A$1:$G$49,MATCH(orders!$D358,products!$A$1:$A$49,0),MATCH(orders!K$1,products!$A$1:$G$1,0))</f>
        <v>1</v>
      </c>
      <c r="L358" s="4">
        <f>INDEX(products!$A$1:$G$49,MATCH(orders!$D358,products!$A$1:$A$49,0),MATCH(orders!L$1,products!$A$1:$G$1,0))</f>
        <v>12.95</v>
      </c>
      <c r="M358" s="4">
        <f t="shared" si="5"/>
        <v>51.8</v>
      </c>
      <c r="N358" t="str" cm="1">
        <f t="array" ref="N358">_xlfn.IFS(I358="Rob","Robusta",I358="Exc","Excelsa",I358="Ara","Arabica",I358="Lib","Liberica")</f>
        <v>Liberica</v>
      </c>
      <c r="O358" t="str" cm="1">
        <f t="array" ref="O358">_xlfn.IFS(J358="M","Medium",J358="L","Large",J358="D","Dark")</f>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_xlfn.XLOOKUP(C359,customers!$A$1:$A$1001,customers!$B$1:$B$1001,,0)</f>
        <v>Enriqueta Ixor</v>
      </c>
      <c r="G359" s="2" t="str">
        <f>IF(_xlfn.XLOOKUP(C359,customers!$A$1:$A$1001,customers!$C$1:$C$1001,,0)=0,"",_xlfn.XLOOKUP(C359,customers!$A$1:$A$1001,customers!$C$1:$C$1001,,0))</f>
        <v/>
      </c>
      <c r="H359" s="2" t="str">
        <f>_xlfn.XLOOKUP(C359,customers!$A$1:$A$1001,customers!$G$1:$G$1001,,0)</f>
        <v>United States</v>
      </c>
      <c r="I359" t="str">
        <f>INDEX(products!$A$1:$G$49,MATCH(orders!$D359,products!$A$1:$A$49,0),MATCH(orders!I$1,products!$A$1:$G$1,0))</f>
        <v>Ara</v>
      </c>
      <c r="J359" t="str">
        <f>INDEX(products!$A$1:$G$49,MATCH(orders!$D359,products!$A$1:$A$49,0),MATCH(orders!J$1,products!$A$1:$G$1,0))</f>
        <v>M</v>
      </c>
      <c r="K359" s="7">
        <f>INDEX(products!$A$1:$G$49,MATCH(orders!$D359,products!$A$1:$A$49,0),MATCH(orders!K$1,products!$A$1:$G$1,0))</f>
        <v>2.5</v>
      </c>
      <c r="L359" s="4">
        <f>INDEX(products!$A$1:$G$49,MATCH(orders!$D359,products!$A$1:$A$49,0),MATCH(orders!L$1,products!$A$1:$G$1,0))</f>
        <v>25.874999999999996</v>
      </c>
      <c r="M359" s="4">
        <f t="shared" si="5"/>
        <v>155.24999999999997</v>
      </c>
      <c r="N359" t="str" cm="1">
        <f t="array" ref="N359">_xlfn.IFS(I359="Rob","Robusta",I359="Exc","Excelsa",I359="Ara","Arabica",I359="Lib","Liberica")</f>
        <v>Arabica</v>
      </c>
      <c r="O359" t="str" cm="1">
        <f t="array" ref="O359">_xlfn.IFS(J359="M","Medium",J359="L","Large",J359="D","Dark")</f>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_xlfn.XLOOKUP(C360,customers!$A$1:$A$1001,customers!$B$1:$B$1001,,0)</f>
        <v>Tomasina Cotmore</v>
      </c>
      <c r="G360" s="2" t="str">
        <f>IF(_xlfn.XLOOKUP(C360,customers!$A$1:$A$1001,customers!$C$1:$C$1001,,0)=0,"",_xlfn.XLOOKUP(C360,customers!$A$1:$A$1001,customers!$C$1:$C$1001,,0))</f>
        <v>tcotmore9y@amazonaws.com</v>
      </c>
      <c r="H360" s="2" t="str">
        <f>_xlfn.XLOOKUP(C360,customers!$A$1:$A$1001,customers!$G$1:$G$1001,,0)</f>
        <v>United States</v>
      </c>
      <c r="I360" t="str">
        <f>INDEX(products!$A$1:$G$49,MATCH(orders!$D360,products!$A$1:$A$49,0),MATCH(orders!I$1,products!$A$1:$G$1,0))</f>
        <v>Ara</v>
      </c>
      <c r="J360" t="str">
        <f>INDEX(products!$A$1:$G$49,MATCH(orders!$D360,products!$A$1:$A$49,0),MATCH(orders!J$1,products!$A$1:$G$1,0))</f>
        <v>L</v>
      </c>
      <c r="K360" s="7">
        <f>INDEX(products!$A$1:$G$49,MATCH(orders!$D360,products!$A$1:$A$49,0),MATCH(orders!K$1,products!$A$1:$G$1,0))</f>
        <v>2.5</v>
      </c>
      <c r="L360" s="4">
        <f>INDEX(products!$A$1:$G$49,MATCH(orders!$D360,products!$A$1:$A$49,0),MATCH(orders!L$1,products!$A$1:$G$1,0))</f>
        <v>29.784999999999997</v>
      </c>
      <c r="M360" s="4">
        <f t="shared" si="5"/>
        <v>29.784999999999997</v>
      </c>
      <c r="N360" t="str" cm="1">
        <f t="array" ref="N360">_xlfn.IFS(I360="Rob","Robusta",I360="Exc","Excelsa",I360="Ara","Arabica",I360="Lib","Liberica")</f>
        <v>Arabica</v>
      </c>
      <c r="O360" t="str" cm="1">
        <f t="array" ref="O360">_xlfn.IFS(J360="M","Medium",J360="L","Large",J360="D","Dark")</f>
        <v>Large</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_xlfn.XLOOKUP(C361,customers!$A$1:$A$1001,customers!$B$1:$B$1001,,0)</f>
        <v>Yuma Skipsey</v>
      </c>
      <c r="G361" s="2" t="str">
        <f>IF(_xlfn.XLOOKUP(C361,customers!$A$1:$A$1001,customers!$C$1:$C$1001,,0)=0,"",_xlfn.XLOOKUP(C361,customers!$A$1:$A$1001,customers!$C$1:$C$1001,,0))</f>
        <v>yskipsey9z@spotify.com</v>
      </c>
      <c r="H361" s="2" t="str">
        <f>_xlfn.XLOOKUP(C361,customers!$A$1:$A$1001,customers!$G$1:$G$1001,,0)</f>
        <v>United Kingdom</v>
      </c>
      <c r="I361" t="str">
        <f>INDEX(products!$A$1:$G$49,MATCH(orders!$D361,products!$A$1:$A$49,0),MATCH(orders!I$1,products!$A$1:$G$1,0))</f>
        <v>Rob</v>
      </c>
      <c r="J361" t="str">
        <f>INDEX(products!$A$1:$G$49,MATCH(orders!$D361,products!$A$1:$A$49,0),MATCH(orders!J$1,products!$A$1:$G$1,0))</f>
        <v>L</v>
      </c>
      <c r="K361" s="7">
        <f>INDEX(products!$A$1:$G$49,MATCH(orders!$D361,products!$A$1:$A$49,0),MATCH(orders!K$1,products!$A$1:$G$1,0))</f>
        <v>0.2</v>
      </c>
      <c r="L361" s="4">
        <f>INDEX(products!$A$1:$G$49,MATCH(orders!$D361,products!$A$1:$A$49,0),MATCH(orders!L$1,products!$A$1:$G$1,0))</f>
        <v>3.5849999999999995</v>
      </c>
      <c r="M361" s="4">
        <f t="shared" si="5"/>
        <v>21.509999999999998</v>
      </c>
      <c r="N361" t="str" cm="1">
        <f t="array" ref="N361">_xlfn.IFS(I361="Rob","Robusta",I361="Exc","Excelsa",I361="Ara","Arabica",I361="Lib","Liberica")</f>
        <v>Robusta</v>
      </c>
      <c r="O361" t="str" cm="1">
        <f t="array" ref="O361">_xlfn.IFS(J361="M","Medium",J361="L","Large",J361="D","Dark")</f>
        <v>Large</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_xlfn.XLOOKUP(C362,customers!$A$1:$A$1001,customers!$B$1:$B$1001,,0)</f>
        <v>Nicko Corps</v>
      </c>
      <c r="G362" s="2" t="str">
        <f>IF(_xlfn.XLOOKUP(C362,customers!$A$1:$A$1001,customers!$C$1:$C$1001,,0)=0,"",_xlfn.XLOOKUP(C362,customers!$A$1:$A$1001,customers!$C$1:$C$1001,,0))</f>
        <v>ncorpsa0@gmpg.org</v>
      </c>
      <c r="H362" s="2" t="str">
        <f>_xlfn.XLOOKUP(C362,customers!$A$1:$A$1001,customers!$G$1:$G$1001,,0)</f>
        <v>United States</v>
      </c>
      <c r="I362" t="str">
        <f>INDEX(products!$A$1:$G$49,MATCH(orders!$D362,products!$A$1:$A$49,0),MATCH(orders!I$1,products!$A$1:$G$1,0))</f>
        <v>Rob</v>
      </c>
      <c r="J362" t="str">
        <f>INDEX(products!$A$1:$G$49,MATCH(orders!$D362,products!$A$1:$A$49,0),MATCH(orders!J$1,products!$A$1:$G$1,0))</f>
        <v>D</v>
      </c>
      <c r="K362" s="7">
        <f>INDEX(products!$A$1:$G$49,MATCH(orders!$D362,products!$A$1:$A$49,0),MATCH(orders!K$1,products!$A$1:$G$1,0))</f>
        <v>2.5</v>
      </c>
      <c r="L362" s="4">
        <f>INDEX(products!$A$1:$G$49,MATCH(orders!$D362,products!$A$1:$A$49,0),MATCH(orders!L$1,products!$A$1:$G$1,0))</f>
        <v>20.584999999999997</v>
      </c>
      <c r="M362" s="4">
        <f t="shared" si="5"/>
        <v>41.169999999999995</v>
      </c>
      <c r="N362" t="str" cm="1">
        <f t="array" ref="N362">_xlfn.IFS(I362="Rob","Robusta",I362="Exc","Excelsa",I362="Ara","Arabica",I362="Lib","Liberica")</f>
        <v>Robusta</v>
      </c>
      <c r="O362" t="str" cm="1">
        <f t="array" ref="O362">_xlfn.IFS(J362="M","Medium",J362="L","Large",J362="D","Dark")</f>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_xlfn.XLOOKUP(C363,customers!$A$1:$A$1001,customers!$B$1:$B$1001,,0)</f>
        <v>Nicko Corps</v>
      </c>
      <c r="G363" s="2" t="str">
        <f>IF(_xlfn.XLOOKUP(C363,customers!$A$1:$A$1001,customers!$C$1:$C$1001,,0)=0,"",_xlfn.XLOOKUP(C363,customers!$A$1:$A$1001,customers!$C$1:$C$1001,,0))</f>
        <v>ncorpsa0@gmpg.org</v>
      </c>
      <c r="H363" s="2" t="str">
        <f>_xlfn.XLOOKUP(C363,customers!$A$1:$A$1001,customers!$G$1:$G$1001,,0)</f>
        <v>United States</v>
      </c>
      <c r="I363" t="str">
        <f>INDEX(products!$A$1:$G$49,MATCH(orders!$D363,products!$A$1:$A$49,0),MATCH(orders!I$1,products!$A$1:$G$1,0))</f>
        <v>Rob</v>
      </c>
      <c r="J363" t="str">
        <f>INDEX(products!$A$1:$G$49,MATCH(orders!$D363,products!$A$1:$A$49,0),MATCH(orders!J$1,products!$A$1:$G$1,0))</f>
        <v>M</v>
      </c>
      <c r="K363" s="7">
        <f>INDEX(products!$A$1:$G$49,MATCH(orders!$D363,products!$A$1:$A$49,0),MATCH(orders!K$1,products!$A$1:$G$1,0))</f>
        <v>0.5</v>
      </c>
      <c r="L363" s="4">
        <f>INDEX(products!$A$1:$G$49,MATCH(orders!$D363,products!$A$1:$A$49,0),MATCH(orders!L$1,products!$A$1:$G$1,0))</f>
        <v>5.97</v>
      </c>
      <c r="M363" s="4">
        <f t="shared" si="5"/>
        <v>5.97</v>
      </c>
      <c r="N363" t="str" cm="1">
        <f t="array" ref="N363">_xlfn.IFS(I363="Rob","Robusta",I363="Exc","Excelsa",I363="Ara","Arabica",I363="Lib","Liberica")</f>
        <v>Robusta</v>
      </c>
      <c r="O363" t="str" cm="1">
        <f t="array" ref="O363">_xlfn.IFS(J363="M","Medium",J363="L","Large",J363="D","Dark")</f>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_xlfn.XLOOKUP(C364,customers!$A$1:$A$1001,customers!$B$1:$B$1001,,0)</f>
        <v>Feliks Babber</v>
      </c>
      <c r="G364" s="2" t="str">
        <f>IF(_xlfn.XLOOKUP(C364,customers!$A$1:$A$1001,customers!$C$1:$C$1001,,0)=0,"",_xlfn.XLOOKUP(C364,customers!$A$1:$A$1001,customers!$C$1:$C$1001,,0))</f>
        <v>fbabbera2@stanford.edu</v>
      </c>
      <c r="H364" s="2" t="str">
        <f>_xlfn.XLOOKUP(C364,customers!$A$1:$A$1001,customers!$G$1:$G$1001,,0)</f>
        <v>United States</v>
      </c>
      <c r="I364" t="str">
        <f>INDEX(products!$A$1:$G$49,MATCH(orders!$D364,products!$A$1:$A$49,0),MATCH(orders!I$1,products!$A$1:$G$1,0))</f>
        <v>Exc</v>
      </c>
      <c r="J364" t="str">
        <f>INDEX(products!$A$1:$G$49,MATCH(orders!$D364,products!$A$1:$A$49,0),MATCH(orders!J$1,products!$A$1:$G$1,0))</f>
        <v>L</v>
      </c>
      <c r="K364" s="7">
        <f>INDEX(products!$A$1:$G$49,MATCH(orders!$D364,products!$A$1:$A$49,0),MATCH(orders!K$1,products!$A$1:$G$1,0))</f>
        <v>1</v>
      </c>
      <c r="L364" s="4">
        <f>INDEX(products!$A$1:$G$49,MATCH(orders!$D364,products!$A$1:$A$49,0),MATCH(orders!L$1,products!$A$1:$G$1,0))</f>
        <v>14.85</v>
      </c>
      <c r="M364" s="4">
        <f t="shared" si="5"/>
        <v>74.25</v>
      </c>
      <c r="N364" t="str" cm="1">
        <f t="array" ref="N364">_xlfn.IFS(I364="Rob","Robusta",I364="Exc","Excelsa",I364="Ara","Arabica",I364="Lib","Liberica")</f>
        <v>Excelsa</v>
      </c>
      <c r="O364" t="str" cm="1">
        <f t="array" ref="O364">_xlfn.IFS(J364="M","Medium",J364="L","Large",J364="D","Dark")</f>
        <v>Large</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_xlfn.XLOOKUP(C365,customers!$A$1:$A$1001,customers!$B$1:$B$1001,,0)</f>
        <v>Kaja Loxton</v>
      </c>
      <c r="G365" s="2" t="str">
        <f>IF(_xlfn.XLOOKUP(C365,customers!$A$1:$A$1001,customers!$C$1:$C$1001,,0)=0,"",_xlfn.XLOOKUP(C365,customers!$A$1:$A$1001,customers!$C$1:$C$1001,,0))</f>
        <v>kloxtona3@opensource.org</v>
      </c>
      <c r="H365" s="2" t="str">
        <f>_xlfn.XLOOKUP(C365,customers!$A$1:$A$1001,customers!$G$1:$G$1001,,0)</f>
        <v>United States</v>
      </c>
      <c r="I365" t="str">
        <f>INDEX(products!$A$1:$G$49,MATCH(orders!$D365,products!$A$1:$A$49,0),MATCH(orders!I$1,products!$A$1:$G$1,0))</f>
        <v>Lib</v>
      </c>
      <c r="J365" t="str">
        <f>INDEX(products!$A$1:$G$49,MATCH(orders!$D365,products!$A$1:$A$49,0),MATCH(orders!J$1,products!$A$1:$G$1,0))</f>
        <v>M</v>
      </c>
      <c r="K365" s="7">
        <f>INDEX(products!$A$1:$G$49,MATCH(orders!$D365,products!$A$1:$A$49,0),MATCH(orders!K$1,products!$A$1:$G$1,0))</f>
        <v>1</v>
      </c>
      <c r="L365" s="4">
        <f>INDEX(products!$A$1:$G$49,MATCH(orders!$D365,products!$A$1:$A$49,0),MATCH(orders!L$1,products!$A$1:$G$1,0))</f>
        <v>14.55</v>
      </c>
      <c r="M365" s="4">
        <f t="shared" si="5"/>
        <v>87.300000000000011</v>
      </c>
      <c r="N365" t="str" cm="1">
        <f t="array" ref="N365">_xlfn.IFS(I365="Rob","Robusta",I365="Exc","Excelsa",I365="Ara","Arabica",I365="Lib","Liberica")</f>
        <v>Liberica</v>
      </c>
      <c r="O365" t="str" cm="1">
        <f t="array" ref="O365">_xlfn.IFS(J365="M","Medium",J365="L","Large",J365="D","Dark")</f>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_xlfn.XLOOKUP(C366,customers!$A$1:$A$1001,customers!$B$1:$B$1001,,0)</f>
        <v>Parker Tofful</v>
      </c>
      <c r="G366" s="2" t="str">
        <f>IF(_xlfn.XLOOKUP(C366,customers!$A$1:$A$1001,customers!$C$1:$C$1001,,0)=0,"",_xlfn.XLOOKUP(C366,customers!$A$1:$A$1001,customers!$C$1:$C$1001,,0))</f>
        <v>ptoffula4@posterous.com</v>
      </c>
      <c r="H366" s="2" t="str">
        <f>_xlfn.XLOOKUP(C366,customers!$A$1:$A$1001,customers!$G$1:$G$1001,,0)</f>
        <v>United States</v>
      </c>
      <c r="I366" t="str">
        <f>INDEX(products!$A$1:$G$49,MATCH(orders!$D366,products!$A$1:$A$49,0),MATCH(orders!I$1,products!$A$1:$G$1,0))</f>
        <v>Exc</v>
      </c>
      <c r="J366" t="str">
        <f>INDEX(products!$A$1:$G$49,MATCH(orders!$D366,products!$A$1:$A$49,0),MATCH(orders!J$1,products!$A$1:$G$1,0))</f>
        <v>D</v>
      </c>
      <c r="K366" s="7">
        <f>INDEX(products!$A$1:$G$49,MATCH(orders!$D366,products!$A$1:$A$49,0),MATCH(orders!K$1,products!$A$1:$G$1,0))</f>
        <v>1</v>
      </c>
      <c r="L366" s="4">
        <f>INDEX(products!$A$1:$G$49,MATCH(orders!$D366,products!$A$1:$A$49,0),MATCH(orders!L$1,products!$A$1:$G$1,0))</f>
        <v>12.15</v>
      </c>
      <c r="M366" s="4">
        <f t="shared" si="5"/>
        <v>72.900000000000006</v>
      </c>
      <c r="N366" t="str" cm="1">
        <f t="array" ref="N366">_xlfn.IFS(I366="Rob","Robusta",I366="Exc","Excelsa",I366="Ara","Arabica",I366="Lib","Liberica")</f>
        <v>Excelsa</v>
      </c>
      <c r="O366" t="str" cm="1">
        <f t="array" ref="O366">_xlfn.IFS(J366="M","Medium",J366="L","Large",J366="D","Dark")</f>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_xlfn.XLOOKUP(C367,customers!$A$1:$A$1001,customers!$B$1:$B$1001,,0)</f>
        <v>Casi Gwinnett</v>
      </c>
      <c r="G367" s="2" t="str">
        <f>IF(_xlfn.XLOOKUP(C367,customers!$A$1:$A$1001,customers!$C$1:$C$1001,,0)=0,"",_xlfn.XLOOKUP(C367,customers!$A$1:$A$1001,customers!$C$1:$C$1001,,0))</f>
        <v>cgwinnetta5@behance.net</v>
      </c>
      <c r="H367" s="2" t="str">
        <f>_xlfn.XLOOKUP(C367,customers!$A$1:$A$1001,customers!$G$1:$G$1001,,0)</f>
        <v>United States</v>
      </c>
      <c r="I367" t="str">
        <f>INDEX(products!$A$1:$G$49,MATCH(orders!$D367,products!$A$1:$A$49,0),MATCH(orders!I$1,products!$A$1:$G$1,0))</f>
        <v>Lib</v>
      </c>
      <c r="J367" t="str">
        <f>INDEX(products!$A$1:$G$49,MATCH(orders!$D367,products!$A$1:$A$49,0),MATCH(orders!J$1,products!$A$1:$G$1,0))</f>
        <v>D</v>
      </c>
      <c r="K367" s="7">
        <f>INDEX(products!$A$1:$G$49,MATCH(orders!$D367,products!$A$1:$A$49,0),MATCH(orders!K$1,products!$A$1:$G$1,0))</f>
        <v>0.5</v>
      </c>
      <c r="L367" s="4">
        <f>INDEX(products!$A$1:$G$49,MATCH(orders!$D367,products!$A$1:$A$49,0),MATCH(orders!L$1,products!$A$1:$G$1,0))</f>
        <v>7.77</v>
      </c>
      <c r="M367" s="4">
        <f t="shared" si="5"/>
        <v>7.77</v>
      </c>
      <c r="N367" t="str" cm="1">
        <f t="array" ref="N367">_xlfn.IFS(I367="Rob","Robusta",I367="Exc","Excelsa",I367="Ara","Arabica",I367="Lib","Liberica")</f>
        <v>Liberica</v>
      </c>
      <c r="O367" t="str" cm="1">
        <f t="array" ref="O367">_xlfn.IFS(J367="M","Medium",J367="L","Large",J367="D","Dark")</f>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_xlfn.XLOOKUP(C368,customers!$A$1:$A$1001,customers!$B$1:$B$1001,,0)</f>
        <v>Saree Ellesworth</v>
      </c>
      <c r="G368" s="2" t="str">
        <f>IF(_xlfn.XLOOKUP(C368,customers!$A$1:$A$1001,customers!$C$1:$C$1001,,0)=0,"",_xlfn.XLOOKUP(C368,customers!$A$1:$A$1001,customers!$C$1:$C$1001,,0))</f>
        <v/>
      </c>
      <c r="H368" s="2" t="str">
        <f>_xlfn.XLOOKUP(C368,customers!$A$1:$A$1001,customers!$G$1:$G$1001,,0)</f>
        <v>United States</v>
      </c>
      <c r="I368" t="str">
        <f>INDEX(products!$A$1:$G$49,MATCH(orders!$D368,products!$A$1:$A$49,0),MATCH(orders!I$1,products!$A$1:$G$1,0))</f>
        <v>Exc</v>
      </c>
      <c r="J368" t="str">
        <f>INDEX(products!$A$1:$G$49,MATCH(orders!$D368,products!$A$1:$A$49,0),MATCH(orders!J$1,products!$A$1:$G$1,0))</f>
        <v>D</v>
      </c>
      <c r="K368" s="7">
        <f>INDEX(products!$A$1:$G$49,MATCH(orders!$D368,products!$A$1:$A$49,0),MATCH(orders!K$1,products!$A$1:$G$1,0))</f>
        <v>0.5</v>
      </c>
      <c r="L368" s="4">
        <f>INDEX(products!$A$1:$G$49,MATCH(orders!$D368,products!$A$1:$A$49,0),MATCH(orders!L$1,products!$A$1:$G$1,0))</f>
        <v>7.29</v>
      </c>
      <c r="M368" s="4">
        <f t="shared" si="5"/>
        <v>43.74</v>
      </c>
      <c r="N368" t="str" cm="1">
        <f t="array" ref="N368">_xlfn.IFS(I368="Rob","Robusta",I368="Exc","Excelsa",I368="Ara","Arabica",I368="Lib","Liberica")</f>
        <v>Excelsa</v>
      </c>
      <c r="O368" t="str" cm="1">
        <f t="array" ref="O368">_xlfn.IFS(J368="M","Medium",J368="L","Large",J368="D","Dark")</f>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_xlfn.XLOOKUP(C369,customers!$A$1:$A$1001,customers!$B$1:$B$1001,,0)</f>
        <v>Silvio Iorizzi</v>
      </c>
      <c r="G369" s="2" t="str">
        <f>IF(_xlfn.XLOOKUP(C369,customers!$A$1:$A$1001,customers!$C$1:$C$1001,,0)=0,"",_xlfn.XLOOKUP(C369,customers!$A$1:$A$1001,customers!$C$1:$C$1001,,0))</f>
        <v/>
      </c>
      <c r="H369" s="2" t="str">
        <f>_xlfn.XLOOKUP(C369,customers!$A$1:$A$1001,customers!$G$1:$G$1001,,0)</f>
        <v>United States</v>
      </c>
      <c r="I369" t="str">
        <f>INDEX(products!$A$1:$G$49,MATCH(orders!$D369,products!$A$1:$A$49,0),MATCH(orders!I$1,products!$A$1:$G$1,0))</f>
        <v>Lib</v>
      </c>
      <c r="J369" t="str">
        <f>INDEX(products!$A$1:$G$49,MATCH(orders!$D369,products!$A$1:$A$49,0),MATCH(orders!J$1,products!$A$1:$G$1,0))</f>
        <v>M</v>
      </c>
      <c r="K369" s="7">
        <f>INDEX(products!$A$1:$G$49,MATCH(orders!$D369,products!$A$1:$A$49,0),MATCH(orders!K$1,products!$A$1:$G$1,0))</f>
        <v>0.2</v>
      </c>
      <c r="L369" s="4">
        <f>INDEX(products!$A$1:$G$49,MATCH(orders!$D369,products!$A$1:$A$49,0),MATCH(orders!L$1,products!$A$1:$G$1,0))</f>
        <v>4.3650000000000002</v>
      </c>
      <c r="M369" s="4">
        <f t="shared" si="5"/>
        <v>8.73</v>
      </c>
      <c r="N369" t="str" cm="1">
        <f t="array" ref="N369">_xlfn.IFS(I369="Rob","Robusta",I369="Exc","Excelsa",I369="Ara","Arabica",I369="Lib","Liberica")</f>
        <v>Liberica</v>
      </c>
      <c r="O369" t="str" cm="1">
        <f t="array" ref="O369">_xlfn.IFS(J369="M","Medium",J369="L","Large",J369="D","Dark")</f>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_xlfn.XLOOKUP(C370,customers!$A$1:$A$1001,customers!$B$1:$B$1001,,0)</f>
        <v>Leesa Flaonier</v>
      </c>
      <c r="G370" s="2" t="str">
        <f>IF(_xlfn.XLOOKUP(C370,customers!$A$1:$A$1001,customers!$C$1:$C$1001,,0)=0,"",_xlfn.XLOOKUP(C370,customers!$A$1:$A$1001,customers!$C$1:$C$1001,,0))</f>
        <v>lflaoniera8@wordpress.org</v>
      </c>
      <c r="H370" s="2" t="str">
        <f>_xlfn.XLOOKUP(C370,customers!$A$1:$A$1001,customers!$G$1:$G$1001,,0)</f>
        <v>United States</v>
      </c>
      <c r="I370" t="str">
        <f>INDEX(products!$A$1:$G$49,MATCH(orders!$D370,products!$A$1:$A$49,0),MATCH(orders!I$1,products!$A$1:$G$1,0))</f>
        <v>Exc</v>
      </c>
      <c r="J370" t="str">
        <f>INDEX(products!$A$1:$G$49,MATCH(orders!$D370,products!$A$1:$A$49,0),MATCH(orders!J$1,products!$A$1:$G$1,0))</f>
        <v>M</v>
      </c>
      <c r="K370" s="7">
        <f>INDEX(products!$A$1:$G$49,MATCH(orders!$D370,products!$A$1:$A$49,0),MATCH(orders!K$1,products!$A$1:$G$1,0))</f>
        <v>2.5</v>
      </c>
      <c r="L370" s="4">
        <f>INDEX(products!$A$1:$G$49,MATCH(orders!$D370,products!$A$1:$A$49,0),MATCH(orders!L$1,products!$A$1:$G$1,0))</f>
        <v>31.624999999999996</v>
      </c>
      <c r="M370" s="4">
        <f t="shared" si="5"/>
        <v>63.249999999999993</v>
      </c>
      <c r="N370" t="str" cm="1">
        <f t="array" ref="N370">_xlfn.IFS(I370="Rob","Robusta",I370="Exc","Excelsa",I370="Ara","Arabica",I370="Lib","Liberica")</f>
        <v>Excelsa</v>
      </c>
      <c r="O370" t="str" cm="1">
        <f t="array" ref="O370">_xlfn.IFS(J370="M","Medium",J370="L","Large",J370="D","Dark")</f>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_xlfn.XLOOKUP(C371,customers!$A$1:$A$1001,customers!$B$1:$B$1001,,0)</f>
        <v>Abba Pummell</v>
      </c>
      <c r="G371" s="2" t="str">
        <f>IF(_xlfn.XLOOKUP(C371,customers!$A$1:$A$1001,customers!$C$1:$C$1001,,0)=0,"",_xlfn.XLOOKUP(C371,customers!$A$1:$A$1001,customers!$C$1:$C$1001,,0))</f>
        <v/>
      </c>
      <c r="H371" s="2" t="str">
        <f>_xlfn.XLOOKUP(C371,customers!$A$1:$A$1001,customers!$G$1:$G$1001,,0)</f>
        <v>United States</v>
      </c>
      <c r="I371" t="str">
        <f>INDEX(products!$A$1:$G$49,MATCH(orders!$D371,products!$A$1:$A$49,0),MATCH(orders!I$1,products!$A$1:$G$1,0))</f>
        <v>Exc</v>
      </c>
      <c r="J371" t="str">
        <f>INDEX(products!$A$1:$G$49,MATCH(orders!$D371,products!$A$1:$A$49,0),MATCH(orders!J$1,products!$A$1:$G$1,0))</f>
        <v>L</v>
      </c>
      <c r="K371" s="7">
        <f>INDEX(products!$A$1:$G$49,MATCH(orders!$D371,products!$A$1:$A$49,0),MATCH(orders!K$1,products!$A$1:$G$1,0))</f>
        <v>0.5</v>
      </c>
      <c r="L371" s="4">
        <f>INDEX(products!$A$1:$G$49,MATCH(orders!$D371,products!$A$1:$A$49,0),MATCH(orders!L$1,products!$A$1:$G$1,0))</f>
        <v>8.91</v>
      </c>
      <c r="M371" s="4">
        <f t="shared" si="5"/>
        <v>8.91</v>
      </c>
      <c r="N371" t="str" cm="1">
        <f t="array" ref="N371">_xlfn.IFS(I371="Rob","Robusta",I371="Exc","Excelsa",I371="Ara","Arabica",I371="Lib","Liberica")</f>
        <v>Excelsa</v>
      </c>
      <c r="O371" t="str" cm="1">
        <f t="array" ref="O371">_xlfn.IFS(J371="M","Medium",J371="L","Large",J371="D","Dark")</f>
        <v>Large</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_xlfn.XLOOKUP(C372,customers!$A$1:$A$1001,customers!$B$1:$B$1001,,0)</f>
        <v>Corinna Catcheside</v>
      </c>
      <c r="G372" s="2" t="str">
        <f>IF(_xlfn.XLOOKUP(C372,customers!$A$1:$A$1001,customers!$C$1:$C$1001,,0)=0,"",_xlfn.XLOOKUP(C372,customers!$A$1:$A$1001,customers!$C$1:$C$1001,,0))</f>
        <v>ccatchesideaa@macromedia.com</v>
      </c>
      <c r="H372" s="2" t="str">
        <f>_xlfn.XLOOKUP(C372,customers!$A$1:$A$1001,customers!$G$1:$G$1001,,0)</f>
        <v>United States</v>
      </c>
      <c r="I372" t="str">
        <f>INDEX(products!$A$1:$G$49,MATCH(orders!$D372,products!$A$1:$A$49,0),MATCH(orders!I$1,products!$A$1:$G$1,0))</f>
        <v>Exc</v>
      </c>
      <c r="J372" t="str">
        <f>INDEX(products!$A$1:$G$49,MATCH(orders!$D372,products!$A$1:$A$49,0),MATCH(orders!J$1,products!$A$1:$G$1,0))</f>
        <v>D</v>
      </c>
      <c r="K372" s="7">
        <f>INDEX(products!$A$1:$G$49,MATCH(orders!$D372,products!$A$1:$A$49,0),MATCH(orders!K$1,products!$A$1:$G$1,0))</f>
        <v>1</v>
      </c>
      <c r="L372" s="4">
        <f>INDEX(products!$A$1:$G$49,MATCH(orders!$D372,products!$A$1:$A$49,0),MATCH(orders!L$1,products!$A$1:$G$1,0))</f>
        <v>12.15</v>
      </c>
      <c r="M372" s="4">
        <f t="shared" si="5"/>
        <v>24.3</v>
      </c>
      <c r="N372" t="str" cm="1">
        <f t="array" ref="N372">_xlfn.IFS(I372="Rob","Robusta",I372="Exc","Excelsa",I372="Ara","Arabica",I372="Lib","Liberica")</f>
        <v>Excelsa</v>
      </c>
      <c r="O372" t="str" cm="1">
        <f t="array" ref="O372">_xlfn.IFS(J372="M","Medium",J372="L","Large",J372="D","Dark")</f>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_xlfn.XLOOKUP(C373,customers!$A$1:$A$1001,customers!$B$1:$B$1001,,0)</f>
        <v>Cortney Gibbonson</v>
      </c>
      <c r="G373" s="2" t="str">
        <f>IF(_xlfn.XLOOKUP(C373,customers!$A$1:$A$1001,customers!$C$1:$C$1001,,0)=0,"",_xlfn.XLOOKUP(C373,customers!$A$1:$A$1001,customers!$C$1:$C$1001,,0))</f>
        <v>cgibbonsonab@accuweather.com</v>
      </c>
      <c r="H373" s="2" t="str">
        <f>_xlfn.XLOOKUP(C373,customers!$A$1:$A$1001,customers!$G$1:$G$1001,,0)</f>
        <v>United States</v>
      </c>
      <c r="I373" t="str">
        <f>INDEX(products!$A$1:$G$49,MATCH(orders!$D373,products!$A$1:$A$49,0),MATCH(orders!I$1,products!$A$1:$G$1,0))</f>
        <v>Ara</v>
      </c>
      <c r="J373" t="str">
        <f>INDEX(products!$A$1:$G$49,MATCH(orders!$D373,products!$A$1:$A$49,0),MATCH(orders!J$1,products!$A$1:$G$1,0))</f>
        <v>L</v>
      </c>
      <c r="K373" s="7">
        <f>INDEX(products!$A$1:$G$49,MATCH(orders!$D373,products!$A$1:$A$49,0),MATCH(orders!K$1,products!$A$1:$G$1,0))</f>
        <v>0.5</v>
      </c>
      <c r="L373" s="4">
        <f>INDEX(products!$A$1:$G$49,MATCH(orders!$D373,products!$A$1:$A$49,0),MATCH(orders!L$1,products!$A$1:$G$1,0))</f>
        <v>7.77</v>
      </c>
      <c r="M373" s="4">
        <f t="shared" si="5"/>
        <v>46.62</v>
      </c>
      <c r="N373" t="str" cm="1">
        <f t="array" ref="N373">_xlfn.IFS(I373="Rob","Robusta",I373="Exc","Excelsa",I373="Ara","Arabica",I373="Lib","Liberica")</f>
        <v>Arabica</v>
      </c>
      <c r="O373" t="str" cm="1">
        <f t="array" ref="O373">_xlfn.IFS(J373="M","Medium",J373="L","Large",J373="D","Dark")</f>
        <v>Large</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_xlfn.XLOOKUP(C374,customers!$A$1:$A$1001,customers!$B$1:$B$1001,,0)</f>
        <v>Terri Farra</v>
      </c>
      <c r="G374" s="2" t="str">
        <f>IF(_xlfn.XLOOKUP(C374,customers!$A$1:$A$1001,customers!$C$1:$C$1001,,0)=0,"",_xlfn.XLOOKUP(C374,customers!$A$1:$A$1001,customers!$C$1:$C$1001,,0))</f>
        <v>tfarraac@behance.net</v>
      </c>
      <c r="H374" s="2" t="str">
        <f>_xlfn.XLOOKUP(C374,customers!$A$1:$A$1001,customers!$G$1:$G$1001,,0)</f>
        <v>United States</v>
      </c>
      <c r="I374" t="str">
        <f>INDEX(products!$A$1:$G$49,MATCH(orders!$D374,products!$A$1:$A$49,0),MATCH(orders!I$1,products!$A$1:$G$1,0))</f>
        <v>Rob</v>
      </c>
      <c r="J374" t="str">
        <f>INDEX(products!$A$1:$G$49,MATCH(orders!$D374,products!$A$1:$A$49,0),MATCH(orders!J$1,products!$A$1:$G$1,0))</f>
        <v>L</v>
      </c>
      <c r="K374" s="7">
        <f>INDEX(products!$A$1:$G$49,MATCH(orders!$D374,products!$A$1:$A$49,0),MATCH(orders!K$1,products!$A$1:$G$1,0))</f>
        <v>0.5</v>
      </c>
      <c r="L374" s="4">
        <f>INDEX(products!$A$1:$G$49,MATCH(orders!$D374,products!$A$1:$A$49,0),MATCH(orders!L$1,products!$A$1:$G$1,0))</f>
        <v>7.169999999999999</v>
      </c>
      <c r="M374" s="4">
        <f t="shared" si="5"/>
        <v>43.019999999999996</v>
      </c>
      <c r="N374" t="str" cm="1">
        <f t="array" ref="N374">_xlfn.IFS(I374="Rob","Robusta",I374="Exc","Excelsa",I374="Ara","Arabica",I374="Lib","Liberica")</f>
        <v>Robusta</v>
      </c>
      <c r="O374" t="str" cm="1">
        <f t="array" ref="O374">_xlfn.IFS(J374="M","Medium",J374="L","Large",J374="D","Dark")</f>
        <v>Large</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_xlfn.XLOOKUP(C375,customers!$A$1:$A$1001,customers!$B$1:$B$1001,,0)</f>
        <v>Corney Curme</v>
      </c>
      <c r="G375" s="2" t="str">
        <f>IF(_xlfn.XLOOKUP(C375,customers!$A$1:$A$1001,customers!$C$1:$C$1001,,0)=0,"",_xlfn.XLOOKUP(C375,customers!$A$1:$A$1001,customers!$C$1:$C$1001,,0))</f>
        <v/>
      </c>
      <c r="H375" s="2" t="str">
        <f>_xlfn.XLOOKUP(C375,customers!$A$1:$A$1001,customers!$G$1:$G$1001,,0)</f>
        <v>Ireland</v>
      </c>
      <c r="I375" t="str">
        <f>INDEX(products!$A$1:$G$49,MATCH(orders!$D375,products!$A$1:$A$49,0),MATCH(orders!I$1,products!$A$1:$G$1,0))</f>
        <v>Ara</v>
      </c>
      <c r="J375" t="str">
        <f>INDEX(products!$A$1:$G$49,MATCH(orders!$D375,products!$A$1:$A$49,0),MATCH(orders!J$1,products!$A$1:$G$1,0))</f>
        <v>D</v>
      </c>
      <c r="K375" s="7">
        <f>INDEX(products!$A$1:$G$49,MATCH(orders!$D375,products!$A$1:$A$49,0),MATCH(orders!K$1,products!$A$1:$G$1,0))</f>
        <v>0.5</v>
      </c>
      <c r="L375" s="4">
        <f>INDEX(products!$A$1:$G$49,MATCH(orders!$D375,products!$A$1:$A$49,0),MATCH(orders!L$1,products!$A$1:$G$1,0))</f>
        <v>5.97</v>
      </c>
      <c r="M375" s="4">
        <f t="shared" si="5"/>
        <v>17.91</v>
      </c>
      <c r="N375" t="str" cm="1">
        <f t="array" ref="N375">_xlfn.IFS(I375="Rob","Robusta",I375="Exc","Excelsa",I375="Ara","Arabica",I375="Lib","Liberica")</f>
        <v>Arabica</v>
      </c>
      <c r="O375" t="str" cm="1">
        <f t="array" ref="O375">_xlfn.IFS(J375="M","Medium",J375="L","Large",J375="D","Dark")</f>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_xlfn.XLOOKUP(C376,customers!$A$1:$A$1001,customers!$B$1:$B$1001,,0)</f>
        <v>Gothart Bamfield</v>
      </c>
      <c r="G376" s="2" t="str">
        <f>IF(_xlfn.XLOOKUP(C376,customers!$A$1:$A$1001,customers!$C$1:$C$1001,,0)=0,"",_xlfn.XLOOKUP(C376,customers!$A$1:$A$1001,customers!$C$1:$C$1001,,0))</f>
        <v>gbamfieldae@yellowpages.com</v>
      </c>
      <c r="H376" s="2" t="str">
        <f>_xlfn.XLOOKUP(C376,customers!$A$1:$A$1001,customers!$G$1:$G$1001,,0)</f>
        <v>United States</v>
      </c>
      <c r="I376" t="str">
        <f>INDEX(products!$A$1:$G$49,MATCH(orders!$D376,products!$A$1:$A$49,0),MATCH(orders!I$1,products!$A$1:$G$1,0))</f>
        <v>Lib</v>
      </c>
      <c r="J376" t="str">
        <f>INDEX(products!$A$1:$G$49,MATCH(orders!$D376,products!$A$1:$A$49,0),MATCH(orders!J$1,products!$A$1:$G$1,0))</f>
        <v>L</v>
      </c>
      <c r="K376" s="7">
        <f>INDEX(products!$A$1:$G$49,MATCH(orders!$D376,products!$A$1:$A$49,0),MATCH(orders!K$1,products!$A$1:$G$1,0))</f>
        <v>0.5</v>
      </c>
      <c r="L376" s="4">
        <f>INDEX(products!$A$1:$G$49,MATCH(orders!$D376,products!$A$1:$A$49,0),MATCH(orders!L$1,products!$A$1:$G$1,0))</f>
        <v>9.51</v>
      </c>
      <c r="M376" s="4">
        <f t="shared" si="5"/>
        <v>38.04</v>
      </c>
      <c r="N376" t="str" cm="1">
        <f t="array" ref="N376">_xlfn.IFS(I376="Rob","Robusta",I376="Exc","Excelsa",I376="Ara","Arabica",I376="Lib","Liberica")</f>
        <v>Liberica</v>
      </c>
      <c r="O376" t="str" cm="1">
        <f t="array" ref="O376">_xlfn.IFS(J376="M","Medium",J376="L","Large",J376="D","Dark")</f>
        <v>Large</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_xlfn.XLOOKUP(C377,customers!$A$1:$A$1001,customers!$B$1:$B$1001,,0)</f>
        <v>Waylin Hollingdale</v>
      </c>
      <c r="G377" s="2" t="str">
        <f>IF(_xlfn.XLOOKUP(C377,customers!$A$1:$A$1001,customers!$C$1:$C$1001,,0)=0,"",_xlfn.XLOOKUP(C377,customers!$A$1:$A$1001,customers!$C$1:$C$1001,,0))</f>
        <v>whollingdaleaf@about.me</v>
      </c>
      <c r="H377" s="2" t="str">
        <f>_xlfn.XLOOKUP(C377,customers!$A$1:$A$1001,customers!$G$1:$G$1001,,0)</f>
        <v>United States</v>
      </c>
      <c r="I377" t="str">
        <f>INDEX(products!$A$1:$G$49,MATCH(orders!$D377,products!$A$1:$A$49,0),MATCH(orders!I$1,products!$A$1:$G$1,0))</f>
        <v>Ara</v>
      </c>
      <c r="J377" t="str">
        <f>INDEX(products!$A$1:$G$49,MATCH(orders!$D377,products!$A$1:$A$49,0),MATCH(orders!J$1,products!$A$1:$G$1,0))</f>
        <v>M</v>
      </c>
      <c r="K377" s="7">
        <f>INDEX(products!$A$1:$G$49,MATCH(orders!$D377,products!$A$1:$A$49,0),MATCH(orders!K$1,products!$A$1:$G$1,0))</f>
        <v>0.2</v>
      </c>
      <c r="L377" s="4">
        <f>INDEX(products!$A$1:$G$49,MATCH(orders!$D377,products!$A$1:$A$49,0),MATCH(orders!L$1,products!$A$1:$G$1,0))</f>
        <v>3.375</v>
      </c>
      <c r="M377" s="4">
        <f t="shared" si="5"/>
        <v>6.75</v>
      </c>
      <c r="N377" t="str" cm="1">
        <f t="array" ref="N377">_xlfn.IFS(I377="Rob","Robusta",I377="Exc","Excelsa",I377="Ara","Arabica",I377="Lib","Liberica")</f>
        <v>Arabica</v>
      </c>
      <c r="O377" t="str" cm="1">
        <f t="array" ref="O377">_xlfn.IFS(J377="M","Medium",J377="L","Large",J377="D","Dark")</f>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_xlfn.XLOOKUP(C378,customers!$A$1:$A$1001,customers!$B$1:$B$1001,,0)</f>
        <v>Judd De Leek</v>
      </c>
      <c r="G378" s="2" t="str">
        <f>IF(_xlfn.XLOOKUP(C378,customers!$A$1:$A$1001,customers!$C$1:$C$1001,,0)=0,"",_xlfn.XLOOKUP(C378,customers!$A$1:$A$1001,customers!$C$1:$C$1001,,0))</f>
        <v>jdeag@xrea.com</v>
      </c>
      <c r="H378" s="2" t="str">
        <f>_xlfn.XLOOKUP(C378,customers!$A$1:$A$1001,customers!$G$1:$G$1001,,0)</f>
        <v>United States</v>
      </c>
      <c r="I378" t="str">
        <f>INDEX(products!$A$1:$G$49,MATCH(orders!$D378,products!$A$1:$A$49,0),MATCH(orders!I$1,products!$A$1:$G$1,0))</f>
        <v>Rob</v>
      </c>
      <c r="J378" t="str">
        <f>INDEX(products!$A$1:$G$49,MATCH(orders!$D378,products!$A$1:$A$49,0),MATCH(orders!J$1,products!$A$1:$G$1,0))</f>
        <v>M</v>
      </c>
      <c r="K378" s="7">
        <f>INDEX(products!$A$1:$G$49,MATCH(orders!$D378,products!$A$1:$A$49,0),MATCH(orders!K$1,products!$A$1:$G$1,0))</f>
        <v>0.5</v>
      </c>
      <c r="L378" s="4">
        <f>INDEX(products!$A$1:$G$49,MATCH(orders!$D378,products!$A$1:$A$49,0),MATCH(orders!L$1,products!$A$1:$G$1,0))</f>
        <v>5.97</v>
      </c>
      <c r="M378" s="4">
        <f t="shared" si="5"/>
        <v>5.97</v>
      </c>
      <c r="N378" t="str" cm="1">
        <f t="array" ref="N378">_xlfn.IFS(I378="Rob","Robusta",I378="Exc","Excelsa",I378="Ara","Arabica",I378="Lib","Liberica")</f>
        <v>Robusta</v>
      </c>
      <c r="O378" t="str" cm="1">
        <f t="array" ref="O378">_xlfn.IFS(J378="M","Medium",J378="L","Large",J378="D","Dark")</f>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_xlfn.XLOOKUP(C379,customers!$A$1:$A$1001,customers!$B$1:$B$1001,,0)</f>
        <v>Vanya Skullet</v>
      </c>
      <c r="G379" s="2" t="str">
        <f>IF(_xlfn.XLOOKUP(C379,customers!$A$1:$A$1001,customers!$C$1:$C$1001,,0)=0,"",_xlfn.XLOOKUP(C379,customers!$A$1:$A$1001,customers!$C$1:$C$1001,,0))</f>
        <v>vskulletah@tinyurl.com</v>
      </c>
      <c r="H379" s="2" t="str">
        <f>_xlfn.XLOOKUP(C379,customers!$A$1:$A$1001,customers!$G$1:$G$1001,,0)</f>
        <v>Ireland</v>
      </c>
      <c r="I379" t="str">
        <f>INDEX(products!$A$1:$G$49,MATCH(orders!$D379,products!$A$1:$A$49,0),MATCH(orders!I$1,products!$A$1:$G$1,0))</f>
        <v>Rob</v>
      </c>
      <c r="J379" t="str">
        <f>INDEX(products!$A$1:$G$49,MATCH(orders!$D379,products!$A$1:$A$49,0),MATCH(orders!J$1,products!$A$1:$G$1,0))</f>
        <v>D</v>
      </c>
      <c r="K379" s="7">
        <f>INDEX(products!$A$1:$G$49,MATCH(orders!$D379,products!$A$1:$A$49,0),MATCH(orders!K$1,products!$A$1:$G$1,0))</f>
        <v>0.2</v>
      </c>
      <c r="L379" s="4">
        <f>INDEX(products!$A$1:$G$49,MATCH(orders!$D379,products!$A$1:$A$49,0),MATCH(orders!L$1,products!$A$1:$G$1,0))</f>
        <v>2.6849999999999996</v>
      </c>
      <c r="M379" s="4">
        <f t="shared" si="5"/>
        <v>8.0549999999999997</v>
      </c>
      <c r="N379" t="str" cm="1">
        <f t="array" ref="N379">_xlfn.IFS(I379="Rob","Robusta",I379="Exc","Excelsa",I379="Ara","Arabica",I379="Lib","Liberica")</f>
        <v>Robusta</v>
      </c>
      <c r="O379" t="str" cm="1">
        <f t="array" ref="O379">_xlfn.IFS(J379="M","Medium",J379="L","Large",J379="D","Dark")</f>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_xlfn.XLOOKUP(C380,customers!$A$1:$A$1001,customers!$B$1:$B$1001,,0)</f>
        <v>Jany Rudeforth</v>
      </c>
      <c r="G380" s="2" t="str">
        <f>IF(_xlfn.XLOOKUP(C380,customers!$A$1:$A$1001,customers!$C$1:$C$1001,,0)=0,"",_xlfn.XLOOKUP(C380,customers!$A$1:$A$1001,customers!$C$1:$C$1001,,0))</f>
        <v>jrudeforthai@wunderground.com</v>
      </c>
      <c r="H380" s="2" t="str">
        <f>_xlfn.XLOOKUP(C380,customers!$A$1:$A$1001,customers!$G$1:$G$1001,,0)</f>
        <v>Ireland</v>
      </c>
      <c r="I380" t="str">
        <f>INDEX(products!$A$1:$G$49,MATCH(orders!$D380,products!$A$1:$A$49,0),MATCH(orders!I$1,products!$A$1:$G$1,0))</f>
        <v>Ara</v>
      </c>
      <c r="J380" t="str">
        <f>INDEX(products!$A$1:$G$49,MATCH(orders!$D380,products!$A$1:$A$49,0),MATCH(orders!J$1,products!$A$1:$G$1,0))</f>
        <v>L</v>
      </c>
      <c r="K380" s="7">
        <f>INDEX(products!$A$1:$G$49,MATCH(orders!$D380,products!$A$1:$A$49,0),MATCH(orders!K$1,products!$A$1:$G$1,0))</f>
        <v>0.5</v>
      </c>
      <c r="L380" s="4">
        <f>INDEX(products!$A$1:$G$49,MATCH(orders!$D380,products!$A$1:$A$49,0),MATCH(orders!L$1,products!$A$1:$G$1,0))</f>
        <v>7.77</v>
      </c>
      <c r="M380" s="4">
        <f t="shared" si="5"/>
        <v>23.31</v>
      </c>
      <c r="N380" t="str" cm="1">
        <f t="array" ref="N380">_xlfn.IFS(I380="Rob","Robusta",I380="Exc","Excelsa",I380="Ara","Arabica",I380="Lib","Liberica")</f>
        <v>Arabica</v>
      </c>
      <c r="O380" t="str" cm="1">
        <f t="array" ref="O380">_xlfn.IFS(J380="M","Medium",J380="L","Large",J380="D","Dark")</f>
        <v>Large</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_xlfn.XLOOKUP(C381,customers!$A$1:$A$1001,customers!$B$1:$B$1001,,0)</f>
        <v>Ashbey Tomaszewski</v>
      </c>
      <c r="G381" s="2" t="str">
        <f>IF(_xlfn.XLOOKUP(C381,customers!$A$1:$A$1001,customers!$C$1:$C$1001,,0)=0,"",_xlfn.XLOOKUP(C381,customers!$A$1:$A$1001,customers!$C$1:$C$1001,,0))</f>
        <v>atomaszewskiaj@answers.com</v>
      </c>
      <c r="H381" s="2" t="str">
        <f>_xlfn.XLOOKUP(C381,customers!$A$1:$A$1001,customers!$G$1:$G$1001,,0)</f>
        <v>United Kingdom</v>
      </c>
      <c r="I381" t="str">
        <f>INDEX(products!$A$1:$G$49,MATCH(orders!$D381,products!$A$1:$A$49,0),MATCH(orders!I$1,products!$A$1:$G$1,0))</f>
        <v>Rob</v>
      </c>
      <c r="J381" t="str">
        <f>INDEX(products!$A$1:$G$49,MATCH(orders!$D381,products!$A$1:$A$49,0),MATCH(orders!J$1,products!$A$1:$G$1,0))</f>
        <v>L</v>
      </c>
      <c r="K381" s="7">
        <f>INDEX(products!$A$1:$G$49,MATCH(orders!$D381,products!$A$1:$A$49,0),MATCH(orders!K$1,products!$A$1:$G$1,0))</f>
        <v>0.5</v>
      </c>
      <c r="L381" s="4">
        <f>INDEX(products!$A$1:$G$49,MATCH(orders!$D381,products!$A$1:$A$49,0),MATCH(orders!L$1,products!$A$1:$G$1,0))</f>
        <v>7.169999999999999</v>
      </c>
      <c r="M381" s="4">
        <f t="shared" si="5"/>
        <v>43.019999999999996</v>
      </c>
      <c r="N381" t="str" cm="1">
        <f t="array" ref="N381">_xlfn.IFS(I381="Rob","Robusta",I381="Exc","Excelsa",I381="Ara","Arabica",I381="Lib","Liberica")</f>
        <v>Robusta</v>
      </c>
      <c r="O381" t="str" cm="1">
        <f t="array" ref="O381">_xlfn.IFS(J381="M","Medium",J381="L","Large",J381="D","Dark")</f>
        <v>Large</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_xlfn.XLOOKUP(C382,customers!$A$1:$A$1001,customers!$B$1:$B$1001,,0)</f>
        <v>Flynn Antony</v>
      </c>
      <c r="G382" s="2" t="str">
        <f>IF(_xlfn.XLOOKUP(C382,customers!$A$1:$A$1001,customers!$C$1:$C$1001,,0)=0,"",_xlfn.XLOOKUP(C382,customers!$A$1:$A$1001,customers!$C$1:$C$1001,,0))</f>
        <v/>
      </c>
      <c r="H382" s="2" t="str">
        <f>_xlfn.XLOOKUP(C382,customers!$A$1:$A$1001,customers!$G$1:$G$1001,,0)</f>
        <v>United States</v>
      </c>
      <c r="I382" t="str">
        <f>INDEX(products!$A$1:$G$49,MATCH(orders!$D382,products!$A$1:$A$49,0),MATCH(orders!I$1,products!$A$1:$G$1,0))</f>
        <v>Lib</v>
      </c>
      <c r="J382" t="str">
        <f>INDEX(products!$A$1:$G$49,MATCH(orders!$D382,products!$A$1:$A$49,0),MATCH(orders!J$1,products!$A$1:$G$1,0))</f>
        <v>D</v>
      </c>
      <c r="K382" s="7">
        <f>INDEX(products!$A$1:$G$49,MATCH(orders!$D382,products!$A$1:$A$49,0),MATCH(orders!K$1,products!$A$1:$G$1,0))</f>
        <v>0.5</v>
      </c>
      <c r="L382" s="4">
        <f>INDEX(products!$A$1:$G$49,MATCH(orders!$D382,products!$A$1:$A$49,0),MATCH(orders!L$1,products!$A$1:$G$1,0))</f>
        <v>7.77</v>
      </c>
      <c r="M382" s="4">
        <f t="shared" si="5"/>
        <v>23.31</v>
      </c>
      <c r="N382" t="str" cm="1">
        <f t="array" ref="N382">_xlfn.IFS(I382="Rob","Robusta",I382="Exc","Excelsa",I382="Ara","Arabica",I382="Lib","Liberica")</f>
        <v>Liberica</v>
      </c>
      <c r="O382" t="str" cm="1">
        <f t="array" ref="O382">_xlfn.IFS(J382="M","Medium",J382="L","Large",J382="D","Dark")</f>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_xlfn.XLOOKUP(C383,customers!$A$1:$A$1001,customers!$B$1:$B$1001,,0)</f>
        <v>Pren Bess</v>
      </c>
      <c r="G383" s="2" t="str">
        <f>IF(_xlfn.XLOOKUP(C383,customers!$A$1:$A$1001,customers!$C$1:$C$1001,,0)=0,"",_xlfn.XLOOKUP(C383,customers!$A$1:$A$1001,customers!$C$1:$C$1001,,0))</f>
        <v>pbessal@qq.com</v>
      </c>
      <c r="H383" s="2" t="str">
        <f>_xlfn.XLOOKUP(C383,customers!$A$1:$A$1001,customers!$G$1:$G$1001,,0)</f>
        <v>United States</v>
      </c>
      <c r="I383" t="str">
        <f>INDEX(products!$A$1:$G$49,MATCH(orders!$D383,products!$A$1:$A$49,0),MATCH(orders!I$1,products!$A$1:$G$1,0))</f>
        <v>Ara</v>
      </c>
      <c r="J383" t="str">
        <f>INDEX(products!$A$1:$G$49,MATCH(orders!$D383,products!$A$1:$A$49,0),MATCH(orders!J$1,products!$A$1:$G$1,0))</f>
        <v>D</v>
      </c>
      <c r="K383" s="7">
        <f>INDEX(products!$A$1:$G$49,MATCH(orders!$D383,products!$A$1:$A$49,0),MATCH(orders!K$1,products!$A$1:$G$1,0))</f>
        <v>0.2</v>
      </c>
      <c r="L383" s="4">
        <f>INDEX(products!$A$1:$G$49,MATCH(orders!$D383,products!$A$1:$A$49,0),MATCH(orders!L$1,products!$A$1:$G$1,0))</f>
        <v>2.9849999999999999</v>
      </c>
      <c r="M383" s="4">
        <f t="shared" si="5"/>
        <v>14.924999999999999</v>
      </c>
      <c r="N383" t="str" cm="1">
        <f t="array" ref="N383">_xlfn.IFS(I383="Rob","Robusta",I383="Exc","Excelsa",I383="Ara","Arabica",I383="Lib","Liberica")</f>
        <v>Arabica</v>
      </c>
      <c r="O383" t="str" cm="1">
        <f t="array" ref="O383">_xlfn.IFS(J383="M","Medium",J383="L","Large",J383="D","Dark")</f>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_xlfn.XLOOKUP(C384,customers!$A$1:$A$1001,customers!$B$1:$B$1001,,0)</f>
        <v>Elka Windress</v>
      </c>
      <c r="G384" s="2" t="str">
        <f>IF(_xlfn.XLOOKUP(C384,customers!$A$1:$A$1001,customers!$C$1:$C$1001,,0)=0,"",_xlfn.XLOOKUP(C384,customers!$A$1:$A$1001,customers!$C$1:$C$1001,,0))</f>
        <v>ewindressam@marketwatch.com</v>
      </c>
      <c r="H384" s="2" t="str">
        <f>_xlfn.XLOOKUP(C384,customers!$A$1:$A$1001,customers!$G$1:$G$1001,,0)</f>
        <v>United States</v>
      </c>
      <c r="I384" t="str">
        <f>INDEX(products!$A$1:$G$49,MATCH(orders!$D384,products!$A$1:$A$49,0),MATCH(orders!I$1,products!$A$1:$G$1,0))</f>
        <v>Exc</v>
      </c>
      <c r="J384" t="str">
        <f>INDEX(products!$A$1:$G$49,MATCH(orders!$D384,products!$A$1:$A$49,0),MATCH(orders!J$1,products!$A$1:$G$1,0))</f>
        <v>D</v>
      </c>
      <c r="K384" s="7">
        <f>INDEX(products!$A$1:$G$49,MATCH(orders!$D384,products!$A$1:$A$49,0),MATCH(orders!K$1,products!$A$1:$G$1,0))</f>
        <v>0.5</v>
      </c>
      <c r="L384" s="4">
        <f>INDEX(products!$A$1:$G$49,MATCH(orders!$D384,products!$A$1:$A$49,0),MATCH(orders!L$1,products!$A$1:$G$1,0))</f>
        <v>7.29</v>
      </c>
      <c r="M384" s="4">
        <f t="shared" si="5"/>
        <v>21.87</v>
      </c>
      <c r="N384" t="str" cm="1">
        <f t="array" ref="N384">_xlfn.IFS(I384="Rob","Robusta",I384="Exc","Excelsa",I384="Ara","Arabica",I384="Lib","Liberica")</f>
        <v>Excelsa</v>
      </c>
      <c r="O384" t="str" cm="1">
        <f t="array" ref="O384">_xlfn.IFS(J384="M","Medium",J384="L","Large",J384="D","Dark")</f>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_xlfn.XLOOKUP(C385,customers!$A$1:$A$1001,customers!$B$1:$B$1001,,0)</f>
        <v>Marty Kidstoun</v>
      </c>
      <c r="G385" s="2" t="str">
        <f>IF(_xlfn.XLOOKUP(C385,customers!$A$1:$A$1001,customers!$C$1:$C$1001,,0)=0,"",_xlfn.XLOOKUP(C385,customers!$A$1:$A$1001,customers!$C$1:$C$1001,,0))</f>
        <v/>
      </c>
      <c r="H385" s="2" t="str">
        <f>_xlfn.XLOOKUP(C385,customers!$A$1:$A$1001,customers!$G$1:$G$1001,,0)</f>
        <v>United States</v>
      </c>
      <c r="I385" t="str">
        <f>INDEX(products!$A$1:$G$49,MATCH(orders!$D385,products!$A$1:$A$49,0),MATCH(orders!I$1,products!$A$1:$G$1,0))</f>
        <v>Exc</v>
      </c>
      <c r="J385" t="str">
        <f>INDEX(products!$A$1:$G$49,MATCH(orders!$D385,products!$A$1:$A$49,0),MATCH(orders!J$1,products!$A$1:$G$1,0))</f>
        <v>L</v>
      </c>
      <c r="K385" s="7">
        <f>INDEX(products!$A$1:$G$49,MATCH(orders!$D385,products!$A$1:$A$49,0),MATCH(orders!K$1,products!$A$1:$G$1,0))</f>
        <v>0.5</v>
      </c>
      <c r="L385" s="4">
        <f>INDEX(products!$A$1:$G$49,MATCH(orders!$D385,products!$A$1:$A$49,0),MATCH(orders!L$1,products!$A$1:$G$1,0))</f>
        <v>8.91</v>
      </c>
      <c r="M385" s="4">
        <f t="shared" si="5"/>
        <v>53.46</v>
      </c>
      <c r="N385" t="str" cm="1">
        <f t="array" ref="N385">_xlfn.IFS(I385="Rob","Robusta",I385="Exc","Excelsa",I385="Ara","Arabica",I385="Lib","Liberica")</f>
        <v>Excelsa</v>
      </c>
      <c r="O385" t="str" cm="1">
        <f t="array" ref="O385">_xlfn.IFS(J385="M","Medium",J385="L","Large",J385="D","Dark")</f>
        <v>Large</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_xlfn.XLOOKUP(C386,customers!$A$1:$A$1001,customers!$B$1:$B$1001,,0)</f>
        <v>Nickey Dimbleby</v>
      </c>
      <c r="G386" s="2" t="str">
        <f>IF(_xlfn.XLOOKUP(C386,customers!$A$1:$A$1001,customers!$C$1:$C$1001,,0)=0,"",_xlfn.XLOOKUP(C386,customers!$A$1:$A$1001,customers!$C$1:$C$1001,,0))</f>
        <v/>
      </c>
      <c r="H386" s="2" t="str">
        <f>_xlfn.XLOOKUP(C386,customers!$A$1:$A$1001,customers!$G$1:$G$1001,,0)</f>
        <v>United States</v>
      </c>
      <c r="I386" t="str">
        <f>INDEX(products!$A$1:$G$49,MATCH(orders!$D386,products!$A$1:$A$49,0),MATCH(orders!I$1,products!$A$1:$G$1,0))</f>
        <v>Ara</v>
      </c>
      <c r="J386" t="str">
        <f>INDEX(products!$A$1:$G$49,MATCH(orders!$D386,products!$A$1:$A$49,0),MATCH(orders!J$1,products!$A$1:$G$1,0))</f>
        <v>L</v>
      </c>
      <c r="K386" s="7">
        <f>INDEX(products!$A$1:$G$49,MATCH(orders!$D386,products!$A$1:$A$49,0),MATCH(orders!K$1,products!$A$1:$G$1,0))</f>
        <v>2.5</v>
      </c>
      <c r="L386" s="4">
        <f>INDEX(products!$A$1:$G$49,MATCH(orders!$D386,products!$A$1:$A$49,0),MATCH(orders!L$1,products!$A$1:$G$1,0))</f>
        <v>29.784999999999997</v>
      </c>
      <c r="M386" s="4">
        <f t="shared" si="5"/>
        <v>119.13999999999999</v>
      </c>
      <c r="N386" t="str" cm="1">
        <f t="array" ref="N386">_xlfn.IFS(I386="Rob","Robusta",I386="Exc","Excelsa",I386="Ara","Arabica",I386="Lib","Liberica")</f>
        <v>Arabica</v>
      </c>
      <c r="O386" t="str" cm="1">
        <f t="array" ref="O386">_xlfn.IFS(J386="M","Medium",J386="L","Large",J386="D","Dark")</f>
        <v>Large</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_xlfn.XLOOKUP(C387,customers!$A$1:$A$1001,customers!$B$1:$B$1001,,0)</f>
        <v>Virgil Baumadier</v>
      </c>
      <c r="G387" s="2" t="str">
        <f>IF(_xlfn.XLOOKUP(C387,customers!$A$1:$A$1001,customers!$C$1:$C$1001,,0)=0,"",_xlfn.XLOOKUP(C387,customers!$A$1:$A$1001,customers!$C$1:$C$1001,,0))</f>
        <v>vbaumadierap@google.cn</v>
      </c>
      <c r="H387" s="2" t="str">
        <f>_xlfn.XLOOKUP(C387,customers!$A$1:$A$1001,customers!$G$1:$G$1001,,0)</f>
        <v>United States</v>
      </c>
      <c r="I387" t="str">
        <f>INDEX(products!$A$1:$G$49,MATCH(orders!$D387,products!$A$1:$A$49,0),MATCH(orders!I$1,products!$A$1:$G$1,0))</f>
        <v>Lib</v>
      </c>
      <c r="J387" t="str">
        <f>INDEX(products!$A$1:$G$49,MATCH(orders!$D387,products!$A$1:$A$49,0),MATCH(orders!J$1,products!$A$1:$G$1,0))</f>
        <v>M</v>
      </c>
      <c r="K387" s="7">
        <f>INDEX(products!$A$1:$G$49,MATCH(orders!$D387,products!$A$1:$A$49,0),MATCH(orders!K$1,products!$A$1:$G$1,0))</f>
        <v>0.5</v>
      </c>
      <c r="L387" s="4">
        <f>INDEX(products!$A$1:$G$49,MATCH(orders!$D387,products!$A$1:$A$49,0),MATCH(orders!L$1,products!$A$1:$G$1,0))</f>
        <v>8.73</v>
      </c>
      <c r="M387" s="4">
        <f t="shared" ref="M387:M450" si="6">L387*E387</f>
        <v>43.650000000000006</v>
      </c>
      <c r="N387" t="str" cm="1">
        <f t="array" ref="N387">_xlfn.IFS(I387="Rob","Robusta",I387="Exc","Excelsa",I387="Ara","Arabica",I387="Lib","Liberica")</f>
        <v>Liberica</v>
      </c>
      <c r="O387" t="str" cm="1">
        <f t="array" ref="O387">_xlfn.IFS(J387="M","Medium",J387="L","Large",J387="D","Dark")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_xlfn.XLOOKUP(C388,customers!$A$1:$A$1001,customers!$B$1:$B$1001,,0)</f>
        <v>Lenore Messenbird</v>
      </c>
      <c r="G388" s="2" t="str">
        <f>IF(_xlfn.XLOOKUP(C388,customers!$A$1:$A$1001,customers!$C$1:$C$1001,,0)=0,"",_xlfn.XLOOKUP(C388,customers!$A$1:$A$1001,customers!$C$1:$C$1001,,0))</f>
        <v/>
      </c>
      <c r="H388" s="2" t="str">
        <f>_xlfn.XLOOKUP(C388,customers!$A$1:$A$1001,customers!$G$1:$G$1001,,0)</f>
        <v>United States</v>
      </c>
      <c r="I388" t="str">
        <f>INDEX(products!$A$1:$G$49,MATCH(orders!$D388,products!$A$1:$A$49,0),MATCH(orders!I$1,products!$A$1:$G$1,0))</f>
        <v>Ara</v>
      </c>
      <c r="J388" t="str">
        <f>INDEX(products!$A$1:$G$49,MATCH(orders!$D388,products!$A$1:$A$49,0),MATCH(orders!J$1,products!$A$1:$G$1,0))</f>
        <v>D</v>
      </c>
      <c r="K388" s="7">
        <f>INDEX(products!$A$1:$G$49,MATCH(orders!$D388,products!$A$1:$A$49,0),MATCH(orders!K$1,products!$A$1:$G$1,0))</f>
        <v>0.2</v>
      </c>
      <c r="L388" s="4">
        <f>INDEX(products!$A$1:$G$49,MATCH(orders!$D388,products!$A$1:$A$49,0),MATCH(orders!L$1,products!$A$1:$G$1,0))</f>
        <v>2.9849999999999999</v>
      </c>
      <c r="M388" s="4">
        <f t="shared" si="6"/>
        <v>17.91</v>
      </c>
      <c r="N388" t="str" cm="1">
        <f t="array" ref="N388">_xlfn.IFS(I388="Rob","Robusta",I388="Exc","Excelsa",I388="Ara","Arabica",I388="Lib","Liberica")</f>
        <v>Arabica</v>
      </c>
      <c r="O388" t="str" cm="1">
        <f t="array" ref="O388">_xlfn.IFS(J388="M","Medium",J388="L","Large",J388="D","Dark")</f>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_xlfn.XLOOKUP(C389,customers!$A$1:$A$1001,customers!$B$1:$B$1001,,0)</f>
        <v>Shirleen Welds</v>
      </c>
      <c r="G389" s="2" t="str">
        <f>IF(_xlfn.XLOOKUP(C389,customers!$A$1:$A$1001,customers!$C$1:$C$1001,,0)=0,"",_xlfn.XLOOKUP(C389,customers!$A$1:$A$1001,customers!$C$1:$C$1001,,0))</f>
        <v>sweldsar@wired.com</v>
      </c>
      <c r="H389" s="2" t="str">
        <f>_xlfn.XLOOKUP(C389,customers!$A$1:$A$1001,customers!$G$1:$G$1001,,0)</f>
        <v>United States</v>
      </c>
      <c r="I389" t="str">
        <f>INDEX(products!$A$1:$G$49,MATCH(orders!$D389,products!$A$1:$A$49,0),MATCH(orders!I$1,products!$A$1:$G$1,0))</f>
        <v>Exc</v>
      </c>
      <c r="J389" t="str">
        <f>INDEX(products!$A$1:$G$49,MATCH(orders!$D389,products!$A$1:$A$49,0),MATCH(orders!J$1,products!$A$1:$G$1,0))</f>
        <v>L</v>
      </c>
      <c r="K389" s="7">
        <f>INDEX(products!$A$1:$G$49,MATCH(orders!$D389,products!$A$1:$A$49,0),MATCH(orders!K$1,products!$A$1:$G$1,0))</f>
        <v>1</v>
      </c>
      <c r="L389" s="4">
        <f>INDEX(products!$A$1:$G$49,MATCH(orders!$D389,products!$A$1:$A$49,0),MATCH(orders!L$1,products!$A$1:$G$1,0))</f>
        <v>14.85</v>
      </c>
      <c r="M389" s="4">
        <f t="shared" si="6"/>
        <v>74.25</v>
      </c>
      <c r="N389" t="str" cm="1">
        <f t="array" ref="N389">_xlfn.IFS(I389="Rob","Robusta",I389="Exc","Excelsa",I389="Ara","Arabica",I389="Lib","Liberica")</f>
        <v>Excelsa</v>
      </c>
      <c r="O389" t="str" cm="1">
        <f t="array" ref="O389">_xlfn.IFS(J389="M","Medium",J389="L","Large",J389="D","Dark")</f>
        <v>Large</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_xlfn.XLOOKUP(C390,customers!$A$1:$A$1001,customers!$B$1:$B$1001,,0)</f>
        <v>Maisie Sarvar</v>
      </c>
      <c r="G390" s="2" t="str">
        <f>IF(_xlfn.XLOOKUP(C390,customers!$A$1:$A$1001,customers!$C$1:$C$1001,,0)=0,"",_xlfn.XLOOKUP(C390,customers!$A$1:$A$1001,customers!$C$1:$C$1001,,0))</f>
        <v>msarvaras@artisteer.com</v>
      </c>
      <c r="H390" s="2" t="str">
        <f>_xlfn.XLOOKUP(C390,customers!$A$1:$A$1001,customers!$G$1:$G$1001,,0)</f>
        <v>United States</v>
      </c>
      <c r="I390" t="str">
        <f>INDEX(products!$A$1:$G$49,MATCH(orders!$D390,products!$A$1:$A$49,0),MATCH(orders!I$1,products!$A$1:$G$1,0))</f>
        <v>Lib</v>
      </c>
      <c r="J390" t="str">
        <f>INDEX(products!$A$1:$G$49,MATCH(orders!$D390,products!$A$1:$A$49,0),MATCH(orders!J$1,products!$A$1:$G$1,0))</f>
        <v>D</v>
      </c>
      <c r="K390" s="7">
        <f>INDEX(products!$A$1:$G$49,MATCH(orders!$D390,products!$A$1:$A$49,0),MATCH(orders!K$1,products!$A$1:$G$1,0))</f>
        <v>0.2</v>
      </c>
      <c r="L390" s="4">
        <f>INDEX(products!$A$1:$G$49,MATCH(orders!$D390,products!$A$1:$A$49,0),MATCH(orders!L$1,products!$A$1:$G$1,0))</f>
        <v>3.8849999999999998</v>
      </c>
      <c r="M390" s="4">
        <f t="shared" si="6"/>
        <v>11.654999999999999</v>
      </c>
      <c r="N390" t="str" cm="1">
        <f t="array" ref="N390">_xlfn.IFS(I390="Rob","Robusta",I390="Exc","Excelsa",I390="Ara","Arabica",I390="Lib","Liberica")</f>
        <v>Liberica</v>
      </c>
      <c r="O390" t="str" cm="1">
        <f t="array" ref="O390">_xlfn.IFS(J390="M","Medium",J390="L","Large",J390="D","Dark")</f>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_xlfn.XLOOKUP(C391,customers!$A$1:$A$1001,customers!$B$1:$B$1001,,0)</f>
        <v>Andrej Havick</v>
      </c>
      <c r="G391" s="2" t="str">
        <f>IF(_xlfn.XLOOKUP(C391,customers!$A$1:$A$1001,customers!$C$1:$C$1001,,0)=0,"",_xlfn.XLOOKUP(C391,customers!$A$1:$A$1001,customers!$C$1:$C$1001,,0))</f>
        <v>ahavickat@nsw.gov.au</v>
      </c>
      <c r="H391" s="2" t="str">
        <f>_xlfn.XLOOKUP(C391,customers!$A$1:$A$1001,customers!$G$1:$G$1001,,0)</f>
        <v>United States</v>
      </c>
      <c r="I391" t="str">
        <f>INDEX(products!$A$1:$G$49,MATCH(orders!$D391,products!$A$1:$A$49,0),MATCH(orders!I$1,products!$A$1:$G$1,0))</f>
        <v>Lib</v>
      </c>
      <c r="J391" t="str">
        <f>INDEX(products!$A$1:$G$49,MATCH(orders!$D391,products!$A$1:$A$49,0),MATCH(orders!J$1,products!$A$1:$G$1,0))</f>
        <v>D</v>
      </c>
      <c r="K391" s="7">
        <f>INDEX(products!$A$1:$G$49,MATCH(orders!$D391,products!$A$1:$A$49,0),MATCH(orders!K$1,products!$A$1:$G$1,0))</f>
        <v>0.5</v>
      </c>
      <c r="L391" s="4">
        <f>INDEX(products!$A$1:$G$49,MATCH(orders!$D391,products!$A$1:$A$49,0),MATCH(orders!L$1,products!$A$1:$G$1,0))</f>
        <v>7.77</v>
      </c>
      <c r="M391" s="4">
        <f t="shared" si="6"/>
        <v>23.31</v>
      </c>
      <c r="N391" t="str" cm="1">
        <f t="array" ref="N391">_xlfn.IFS(I391="Rob","Robusta",I391="Exc","Excelsa",I391="Ara","Arabica",I391="Lib","Liberica")</f>
        <v>Liberica</v>
      </c>
      <c r="O391" t="str" cm="1">
        <f t="array" ref="O391">_xlfn.IFS(J391="M","Medium",J391="L","Large",J391="D","Dark")</f>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_xlfn.XLOOKUP(C392,customers!$A$1:$A$1001,customers!$B$1:$B$1001,,0)</f>
        <v>Sloan Diviny</v>
      </c>
      <c r="G392" s="2" t="str">
        <f>IF(_xlfn.XLOOKUP(C392,customers!$A$1:$A$1001,customers!$C$1:$C$1001,,0)=0,"",_xlfn.XLOOKUP(C392,customers!$A$1:$A$1001,customers!$C$1:$C$1001,,0))</f>
        <v>sdivinyau@ask.com</v>
      </c>
      <c r="H392" s="2" t="str">
        <f>_xlfn.XLOOKUP(C392,customers!$A$1:$A$1001,customers!$G$1:$G$1001,,0)</f>
        <v>United States</v>
      </c>
      <c r="I392" t="str">
        <f>INDEX(products!$A$1:$G$49,MATCH(orders!$D392,products!$A$1:$A$49,0),MATCH(orders!I$1,products!$A$1:$G$1,0))</f>
        <v>Exc</v>
      </c>
      <c r="J392" t="str">
        <f>INDEX(products!$A$1:$G$49,MATCH(orders!$D392,products!$A$1:$A$49,0),MATCH(orders!J$1,products!$A$1:$G$1,0))</f>
        <v>D</v>
      </c>
      <c r="K392" s="7">
        <f>INDEX(products!$A$1:$G$49,MATCH(orders!$D392,products!$A$1:$A$49,0),MATCH(orders!K$1,products!$A$1:$G$1,0))</f>
        <v>0.5</v>
      </c>
      <c r="L392" s="4">
        <f>INDEX(products!$A$1:$G$49,MATCH(orders!$D392,products!$A$1:$A$49,0),MATCH(orders!L$1,products!$A$1:$G$1,0))</f>
        <v>7.29</v>
      </c>
      <c r="M392" s="4">
        <f t="shared" si="6"/>
        <v>14.58</v>
      </c>
      <c r="N392" t="str" cm="1">
        <f t="array" ref="N392">_xlfn.IFS(I392="Rob","Robusta",I392="Exc","Excelsa",I392="Ara","Arabica",I392="Lib","Liberica")</f>
        <v>Excelsa</v>
      </c>
      <c r="O392" t="str" cm="1">
        <f t="array" ref="O392">_xlfn.IFS(J392="M","Medium",J392="L","Large",J392="D","Dark")</f>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_xlfn.XLOOKUP(C393,customers!$A$1:$A$1001,customers!$B$1:$B$1001,,0)</f>
        <v>Itch Norquoy</v>
      </c>
      <c r="G393" s="2" t="str">
        <f>IF(_xlfn.XLOOKUP(C393,customers!$A$1:$A$1001,customers!$C$1:$C$1001,,0)=0,"",_xlfn.XLOOKUP(C393,customers!$A$1:$A$1001,customers!$C$1:$C$1001,,0))</f>
        <v>inorquoyav@businessweek.com</v>
      </c>
      <c r="H393" s="2" t="str">
        <f>_xlfn.XLOOKUP(C393,customers!$A$1:$A$1001,customers!$G$1:$G$1001,,0)</f>
        <v>United States</v>
      </c>
      <c r="I393" t="str">
        <f>INDEX(products!$A$1:$G$49,MATCH(orders!$D393,products!$A$1:$A$49,0),MATCH(orders!I$1,products!$A$1:$G$1,0))</f>
        <v>Ara</v>
      </c>
      <c r="J393" t="str">
        <f>INDEX(products!$A$1:$G$49,MATCH(orders!$D393,products!$A$1:$A$49,0),MATCH(orders!J$1,products!$A$1:$G$1,0))</f>
        <v>M</v>
      </c>
      <c r="K393" s="7">
        <f>INDEX(products!$A$1:$G$49,MATCH(orders!$D393,products!$A$1:$A$49,0),MATCH(orders!K$1,products!$A$1:$G$1,0))</f>
        <v>0.5</v>
      </c>
      <c r="L393" s="4">
        <f>INDEX(products!$A$1:$G$49,MATCH(orders!$D393,products!$A$1:$A$49,0),MATCH(orders!L$1,products!$A$1:$G$1,0))</f>
        <v>6.75</v>
      </c>
      <c r="M393" s="4">
        <f t="shared" si="6"/>
        <v>13.5</v>
      </c>
      <c r="N393" t="str" cm="1">
        <f t="array" ref="N393">_xlfn.IFS(I393="Rob","Robusta",I393="Exc","Excelsa",I393="Ara","Arabica",I393="Lib","Liberica")</f>
        <v>Arabica</v>
      </c>
      <c r="O393" t="str" cm="1">
        <f t="array" ref="O393">_xlfn.IFS(J393="M","Medium",J393="L","Large",J393="D","Dark")</f>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_xlfn.XLOOKUP(C394,customers!$A$1:$A$1001,customers!$B$1:$B$1001,,0)</f>
        <v>Anson Iddison</v>
      </c>
      <c r="G394" s="2" t="str">
        <f>IF(_xlfn.XLOOKUP(C394,customers!$A$1:$A$1001,customers!$C$1:$C$1001,,0)=0,"",_xlfn.XLOOKUP(C394,customers!$A$1:$A$1001,customers!$C$1:$C$1001,,0))</f>
        <v>aiddisonaw@usa.gov</v>
      </c>
      <c r="H394" s="2" t="str">
        <f>_xlfn.XLOOKUP(C394,customers!$A$1:$A$1001,customers!$G$1:$G$1001,,0)</f>
        <v>United States</v>
      </c>
      <c r="I394" t="str">
        <f>INDEX(products!$A$1:$G$49,MATCH(orders!$D394,products!$A$1:$A$49,0),MATCH(orders!I$1,products!$A$1:$G$1,0))</f>
        <v>Exc</v>
      </c>
      <c r="J394" t="str">
        <f>INDEX(products!$A$1:$G$49,MATCH(orders!$D394,products!$A$1:$A$49,0),MATCH(orders!J$1,products!$A$1:$G$1,0))</f>
        <v>L</v>
      </c>
      <c r="K394" s="7">
        <f>INDEX(products!$A$1:$G$49,MATCH(orders!$D394,products!$A$1:$A$49,0),MATCH(orders!K$1,products!$A$1:$G$1,0))</f>
        <v>1</v>
      </c>
      <c r="L394" s="4">
        <f>INDEX(products!$A$1:$G$49,MATCH(orders!$D394,products!$A$1:$A$49,0),MATCH(orders!L$1,products!$A$1:$G$1,0))</f>
        <v>14.85</v>
      </c>
      <c r="M394" s="4">
        <f t="shared" si="6"/>
        <v>89.1</v>
      </c>
      <c r="N394" t="str" cm="1">
        <f t="array" ref="N394">_xlfn.IFS(I394="Rob","Robusta",I394="Exc","Excelsa",I394="Ara","Arabica",I394="Lib","Liberica")</f>
        <v>Excelsa</v>
      </c>
      <c r="O394" t="str" cm="1">
        <f t="array" ref="O394">_xlfn.IFS(J394="M","Medium",J394="L","Large",J394="D","Dark")</f>
        <v>Large</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_xlfn.XLOOKUP(C395,customers!$A$1:$A$1001,customers!$B$1:$B$1001,,0)</f>
        <v>Anson Iddison</v>
      </c>
      <c r="G395" s="2" t="str">
        <f>IF(_xlfn.XLOOKUP(C395,customers!$A$1:$A$1001,customers!$C$1:$C$1001,,0)=0,"",_xlfn.XLOOKUP(C395,customers!$A$1:$A$1001,customers!$C$1:$C$1001,,0))</f>
        <v>aiddisonaw@usa.gov</v>
      </c>
      <c r="H395" s="2" t="str">
        <f>_xlfn.XLOOKUP(C395,customers!$A$1:$A$1001,customers!$G$1:$G$1001,,0)</f>
        <v>United States</v>
      </c>
      <c r="I395" t="str">
        <f>INDEX(products!$A$1:$G$49,MATCH(orders!$D395,products!$A$1:$A$49,0),MATCH(orders!I$1,products!$A$1:$G$1,0))</f>
        <v>Ara</v>
      </c>
      <c r="J395" t="str">
        <f>INDEX(products!$A$1:$G$49,MATCH(orders!$D395,products!$A$1:$A$49,0),MATCH(orders!J$1,products!$A$1:$G$1,0))</f>
        <v>L</v>
      </c>
      <c r="K395" s="7">
        <f>INDEX(products!$A$1:$G$49,MATCH(orders!$D395,products!$A$1:$A$49,0),MATCH(orders!K$1,products!$A$1:$G$1,0))</f>
        <v>0.2</v>
      </c>
      <c r="L395" s="4">
        <f>INDEX(products!$A$1:$G$49,MATCH(orders!$D395,products!$A$1:$A$49,0),MATCH(orders!L$1,products!$A$1:$G$1,0))</f>
        <v>3.8849999999999998</v>
      </c>
      <c r="M395" s="4">
        <f t="shared" si="6"/>
        <v>3.8849999999999998</v>
      </c>
      <c r="N395" t="str" cm="1">
        <f t="array" ref="N395">_xlfn.IFS(I395="Rob","Robusta",I395="Exc","Excelsa",I395="Ara","Arabica",I395="Lib","Liberica")</f>
        <v>Arabica</v>
      </c>
      <c r="O395" t="str" cm="1">
        <f t="array" ref="O395">_xlfn.IFS(J395="M","Medium",J395="L","Large",J395="D","Dark")</f>
        <v>Large</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_xlfn.XLOOKUP(C396,customers!$A$1:$A$1001,customers!$B$1:$B$1001,,0)</f>
        <v>Randal Longfield</v>
      </c>
      <c r="G396" s="2" t="str">
        <f>IF(_xlfn.XLOOKUP(C396,customers!$A$1:$A$1001,customers!$C$1:$C$1001,,0)=0,"",_xlfn.XLOOKUP(C396,customers!$A$1:$A$1001,customers!$C$1:$C$1001,,0))</f>
        <v>rlongfielday@bluehost.com</v>
      </c>
      <c r="H396" s="2" t="str">
        <f>_xlfn.XLOOKUP(C396,customers!$A$1:$A$1001,customers!$G$1:$G$1001,,0)</f>
        <v>United States</v>
      </c>
      <c r="I396" t="str">
        <f>INDEX(products!$A$1:$G$49,MATCH(orders!$D396,products!$A$1:$A$49,0),MATCH(orders!I$1,products!$A$1:$G$1,0))</f>
        <v>Rob</v>
      </c>
      <c r="J396" t="str">
        <f>INDEX(products!$A$1:$G$49,MATCH(orders!$D396,products!$A$1:$A$49,0),MATCH(orders!J$1,products!$A$1:$G$1,0))</f>
        <v>L</v>
      </c>
      <c r="K396" s="7">
        <f>INDEX(products!$A$1:$G$49,MATCH(orders!$D396,products!$A$1:$A$49,0),MATCH(orders!K$1,products!$A$1:$G$1,0))</f>
        <v>2.5</v>
      </c>
      <c r="L396" s="4">
        <f>INDEX(products!$A$1:$G$49,MATCH(orders!$D396,products!$A$1:$A$49,0),MATCH(orders!L$1,products!$A$1:$G$1,0))</f>
        <v>27.484999999999996</v>
      </c>
      <c r="M396" s="4">
        <f t="shared" si="6"/>
        <v>109.93999999999998</v>
      </c>
      <c r="N396" t="str" cm="1">
        <f t="array" ref="N396">_xlfn.IFS(I396="Rob","Robusta",I396="Exc","Excelsa",I396="Ara","Arabica",I396="Lib","Liberica")</f>
        <v>Robusta</v>
      </c>
      <c r="O396" t="str" cm="1">
        <f t="array" ref="O396">_xlfn.IFS(J396="M","Medium",J396="L","Large",J396="D","Dark")</f>
        <v>Large</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_xlfn.XLOOKUP(C397,customers!$A$1:$A$1001,customers!$B$1:$B$1001,,0)</f>
        <v>Gregorius Kislingbury</v>
      </c>
      <c r="G397" s="2" t="str">
        <f>IF(_xlfn.XLOOKUP(C397,customers!$A$1:$A$1001,customers!$C$1:$C$1001,,0)=0,"",_xlfn.XLOOKUP(C397,customers!$A$1:$A$1001,customers!$C$1:$C$1001,,0))</f>
        <v>gkislingburyaz@samsung.com</v>
      </c>
      <c r="H397" s="2" t="str">
        <f>_xlfn.XLOOKUP(C397,customers!$A$1:$A$1001,customers!$G$1:$G$1001,,0)</f>
        <v>United States</v>
      </c>
      <c r="I397" t="str">
        <f>INDEX(products!$A$1:$G$49,MATCH(orders!$D397,products!$A$1:$A$49,0),MATCH(orders!I$1,products!$A$1:$G$1,0))</f>
        <v>Lib</v>
      </c>
      <c r="J397" t="str">
        <f>INDEX(products!$A$1:$G$49,MATCH(orders!$D397,products!$A$1:$A$49,0),MATCH(orders!J$1,products!$A$1:$G$1,0))</f>
        <v>D</v>
      </c>
      <c r="K397" s="7">
        <f>INDEX(products!$A$1:$G$49,MATCH(orders!$D397,products!$A$1:$A$49,0),MATCH(orders!K$1,products!$A$1:$G$1,0))</f>
        <v>0.5</v>
      </c>
      <c r="L397" s="4">
        <f>INDEX(products!$A$1:$G$49,MATCH(orders!$D397,products!$A$1:$A$49,0),MATCH(orders!L$1,products!$A$1:$G$1,0))</f>
        <v>7.77</v>
      </c>
      <c r="M397" s="4">
        <f t="shared" si="6"/>
        <v>46.62</v>
      </c>
      <c r="N397" t="str" cm="1">
        <f t="array" ref="N397">_xlfn.IFS(I397="Rob","Robusta",I397="Exc","Excelsa",I397="Ara","Arabica",I397="Lib","Liberica")</f>
        <v>Liberica</v>
      </c>
      <c r="O397" t="str" cm="1">
        <f t="array" ref="O397">_xlfn.IFS(J397="M","Medium",J397="L","Large",J397="D","Dark")</f>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_xlfn.XLOOKUP(C398,customers!$A$1:$A$1001,customers!$B$1:$B$1001,,0)</f>
        <v>Xenos Gibbons</v>
      </c>
      <c r="G398" s="2" t="str">
        <f>IF(_xlfn.XLOOKUP(C398,customers!$A$1:$A$1001,customers!$C$1:$C$1001,,0)=0,"",_xlfn.XLOOKUP(C398,customers!$A$1:$A$1001,customers!$C$1:$C$1001,,0))</f>
        <v>xgibbonsb0@artisteer.com</v>
      </c>
      <c r="H398" s="2" t="str">
        <f>_xlfn.XLOOKUP(C398,customers!$A$1:$A$1001,customers!$G$1:$G$1001,,0)</f>
        <v>United States</v>
      </c>
      <c r="I398" t="str">
        <f>INDEX(products!$A$1:$G$49,MATCH(orders!$D398,products!$A$1:$A$49,0),MATCH(orders!I$1,products!$A$1:$G$1,0))</f>
        <v>Ara</v>
      </c>
      <c r="J398" t="str">
        <f>INDEX(products!$A$1:$G$49,MATCH(orders!$D398,products!$A$1:$A$49,0),MATCH(orders!J$1,products!$A$1:$G$1,0))</f>
        <v>L</v>
      </c>
      <c r="K398" s="7">
        <f>INDEX(products!$A$1:$G$49,MATCH(orders!$D398,products!$A$1:$A$49,0),MATCH(orders!K$1,products!$A$1:$G$1,0))</f>
        <v>0.5</v>
      </c>
      <c r="L398" s="4">
        <f>INDEX(products!$A$1:$G$49,MATCH(orders!$D398,products!$A$1:$A$49,0),MATCH(orders!L$1,products!$A$1:$G$1,0))</f>
        <v>7.77</v>
      </c>
      <c r="M398" s="4">
        <f t="shared" si="6"/>
        <v>38.849999999999994</v>
      </c>
      <c r="N398" t="str" cm="1">
        <f t="array" ref="N398">_xlfn.IFS(I398="Rob","Robusta",I398="Exc","Excelsa",I398="Ara","Arabica",I398="Lib","Liberica")</f>
        <v>Arabica</v>
      </c>
      <c r="O398" t="str" cm="1">
        <f t="array" ref="O398">_xlfn.IFS(J398="M","Medium",J398="L","Large",J398="D","Dark")</f>
        <v>Large</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_xlfn.XLOOKUP(C399,customers!$A$1:$A$1001,customers!$B$1:$B$1001,,0)</f>
        <v>Fleur Parres</v>
      </c>
      <c r="G399" s="2" t="str">
        <f>IF(_xlfn.XLOOKUP(C399,customers!$A$1:$A$1001,customers!$C$1:$C$1001,,0)=0,"",_xlfn.XLOOKUP(C399,customers!$A$1:$A$1001,customers!$C$1:$C$1001,,0))</f>
        <v>fparresb1@imageshack.us</v>
      </c>
      <c r="H399" s="2" t="str">
        <f>_xlfn.XLOOKUP(C399,customers!$A$1:$A$1001,customers!$G$1:$G$1001,,0)</f>
        <v>United States</v>
      </c>
      <c r="I399" t="str">
        <f>INDEX(products!$A$1:$G$49,MATCH(orders!$D399,products!$A$1:$A$49,0),MATCH(orders!I$1,products!$A$1:$G$1,0))</f>
        <v>Lib</v>
      </c>
      <c r="J399" t="str">
        <f>INDEX(products!$A$1:$G$49,MATCH(orders!$D399,products!$A$1:$A$49,0),MATCH(orders!J$1,products!$A$1:$G$1,0))</f>
        <v>D</v>
      </c>
      <c r="K399" s="7">
        <f>INDEX(products!$A$1:$G$49,MATCH(orders!$D399,products!$A$1:$A$49,0),MATCH(orders!K$1,products!$A$1:$G$1,0))</f>
        <v>0.5</v>
      </c>
      <c r="L399" s="4">
        <f>INDEX(products!$A$1:$G$49,MATCH(orders!$D399,products!$A$1:$A$49,0),MATCH(orders!L$1,products!$A$1:$G$1,0))</f>
        <v>7.77</v>
      </c>
      <c r="M399" s="4">
        <f t="shared" si="6"/>
        <v>31.08</v>
      </c>
      <c r="N399" t="str" cm="1">
        <f t="array" ref="N399">_xlfn.IFS(I399="Rob","Robusta",I399="Exc","Excelsa",I399="Ara","Arabica",I399="Lib","Liberica")</f>
        <v>Liberica</v>
      </c>
      <c r="O399" t="str" cm="1">
        <f t="array" ref="O399">_xlfn.IFS(J399="M","Medium",J399="L","Large",J399="D","Dark")</f>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_xlfn.XLOOKUP(C400,customers!$A$1:$A$1001,customers!$B$1:$B$1001,,0)</f>
        <v>Gran Sibray</v>
      </c>
      <c r="G400" s="2" t="str">
        <f>IF(_xlfn.XLOOKUP(C400,customers!$A$1:$A$1001,customers!$C$1:$C$1001,,0)=0,"",_xlfn.XLOOKUP(C400,customers!$A$1:$A$1001,customers!$C$1:$C$1001,,0))</f>
        <v>gsibrayb2@wsj.com</v>
      </c>
      <c r="H400" s="2" t="str">
        <f>_xlfn.XLOOKUP(C400,customers!$A$1:$A$1001,customers!$G$1:$G$1001,,0)</f>
        <v>United States</v>
      </c>
      <c r="I400" t="str">
        <f>INDEX(products!$A$1:$G$49,MATCH(orders!$D400,products!$A$1:$A$49,0),MATCH(orders!I$1,products!$A$1:$G$1,0))</f>
        <v>Ara</v>
      </c>
      <c r="J400" t="str">
        <f>INDEX(products!$A$1:$G$49,MATCH(orders!$D400,products!$A$1:$A$49,0),MATCH(orders!J$1,products!$A$1:$G$1,0))</f>
        <v>D</v>
      </c>
      <c r="K400" s="7">
        <f>INDEX(products!$A$1:$G$49,MATCH(orders!$D400,products!$A$1:$A$49,0),MATCH(orders!K$1,products!$A$1:$G$1,0))</f>
        <v>0.2</v>
      </c>
      <c r="L400" s="4">
        <f>INDEX(products!$A$1:$G$49,MATCH(orders!$D400,products!$A$1:$A$49,0),MATCH(orders!L$1,products!$A$1:$G$1,0))</f>
        <v>2.9849999999999999</v>
      </c>
      <c r="M400" s="4">
        <f t="shared" si="6"/>
        <v>17.91</v>
      </c>
      <c r="N400" t="str" cm="1">
        <f t="array" ref="N400">_xlfn.IFS(I400="Rob","Robusta",I400="Exc","Excelsa",I400="Ara","Arabica",I400="Lib","Liberica")</f>
        <v>Arabica</v>
      </c>
      <c r="O400" t="str" cm="1">
        <f t="array" ref="O400">_xlfn.IFS(J400="M","Medium",J400="L","Large",J400="D","Dark")</f>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_xlfn.XLOOKUP(C401,customers!$A$1:$A$1001,customers!$B$1:$B$1001,,0)</f>
        <v>Ingelbert Hotchkin</v>
      </c>
      <c r="G401" s="2" t="str">
        <f>IF(_xlfn.XLOOKUP(C401,customers!$A$1:$A$1001,customers!$C$1:$C$1001,,0)=0,"",_xlfn.XLOOKUP(C401,customers!$A$1:$A$1001,customers!$C$1:$C$1001,,0))</f>
        <v>ihotchkinb3@mit.edu</v>
      </c>
      <c r="H401" s="2" t="str">
        <f>_xlfn.XLOOKUP(C401,customers!$A$1:$A$1001,customers!$G$1:$G$1001,,0)</f>
        <v>United Kingdom</v>
      </c>
      <c r="I401" t="str">
        <f>INDEX(products!$A$1:$G$49,MATCH(orders!$D401,products!$A$1:$A$49,0),MATCH(orders!I$1,products!$A$1:$G$1,0))</f>
        <v>Exc</v>
      </c>
      <c r="J401" t="str">
        <f>INDEX(products!$A$1:$G$49,MATCH(orders!$D401,products!$A$1:$A$49,0),MATCH(orders!J$1,products!$A$1:$G$1,0))</f>
        <v>D</v>
      </c>
      <c r="K401" s="7">
        <f>INDEX(products!$A$1:$G$49,MATCH(orders!$D401,products!$A$1:$A$49,0),MATCH(orders!K$1,products!$A$1:$G$1,0))</f>
        <v>2.5</v>
      </c>
      <c r="L401" s="4">
        <f>INDEX(products!$A$1:$G$49,MATCH(orders!$D401,products!$A$1:$A$49,0),MATCH(orders!L$1,products!$A$1:$G$1,0))</f>
        <v>27.945</v>
      </c>
      <c r="M401" s="4">
        <f t="shared" si="6"/>
        <v>167.67000000000002</v>
      </c>
      <c r="N401" t="str" cm="1">
        <f t="array" ref="N401">_xlfn.IFS(I401="Rob","Robusta",I401="Exc","Excelsa",I401="Ara","Arabica",I401="Lib","Liberica")</f>
        <v>Excelsa</v>
      </c>
      <c r="O401" t="str" cm="1">
        <f t="array" ref="O401">_xlfn.IFS(J401="M","Medium",J401="L","Large",J401="D","Dark")</f>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_xlfn.XLOOKUP(C402,customers!$A$1:$A$1001,customers!$B$1:$B$1001,,0)</f>
        <v>Neely Broadberrie</v>
      </c>
      <c r="G402" s="2" t="str">
        <f>IF(_xlfn.XLOOKUP(C402,customers!$A$1:$A$1001,customers!$C$1:$C$1001,,0)=0,"",_xlfn.XLOOKUP(C402,customers!$A$1:$A$1001,customers!$C$1:$C$1001,,0))</f>
        <v>nbroadberrieb4@gnu.org</v>
      </c>
      <c r="H402" s="2" t="str">
        <f>_xlfn.XLOOKUP(C402,customers!$A$1:$A$1001,customers!$G$1:$G$1001,,0)</f>
        <v>United States</v>
      </c>
      <c r="I402" t="str">
        <f>INDEX(products!$A$1:$G$49,MATCH(orders!$D402,products!$A$1:$A$49,0),MATCH(orders!I$1,products!$A$1:$G$1,0))</f>
        <v>Lib</v>
      </c>
      <c r="J402" t="str">
        <f>INDEX(products!$A$1:$G$49,MATCH(orders!$D402,products!$A$1:$A$49,0),MATCH(orders!J$1,products!$A$1:$G$1,0))</f>
        <v>L</v>
      </c>
      <c r="K402" s="7">
        <f>INDEX(products!$A$1:$G$49,MATCH(orders!$D402,products!$A$1:$A$49,0),MATCH(orders!K$1,products!$A$1:$G$1,0))</f>
        <v>1</v>
      </c>
      <c r="L402" s="4">
        <f>INDEX(products!$A$1:$G$49,MATCH(orders!$D402,products!$A$1:$A$49,0),MATCH(orders!L$1,products!$A$1:$G$1,0))</f>
        <v>15.85</v>
      </c>
      <c r="M402" s="4">
        <f t="shared" si="6"/>
        <v>63.4</v>
      </c>
      <c r="N402" t="str" cm="1">
        <f t="array" ref="N402">_xlfn.IFS(I402="Rob","Robusta",I402="Exc","Excelsa",I402="Ara","Arabica",I402="Lib","Liberica")</f>
        <v>Liberica</v>
      </c>
      <c r="O402" t="str" cm="1">
        <f t="array" ref="O402">_xlfn.IFS(J402="M","Medium",J402="L","Large",J402="D","Dark")</f>
        <v>Large</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_xlfn.XLOOKUP(C403,customers!$A$1:$A$1001,customers!$B$1:$B$1001,,0)</f>
        <v>Rutger Pithcock</v>
      </c>
      <c r="G403" s="2" t="str">
        <f>IF(_xlfn.XLOOKUP(C403,customers!$A$1:$A$1001,customers!$C$1:$C$1001,,0)=0,"",_xlfn.XLOOKUP(C403,customers!$A$1:$A$1001,customers!$C$1:$C$1001,,0))</f>
        <v>rpithcockb5@yellowbook.com</v>
      </c>
      <c r="H403" s="2" t="str">
        <f>_xlfn.XLOOKUP(C403,customers!$A$1:$A$1001,customers!$G$1:$G$1001,,0)</f>
        <v>United States</v>
      </c>
      <c r="I403" t="str">
        <f>INDEX(products!$A$1:$G$49,MATCH(orders!$D403,products!$A$1:$A$49,0),MATCH(orders!I$1,products!$A$1:$G$1,0))</f>
        <v>Lib</v>
      </c>
      <c r="J403" t="str">
        <f>INDEX(products!$A$1:$G$49,MATCH(orders!$D403,products!$A$1:$A$49,0),MATCH(orders!J$1,products!$A$1:$G$1,0))</f>
        <v>M</v>
      </c>
      <c r="K403" s="7">
        <f>INDEX(products!$A$1:$G$49,MATCH(orders!$D403,products!$A$1:$A$49,0),MATCH(orders!K$1,products!$A$1:$G$1,0))</f>
        <v>0.2</v>
      </c>
      <c r="L403" s="4">
        <f>INDEX(products!$A$1:$G$49,MATCH(orders!$D403,products!$A$1:$A$49,0),MATCH(orders!L$1,products!$A$1:$G$1,0))</f>
        <v>4.3650000000000002</v>
      </c>
      <c r="M403" s="4">
        <f t="shared" si="6"/>
        <v>8.73</v>
      </c>
      <c r="N403" t="str" cm="1">
        <f t="array" ref="N403">_xlfn.IFS(I403="Rob","Robusta",I403="Exc","Excelsa",I403="Ara","Arabica",I403="Lib","Liberica")</f>
        <v>Liberica</v>
      </c>
      <c r="O403" t="str" cm="1">
        <f t="array" ref="O403">_xlfn.IFS(J403="M","Medium",J403="L","Large",J403="D","Dark")</f>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_xlfn.XLOOKUP(C404,customers!$A$1:$A$1001,customers!$B$1:$B$1001,,0)</f>
        <v>Gale Croysdale</v>
      </c>
      <c r="G404" s="2" t="str">
        <f>IF(_xlfn.XLOOKUP(C404,customers!$A$1:$A$1001,customers!$C$1:$C$1001,,0)=0,"",_xlfn.XLOOKUP(C404,customers!$A$1:$A$1001,customers!$C$1:$C$1001,,0))</f>
        <v>gcroysdaleb6@nih.gov</v>
      </c>
      <c r="H404" s="2" t="str">
        <f>_xlfn.XLOOKUP(C404,customers!$A$1:$A$1001,customers!$G$1:$G$1001,,0)</f>
        <v>United States</v>
      </c>
      <c r="I404" t="str">
        <f>INDEX(products!$A$1:$G$49,MATCH(orders!$D404,products!$A$1:$A$49,0),MATCH(orders!I$1,products!$A$1:$G$1,0))</f>
        <v>Rob</v>
      </c>
      <c r="J404" t="str">
        <f>INDEX(products!$A$1:$G$49,MATCH(orders!$D404,products!$A$1:$A$49,0),MATCH(orders!J$1,products!$A$1:$G$1,0))</f>
        <v>D</v>
      </c>
      <c r="K404" s="7">
        <f>INDEX(products!$A$1:$G$49,MATCH(orders!$D404,products!$A$1:$A$49,0),MATCH(orders!K$1,products!$A$1:$G$1,0))</f>
        <v>1</v>
      </c>
      <c r="L404" s="4">
        <f>INDEX(products!$A$1:$G$49,MATCH(orders!$D404,products!$A$1:$A$49,0),MATCH(orders!L$1,products!$A$1:$G$1,0))</f>
        <v>8.9499999999999993</v>
      </c>
      <c r="M404" s="4">
        <f t="shared" si="6"/>
        <v>26.849999999999998</v>
      </c>
      <c r="N404" t="str" cm="1">
        <f t="array" ref="N404">_xlfn.IFS(I404="Rob","Robusta",I404="Exc","Excelsa",I404="Ara","Arabica",I404="Lib","Liberica")</f>
        <v>Robusta</v>
      </c>
      <c r="O404" t="str" cm="1">
        <f t="array" ref="O404">_xlfn.IFS(J404="M","Medium",J404="L","Large",J404="D","Dark")</f>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_xlfn.XLOOKUP(C405,customers!$A$1:$A$1001,customers!$B$1:$B$1001,,0)</f>
        <v>Benedetto Gozzett</v>
      </c>
      <c r="G405" s="2" t="str">
        <f>IF(_xlfn.XLOOKUP(C405,customers!$A$1:$A$1001,customers!$C$1:$C$1001,,0)=0,"",_xlfn.XLOOKUP(C405,customers!$A$1:$A$1001,customers!$C$1:$C$1001,,0))</f>
        <v>bgozzettb7@github.com</v>
      </c>
      <c r="H405" s="2" t="str">
        <f>_xlfn.XLOOKUP(C405,customers!$A$1:$A$1001,customers!$G$1:$G$1001,,0)</f>
        <v>United States</v>
      </c>
      <c r="I405" t="str">
        <f>INDEX(products!$A$1:$G$49,MATCH(orders!$D405,products!$A$1:$A$49,0),MATCH(orders!I$1,products!$A$1:$G$1,0))</f>
        <v>Lib</v>
      </c>
      <c r="J405" t="str">
        <f>INDEX(products!$A$1:$G$49,MATCH(orders!$D405,products!$A$1:$A$49,0),MATCH(orders!J$1,products!$A$1:$G$1,0))</f>
        <v>L</v>
      </c>
      <c r="K405" s="7">
        <f>INDEX(products!$A$1:$G$49,MATCH(orders!$D405,products!$A$1:$A$49,0),MATCH(orders!K$1,products!$A$1:$G$1,0))</f>
        <v>0.2</v>
      </c>
      <c r="L405" s="4">
        <f>INDEX(products!$A$1:$G$49,MATCH(orders!$D405,products!$A$1:$A$49,0),MATCH(orders!L$1,products!$A$1:$G$1,0))</f>
        <v>4.7549999999999999</v>
      </c>
      <c r="M405" s="4">
        <f t="shared" si="6"/>
        <v>9.51</v>
      </c>
      <c r="N405" t="str" cm="1">
        <f t="array" ref="N405">_xlfn.IFS(I405="Rob","Robusta",I405="Exc","Excelsa",I405="Ara","Arabica",I405="Lib","Liberica")</f>
        <v>Liberica</v>
      </c>
      <c r="O405" t="str" cm="1">
        <f t="array" ref="O405">_xlfn.IFS(J405="M","Medium",J405="L","Large",J405="D","Dark")</f>
        <v>Large</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_xlfn.XLOOKUP(C406,customers!$A$1:$A$1001,customers!$B$1:$B$1001,,0)</f>
        <v>Tania Craggs</v>
      </c>
      <c r="G406" s="2" t="str">
        <f>IF(_xlfn.XLOOKUP(C406,customers!$A$1:$A$1001,customers!$C$1:$C$1001,,0)=0,"",_xlfn.XLOOKUP(C406,customers!$A$1:$A$1001,customers!$C$1:$C$1001,,0))</f>
        <v>tcraggsb8@house.gov</v>
      </c>
      <c r="H406" s="2" t="str">
        <f>_xlfn.XLOOKUP(C406,customers!$A$1:$A$1001,customers!$G$1:$G$1001,,0)</f>
        <v>Ireland</v>
      </c>
      <c r="I406" t="str">
        <f>INDEX(products!$A$1:$G$49,MATCH(orders!$D406,products!$A$1:$A$49,0),MATCH(orders!I$1,products!$A$1:$G$1,0))</f>
        <v>Ara</v>
      </c>
      <c r="J406" t="str">
        <f>INDEX(products!$A$1:$G$49,MATCH(orders!$D406,products!$A$1:$A$49,0),MATCH(orders!J$1,products!$A$1:$G$1,0))</f>
        <v>D</v>
      </c>
      <c r="K406" s="7">
        <f>INDEX(products!$A$1:$G$49,MATCH(orders!$D406,products!$A$1:$A$49,0),MATCH(orders!K$1,products!$A$1:$G$1,0))</f>
        <v>1</v>
      </c>
      <c r="L406" s="4">
        <f>INDEX(products!$A$1:$G$49,MATCH(orders!$D406,products!$A$1:$A$49,0),MATCH(orders!L$1,products!$A$1:$G$1,0))</f>
        <v>9.9499999999999993</v>
      </c>
      <c r="M406" s="4">
        <f t="shared" si="6"/>
        <v>39.799999999999997</v>
      </c>
      <c r="N406" t="str" cm="1">
        <f t="array" ref="N406">_xlfn.IFS(I406="Rob","Robusta",I406="Exc","Excelsa",I406="Ara","Arabica",I406="Lib","Liberica")</f>
        <v>Arabica</v>
      </c>
      <c r="O406" t="str" cm="1">
        <f t="array" ref="O406">_xlfn.IFS(J406="M","Medium",J406="L","Large",J406="D","Dark")</f>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_xlfn.XLOOKUP(C407,customers!$A$1:$A$1001,customers!$B$1:$B$1001,,0)</f>
        <v>Leonie Cullrford</v>
      </c>
      <c r="G407" s="2" t="str">
        <f>IF(_xlfn.XLOOKUP(C407,customers!$A$1:$A$1001,customers!$C$1:$C$1001,,0)=0,"",_xlfn.XLOOKUP(C407,customers!$A$1:$A$1001,customers!$C$1:$C$1001,,0))</f>
        <v>lcullrfordb9@xing.com</v>
      </c>
      <c r="H407" s="2" t="str">
        <f>_xlfn.XLOOKUP(C407,customers!$A$1:$A$1001,customers!$G$1:$G$1001,,0)</f>
        <v>United States</v>
      </c>
      <c r="I407" t="str">
        <f>INDEX(products!$A$1:$G$49,MATCH(orders!$D407,products!$A$1:$A$49,0),MATCH(orders!I$1,products!$A$1:$G$1,0))</f>
        <v>Exc</v>
      </c>
      <c r="J407" t="str">
        <f>INDEX(products!$A$1:$G$49,MATCH(orders!$D407,products!$A$1:$A$49,0),MATCH(orders!J$1,products!$A$1:$G$1,0))</f>
        <v>M</v>
      </c>
      <c r="K407" s="7">
        <f>INDEX(products!$A$1:$G$49,MATCH(orders!$D407,products!$A$1:$A$49,0),MATCH(orders!K$1,products!$A$1:$G$1,0))</f>
        <v>0.5</v>
      </c>
      <c r="L407" s="4">
        <f>INDEX(products!$A$1:$G$49,MATCH(orders!$D407,products!$A$1:$A$49,0),MATCH(orders!L$1,products!$A$1:$G$1,0))</f>
        <v>8.25</v>
      </c>
      <c r="M407" s="4">
        <f t="shared" si="6"/>
        <v>24.75</v>
      </c>
      <c r="N407" t="str" cm="1">
        <f t="array" ref="N407">_xlfn.IFS(I407="Rob","Robusta",I407="Exc","Excelsa",I407="Ara","Arabica",I407="Lib","Liberica")</f>
        <v>Excelsa</v>
      </c>
      <c r="O407" t="str" cm="1">
        <f t="array" ref="O407">_xlfn.IFS(J407="M","Medium",J407="L","Large",J407="D","Dark")</f>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_xlfn.XLOOKUP(C408,customers!$A$1:$A$1001,customers!$B$1:$B$1001,,0)</f>
        <v>Auguste Rizon</v>
      </c>
      <c r="G408" s="2" t="str">
        <f>IF(_xlfn.XLOOKUP(C408,customers!$A$1:$A$1001,customers!$C$1:$C$1001,,0)=0,"",_xlfn.XLOOKUP(C408,customers!$A$1:$A$1001,customers!$C$1:$C$1001,,0))</f>
        <v>arizonba@xing.com</v>
      </c>
      <c r="H408" s="2" t="str">
        <f>_xlfn.XLOOKUP(C408,customers!$A$1:$A$1001,customers!$G$1:$G$1001,,0)</f>
        <v>United States</v>
      </c>
      <c r="I408" t="str">
        <f>INDEX(products!$A$1:$G$49,MATCH(orders!$D408,products!$A$1:$A$49,0),MATCH(orders!I$1,products!$A$1:$G$1,0))</f>
        <v>Exc</v>
      </c>
      <c r="J408" t="str">
        <f>INDEX(products!$A$1:$G$49,MATCH(orders!$D408,products!$A$1:$A$49,0),MATCH(orders!J$1,products!$A$1:$G$1,0))</f>
        <v>M</v>
      </c>
      <c r="K408" s="7">
        <f>INDEX(products!$A$1:$G$49,MATCH(orders!$D408,products!$A$1:$A$49,0),MATCH(orders!K$1,products!$A$1:$G$1,0))</f>
        <v>1</v>
      </c>
      <c r="L408" s="4">
        <f>INDEX(products!$A$1:$G$49,MATCH(orders!$D408,products!$A$1:$A$49,0),MATCH(orders!L$1,products!$A$1:$G$1,0))</f>
        <v>13.75</v>
      </c>
      <c r="M408" s="4">
        <f t="shared" si="6"/>
        <v>68.75</v>
      </c>
      <c r="N408" t="str" cm="1">
        <f t="array" ref="N408">_xlfn.IFS(I408="Rob","Robusta",I408="Exc","Excelsa",I408="Ara","Arabica",I408="Lib","Liberica")</f>
        <v>Excelsa</v>
      </c>
      <c r="O408" t="str" cm="1">
        <f t="array" ref="O408">_xlfn.IFS(J408="M","Medium",J408="L","Large",J408="D","Dark")</f>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_xlfn.XLOOKUP(C409,customers!$A$1:$A$1001,customers!$B$1:$B$1001,,0)</f>
        <v>Lorin Guerrazzi</v>
      </c>
      <c r="G409" s="2" t="str">
        <f>IF(_xlfn.XLOOKUP(C409,customers!$A$1:$A$1001,customers!$C$1:$C$1001,,0)=0,"",_xlfn.XLOOKUP(C409,customers!$A$1:$A$1001,customers!$C$1:$C$1001,,0))</f>
        <v/>
      </c>
      <c r="H409" s="2" t="str">
        <f>_xlfn.XLOOKUP(C409,customers!$A$1:$A$1001,customers!$G$1:$G$1001,,0)</f>
        <v>Ireland</v>
      </c>
      <c r="I409" t="str">
        <f>INDEX(products!$A$1:$G$49,MATCH(orders!$D409,products!$A$1:$A$49,0),MATCH(orders!I$1,products!$A$1:$G$1,0))</f>
        <v>Exc</v>
      </c>
      <c r="J409" t="str">
        <f>INDEX(products!$A$1:$G$49,MATCH(orders!$D409,products!$A$1:$A$49,0),MATCH(orders!J$1,products!$A$1:$G$1,0))</f>
        <v>M</v>
      </c>
      <c r="K409" s="7">
        <f>INDEX(products!$A$1:$G$49,MATCH(orders!$D409,products!$A$1:$A$49,0),MATCH(orders!K$1,products!$A$1:$G$1,0))</f>
        <v>0.5</v>
      </c>
      <c r="L409" s="4">
        <f>INDEX(products!$A$1:$G$49,MATCH(orders!$D409,products!$A$1:$A$49,0),MATCH(orders!L$1,products!$A$1:$G$1,0))</f>
        <v>8.25</v>
      </c>
      <c r="M409" s="4">
        <f t="shared" si="6"/>
        <v>49.5</v>
      </c>
      <c r="N409" t="str" cm="1">
        <f t="array" ref="N409">_xlfn.IFS(I409="Rob","Robusta",I409="Exc","Excelsa",I409="Ara","Arabica",I409="Lib","Liberica")</f>
        <v>Excelsa</v>
      </c>
      <c r="O409" t="str" cm="1">
        <f t="array" ref="O409">_xlfn.IFS(J409="M","Medium",J409="L","Large",J409="D","Dark")</f>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_xlfn.XLOOKUP(C410,customers!$A$1:$A$1001,customers!$B$1:$B$1001,,0)</f>
        <v>Felice Miell</v>
      </c>
      <c r="G410" s="2" t="str">
        <f>IF(_xlfn.XLOOKUP(C410,customers!$A$1:$A$1001,customers!$C$1:$C$1001,,0)=0,"",_xlfn.XLOOKUP(C410,customers!$A$1:$A$1001,customers!$C$1:$C$1001,,0))</f>
        <v>fmiellbc@spiegel.de</v>
      </c>
      <c r="H410" s="2" t="str">
        <f>_xlfn.XLOOKUP(C410,customers!$A$1:$A$1001,customers!$G$1:$G$1001,,0)</f>
        <v>United States</v>
      </c>
      <c r="I410" t="str">
        <f>INDEX(products!$A$1:$G$49,MATCH(orders!$D410,products!$A$1:$A$49,0),MATCH(orders!I$1,products!$A$1:$G$1,0))</f>
        <v>Ara</v>
      </c>
      <c r="J410" t="str">
        <f>INDEX(products!$A$1:$G$49,MATCH(orders!$D410,products!$A$1:$A$49,0),MATCH(orders!J$1,products!$A$1:$G$1,0))</f>
        <v>M</v>
      </c>
      <c r="K410" s="7">
        <f>INDEX(products!$A$1:$G$49,MATCH(orders!$D410,products!$A$1:$A$49,0),MATCH(orders!K$1,products!$A$1:$G$1,0))</f>
        <v>2.5</v>
      </c>
      <c r="L410" s="4">
        <f>INDEX(products!$A$1:$G$49,MATCH(orders!$D410,products!$A$1:$A$49,0),MATCH(orders!L$1,products!$A$1:$G$1,0))</f>
        <v>25.874999999999996</v>
      </c>
      <c r="M410" s="4">
        <f t="shared" si="6"/>
        <v>51.749999999999993</v>
      </c>
      <c r="N410" t="str" cm="1">
        <f t="array" ref="N410">_xlfn.IFS(I410="Rob","Robusta",I410="Exc","Excelsa",I410="Ara","Arabica",I410="Lib","Liberica")</f>
        <v>Arabica</v>
      </c>
      <c r="O410" t="str" cm="1">
        <f t="array" ref="O410">_xlfn.IFS(J410="M","Medium",J410="L","Large",J410="D","Dark")</f>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_xlfn.XLOOKUP(C411,customers!$A$1:$A$1001,customers!$B$1:$B$1001,,0)</f>
        <v>Hamish Skeech</v>
      </c>
      <c r="G411" s="2" t="str">
        <f>IF(_xlfn.XLOOKUP(C411,customers!$A$1:$A$1001,customers!$C$1:$C$1001,,0)=0,"",_xlfn.XLOOKUP(C411,customers!$A$1:$A$1001,customers!$C$1:$C$1001,,0))</f>
        <v/>
      </c>
      <c r="H411" s="2" t="str">
        <f>_xlfn.XLOOKUP(C411,customers!$A$1:$A$1001,customers!$G$1:$G$1001,,0)</f>
        <v>Ireland</v>
      </c>
      <c r="I411" t="str">
        <f>INDEX(products!$A$1:$G$49,MATCH(orders!$D411,products!$A$1:$A$49,0),MATCH(orders!I$1,products!$A$1:$G$1,0))</f>
        <v>Lib</v>
      </c>
      <c r="J411" t="str">
        <f>INDEX(products!$A$1:$G$49,MATCH(orders!$D411,products!$A$1:$A$49,0),MATCH(orders!J$1,products!$A$1:$G$1,0))</f>
        <v>L</v>
      </c>
      <c r="K411" s="7">
        <f>INDEX(products!$A$1:$G$49,MATCH(orders!$D411,products!$A$1:$A$49,0),MATCH(orders!K$1,products!$A$1:$G$1,0))</f>
        <v>1</v>
      </c>
      <c r="L411" s="4">
        <f>INDEX(products!$A$1:$G$49,MATCH(orders!$D411,products!$A$1:$A$49,0),MATCH(orders!L$1,products!$A$1:$G$1,0))</f>
        <v>15.85</v>
      </c>
      <c r="M411" s="4">
        <f t="shared" si="6"/>
        <v>47.55</v>
      </c>
      <c r="N411" t="str" cm="1">
        <f t="array" ref="N411">_xlfn.IFS(I411="Rob","Robusta",I411="Exc","Excelsa",I411="Ara","Arabica",I411="Lib","Liberica")</f>
        <v>Liberica</v>
      </c>
      <c r="O411" t="str" cm="1">
        <f t="array" ref="O411">_xlfn.IFS(J411="M","Medium",J411="L","Large",J411="D","Dark")</f>
        <v>Large</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_xlfn.XLOOKUP(C412,customers!$A$1:$A$1001,customers!$B$1:$B$1001,,0)</f>
        <v>Giordano Lorenzin</v>
      </c>
      <c r="G412" s="2" t="str">
        <f>IF(_xlfn.XLOOKUP(C412,customers!$A$1:$A$1001,customers!$C$1:$C$1001,,0)=0,"",_xlfn.XLOOKUP(C412,customers!$A$1:$A$1001,customers!$C$1:$C$1001,,0))</f>
        <v/>
      </c>
      <c r="H412" s="2" t="str">
        <f>_xlfn.XLOOKUP(C412,customers!$A$1:$A$1001,customers!$G$1:$G$1001,,0)</f>
        <v>United States</v>
      </c>
      <c r="I412" t="str">
        <f>INDEX(products!$A$1:$G$49,MATCH(orders!$D412,products!$A$1:$A$49,0),MATCH(orders!I$1,products!$A$1:$G$1,0))</f>
        <v>Ara</v>
      </c>
      <c r="J412" t="str">
        <f>INDEX(products!$A$1:$G$49,MATCH(orders!$D412,products!$A$1:$A$49,0),MATCH(orders!J$1,products!$A$1:$G$1,0))</f>
        <v>L</v>
      </c>
      <c r="K412" s="7">
        <f>INDEX(products!$A$1:$G$49,MATCH(orders!$D412,products!$A$1:$A$49,0),MATCH(orders!K$1,products!$A$1:$G$1,0))</f>
        <v>0.2</v>
      </c>
      <c r="L412" s="4">
        <f>INDEX(products!$A$1:$G$49,MATCH(orders!$D412,products!$A$1:$A$49,0),MATCH(orders!L$1,products!$A$1:$G$1,0))</f>
        <v>3.8849999999999998</v>
      </c>
      <c r="M412" s="4">
        <f t="shared" si="6"/>
        <v>15.54</v>
      </c>
      <c r="N412" t="str" cm="1">
        <f t="array" ref="N412">_xlfn.IFS(I412="Rob","Robusta",I412="Exc","Excelsa",I412="Ara","Arabica",I412="Lib","Liberica")</f>
        <v>Arabica</v>
      </c>
      <c r="O412" t="str" cm="1">
        <f t="array" ref="O412">_xlfn.IFS(J412="M","Medium",J412="L","Large",J412="D","Dark")</f>
        <v>Large</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_xlfn.XLOOKUP(C413,customers!$A$1:$A$1001,customers!$B$1:$B$1001,,0)</f>
        <v>Harwilll Bishell</v>
      </c>
      <c r="G413" s="2" t="str">
        <f>IF(_xlfn.XLOOKUP(C413,customers!$A$1:$A$1001,customers!$C$1:$C$1001,,0)=0,"",_xlfn.XLOOKUP(C413,customers!$A$1:$A$1001,customers!$C$1:$C$1001,,0))</f>
        <v/>
      </c>
      <c r="H413" s="2" t="str">
        <f>_xlfn.XLOOKUP(C413,customers!$A$1:$A$1001,customers!$G$1:$G$1001,,0)</f>
        <v>United States</v>
      </c>
      <c r="I413" t="str">
        <f>INDEX(products!$A$1:$G$49,MATCH(orders!$D413,products!$A$1:$A$49,0),MATCH(orders!I$1,products!$A$1:$G$1,0))</f>
        <v>Lib</v>
      </c>
      <c r="J413" t="str">
        <f>INDEX(products!$A$1:$G$49,MATCH(orders!$D413,products!$A$1:$A$49,0),MATCH(orders!J$1,products!$A$1:$G$1,0))</f>
        <v>M</v>
      </c>
      <c r="K413" s="7">
        <f>INDEX(products!$A$1:$G$49,MATCH(orders!$D413,products!$A$1:$A$49,0),MATCH(orders!K$1,products!$A$1:$G$1,0))</f>
        <v>1</v>
      </c>
      <c r="L413" s="4">
        <f>INDEX(products!$A$1:$G$49,MATCH(orders!$D413,products!$A$1:$A$49,0),MATCH(orders!L$1,products!$A$1:$G$1,0))</f>
        <v>14.55</v>
      </c>
      <c r="M413" s="4">
        <f t="shared" si="6"/>
        <v>87.300000000000011</v>
      </c>
      <c r="N413" t="str" cm="1">
        <f t="array" ref="N413">_xlfn.IFS(I413="Rob","Robusta",I413="Exc","Excelsa",I413="Ara","Arabica",I413="Lib","Liberica")</f>
        <v>Liberica</v>
      </c>
      <c r="O413" t="str" cm="1">
        <f t="array" ref="O413">_xlfn.IFS(J413="M","Medium",J413="L","Large",J413="D","Dark")</f>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_xlfn.XLOOKUP(C414,customers!$A$1:$A$1001,customers!$B$1:$B$1001,,0)</f>
        <v>Freeland Missenden</v>
      </c>
      <c r="G414" s="2" t="str">
        <f>IF(_xlfn.XLOOKUP(C414,customers!$A$1:$A$1001,customers!$C$1:$C$1001,,0)=0,"",_xlfn.XLOOKUP(C414,customers!$A$1:$A$1001,customers!$C$1:$C$1001,,0))</f>
        <v/>
      </c>
      <c r="H414" s="2" t="str">
        <f>_xlfn.XLOOKUP(C414,customers!$A$1:$A$1001,customers!$G$1:$G$1001,,0)</f>
        <v>United States</v>
      </c>
      <c r="I414" t="str">
        <f>INDEX(products!$A$1:$G$49,MATCH(orders!$D414,products!$A$1:$A$49,0),MATCH(orders!I$1,products!$A$1:$G$1,0))</f>
        <v>Ara</v>
      </c>
      <c r="J414" t="str">
        <f>INDEX(products!$A$1:$G$49,MATCH(orders!$D414,products!$A$1:$A$49,0),MATCH(orders!J$1,products!$A$1:$G$1,0))</f>
        <v>M</v>
      </c>
      <c r="K414" s="7">
        <f>INDEX(products!$A$1:$G$49,MATCH(orders!$D414,products!$A$1:$A$49,0),MATCH(orders!K$1,products!$A$1:$G$1,0))</f>
        <v>1</v>
      </c>
      <c r="L414" s="4">
        <f>INDEX(products!$A$1:$G$49,MATCH(orders!$D414,products!$A$1:$A$49,0),MATCH(orders!L$1,products!$A$1:$G$1,0))</f>
        <v>11.25</v>
      </c>
      <c r="M414" s="4">
        <f t="shared" si="6"/>
        <v>56.25</v>
      </c>
      <c r="N414" t="str" cm="1">
        <f t="array" ref="N414">_xlfn.IFS(I414="Rob","Robusta",I414="Exc","Excelsa",I414="Ara","Arabica",I414="Lib","Liberica")</f>
        <v>Arabica</v>
      </c>
      <c r="O414" t="str" cm="1">
        <f t="array" ref="O414">_xlfn.IFS(J414="M","Medium",J414="L","Large",J414="D","Dark")</f>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_xlfn.XLOOKUP(C415,customers!$A$1:$A$1001,customers!$B$1:$B$1001,,0)</f>
        <v>Waylan Springall</v>
      </c>
      <c r="G415" s="2" t="str">
        <f>IF(_xlfn.XLOOKUP(C415,customers!$A$1:$A$1001,customers!$C$1:$C$1001,,0)=0,"",_xlfn.XLOOKUP(C415,customers!$A$1:$A$1001,customers!$C$1:$C$1001,,0))</f>
        <v>wspringallbh@jugem.jp</v>
      </c>
      <c r="H415" s="2" t="str">
        <f>_xlfn.XLOOKUP(C415,customers!$A$1:$A$1001,customers!$G$1:$G$1001,,0)</f>
        <v>United States</v>
      </c>
      <c r="I415" t="str">
        <f>INDEX(products!$A$1:$G$49,MATCH(orders!$D415,products!$A$1:$A$49,0),MATCH(orders!I$1,products!$A$1:$G$1,0))</f>
        <v>Lib</v>
      </c>
      <c r="J415" t="str">
        <f>INDEX(products!$A$1:$G$49,MATCH(orders!$D415,products!$A$1:$A$49,0),MATCH(orders!J$1,products!$A$1:$G$1,0))</f>
        <v>L</v>
      </c>
      <c r="K415" s="7">
        <f>INDEX(products!$A$1:$G$49,MATCH(orders!$D415,products!$A$1:$A$49,0),MATCH(orders!K$1,products!$A$1:$G$1,0))</f>
        <v>2.5</v>
      </c>
      <c r="L415" s="4">
        <f>INDEX(products!$A$1:$G$49,MATCH(orders!$D415,products!$A$1:$A$49,0),MATCH(orders!L$1,products!$A$1:$G$1,0))</f>
        <v>36.454999999999998</v>
      </c>
      <c r="M415" s="4">
        <f t="shared" si="6"/>
        <v>36.454999999999998</v>
      </c>
      <c r="N415" t="str" cm="1">
        <f t="array" ref="N415">_xlfn.IFS(I415="Rob","Robusta",I415="Exc","Excelsa",I415="Ara","Arabica",I415="Lib","Liberica")</f>
        <v>Liberica</v>
      </c>
      <c r="O415" t="str" cm="1">
        <f t="array" ref="O415">_xlfn.IFS(J415="M","Medium",J415="L","Large",J415="D","Dark")</f>
        <v>Large</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_xlfn.XLOOKUP(C416,customers!$A$1:$A$1001,customers!$B$1:$B$1001,,0)</f>
        <v>Kiri Avramow</v>
      </c>
      <c r="G416" s="2" t="str">
        <f>IF(_xlfn.XLOOKUP(C416,customers!$A$1:$A$1001,customers!$C$1:$C$1001,,0)=0,"",_xlfn.XLOOKUP(C416,customers!$A$1:$A$1001,customers!$C$1:$C$1001,,0))</f>
        <v/>
      </c>
      <c r="H416" s="2" t="str">
        <f>_xlfn.XLOOKUP(C416,customers!$A$1:$A$1001,customers!$G$1:$G$1001,,0)</f>
        <v>United States</v>
      </c>
      <c r="I416" t="str">
        <f>INDEX(products!$A$1:$G$49,MATCH(orders!$D416,products!$A$1:$A$49,0),MATCH(orders!I$1,products!$A$1:$G$1,0))</f>
        <v>Rob</v>
      </c>
      <c r="J416" t="str">
        <f>INDEX(products!$A$1:$G$49,MATCH(orders!$D416,products!$A$1:$A$49,0),MATCH(orders!J$1,products!$A$1:$G$1,0))</f>
        <v>L</v>
      </c>
      <c r="K416" s="7">
        <f>INDEX(products!$A$1:$G$49,MATCH(orders!$D416,products!$A$1:$A$49,0),MATCH(orders!K$1,products!$A$1:$G$1,0))</f>
        <v>0.2</v>
      </c>
      <c r="L416" s="4">
        <f>INDEX(products!$A$1:$G$49,MATCH(orders!$D416,products!$A$1:$A$49,0),MATCH(orders!L$1,products!$A$1:$G$1,0))</f>
        <v>3.5849999999999995</v>
      </c>
      <c r="M416" s="4">
        <f t="shared" si="6"/>
        <v>10.754999999999999</v>
      </c>
      <c r="N416" t="str" cm="1">
        <f t="array" ref="N416">_xlfn.IFS(I416="Rob","Robusta",I416="Exc","Excelsa",I416="Ara","Arabica",I416="Lib","Liberica")</f>
        <v>Robusta</v>
      </c>
      <c r="O416" t="str" cm="1">
        <f t="array" ref="O416">_xlfn.IFS(J416="M","Medium",J416="L","Large",J416="D","Dark")</f>
        <v>Large</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_xlfn.XLOOKUP(C417,customers!$A$1:$A$1001,customers!$B$1:$B$1001,,0)</f>
        <v>Gregg Hawkyens</v>
      </c>
      <c r="G417" s="2" t="str">
        <f>IF(_xlfn.XLOOKUP(C417,customers!$A$1:$A$1001,customers!$C$1:$C$1001,,0)=0,"",_xlfn.XLOOKUP(C417,customers!$A$1:$A$1001,customers!$C$1:$C$1001,,0))</f>
        <v>ghawkyensbj@census.gov</v>
      </c>
      <c r="H417" s="2" t="str">
        <f>_xlfn.XLOOKUP(C417,customers!$A$1:$A$1001,customers!$G$1:$G$1001,,0)</f>
        <v>United States</v>
      </c>
      <c r="I417" t="str">
        <f>INDEX(products!$A$1:$G$49,MATCH(orders!$D417,products!$A$1:$A$49,0),MATCH(orders!I$1,products!$A$1:$G$1,0))</f>
        <v>Rob</v>
      </c>
      <c r="J417" t="str">
        <f>INDEX(products!$A$1:$G$49,MATCH(orders!$D417,products!$A$1:$A$49,0),MATCH(orders!J$1,products!$A$1:$G$1,0))</f>
        <v>M</v>
      </c>
      <c r="K417" s="7">
        <f>INDEX(products!$A$1:$G$49,MATCH(orders!$D417,products!$A$1:$A$49,0),MATCH(orders!K$1,products!$A$1:$G$1,0))</f>
        <v>0.2</v>
      </c>
      <c r="L417" s="4">
        <f>INDEX(products!$A$1:$G$49,MATCH(orders!$D417,products!$A$1:$A$49,0),MATCH(orders!L$1,products!$A$1:$G$1,0))</f>
        <v>2.9849999999999999</v>
      </c>
      <c r="M417" s="4">
        <f t="shared" si="6"/>
        <v>8.9550000000000001</v>
      </c>
      <c r="N417" t="str" cm="1">
        <f t="array" ref="N417">_xlfn.IFS(I417="Rob","Robusta",I417="Exc","Excelsa",I417="Ara","Arabica",I417="Lib","Liberica")</f>
        <v>Robusta</v>
      </c>
      <c r="O417" t="str" cm="1">
        <f t="array" ref="O417">_xlfn.IFS(J417="M","Medium",J417="L","Large",J417="D","Dark")</f>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_xlfn.XLOOKUP(C418,customers!$A$1:$A$1001,customers!$B$1:$B$1001,,0)</f>
        <v>Reggis Pracy</v>
      </c>
      <c r="G418" s="2" t="str">
        <f>IF(_xlfn.XLOOKUP(C418,customers!$A$1:$A$1001,customers!$C$1:$C$1001,,0)=0,"",_xlfn.XLOOKUP(C418,customers!$A$1:$A$1001,customers!$C$1:$C$1001,,0))</f>
        <v/>
      </c>
      <c r="H418" s="2" t="str">
        <f>_xlfn.XLOOKUP(C418,customers!$A$1:$A$1001,customers!$G$1:$G$1001,,0)</f>
        <v>United States</v>
      </c>
      <c r="I418" t="str">
        <f>INDEX(products!$A$1:$G$49,MATCH(orders!$D418,products!$A$1:$A$49,0),MATCH(orders!I$1,products!$A$1:$G$1,0))</f>
        <v>Ara</v>
      </c>
      <c r="J418" t="str">
        <f>INDEX(products!$A$1:$G$49,MATCH(orders!$D418,products!$A$1:$A$49,0),MATCH(orders!J$1,products!$A$1:$G$1,0))</f>
        <v>L</v>
      </c>
      <c r="K418" s="7">
        <f>INDEX(products!$A$1:$G$49,MATCH(orders!$D418,products!$A$1:$A$49,0),MATCH(orders!K$1,products!$A$1:$G$1,0))</f>
        <v>0.5</v>
      </c>
      <c r="L418" s="4">
        <f>INDEX(products!$A$1:$G$49,MATCH(orders!$D418,products!$A$1:$A$49,0),MATCH(orders!L$1,products!$A$1:$G$1,0))</f>
        <v>7.77</v>
      </c>
      <c r="M418" s="4">
        <f t="shared" si="6"/>
        <v>23.31</v>
      </c>
      <c r="N418" t="str" cm="1">
        <f t="array" ref="N418">_xlfn.IFS(I418="Rob","Robusta",I418="Exc","Excelsa",I418="Ara","Arabica",I418="Lib","Liberica")</f>
        <v>Arabica</v>
      </c>
      <c r="O418" t="str" cm="1">
        <f t="array" ref="O418">_xlfn.IFS(J418="M","Medium",J418="L","Large",J418="D","Dark")</f>
        <v>Large</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_xlfn.XLOOKUP(C419,customers!$A$1:$A$1001,customers!$B$1:$B$1001,,0)</f>
        <v>Paula Denis</v>
      </c>
      <c r="G419" s="2" t="str">
        <f>IF(_xlfn.XLOOKUP(C419,customers!$A$1:$A$1001,customers!$C$1:$C$1001,,0)=0,"",_xlfn.XLOOKUP(C419,customers!$A$1:$A$1001,customers!$C$1:$C$1001,,0))</f>
        <v/>
      </c>
      <c r="H419" s="2" t="str">
        <f>_xlfn.XLOOKUP(C419,customers!$A$1:$A$1001,customers!$G$1:$G$1001,,0)</f>
        <v>United States</v>
      </c>
      <c r="I419" t="str">
        <f>INDEX(products!$A$1:$G$49,MATCH(orders!$D419,products!$A$1:$A$49,0),MATCH(orders!I$1,products!$A$1:$G$1,0))</f>
        <v>Ara</v>
      </c>
      <c r="J419" t="str">
        <f>INDEX(products!$A$1:$G$49,MATCH(orders!$D419,products!$A$1:$A$49,0),MATCH(orders!J$1,products!$A$1:$G$1,0))</f>
        <v>L</v>
      </c>
      <c r="K419" s="7">
        <f>INDEX(products!$A$1:$G$49,MATCH(orders!$D419,products!$A$1:$A$49,0),MATCH(orders!K$1,products!$A$1:$G$1,0))</f>
        <v>2.5</v>
      </c>
      <c r="L419" s="4">
        <f>INDEX(products!$A$1:$G$49,MATCH(orders!$D419,products!$A$1:$A$49,0),MATCH(orders!L$1,products!$A$1:$G$1,0))</f>
        <v>29.784999999999997</v>
      </c>
      <c r="M419" s="4">
        <f t="shared" si="6"/>
        <v>29.784999999999997</v>
      </c>
      <c r="N419" t="str" cm="1">
        <f t="array" ref="N419">_xlfn.IFS(I419="Rob","Robusta",I419="Exc","Excelsa",I419="Ara","Arabica",I419="Lib","Liberica")</f>
        <v>Arabica</v>
      </c>
      <c r="O419" t="str" cm="1">
        <f t="array" ref="O419">_xlfn.IFS(J419="M","Medium",J419="L","Large",J419="D","Dark")</f>
        <v>Large</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_xlfn.XLOOKUP(C420,customers!$A$1:$A$1001,customers!$B$1:$B$1001,,0)</f>
        <v>Broderick McGilvra</v>
      </c>
      <c r="G420" s="2" t="str">
        <f>IF(_xlfn.XLOOKUP(C420,customers!$A$1:$A$1001,customers!$C$1:$C$1001,,0)=0,"",_xlfn.XLOOKUP(C420,customers!$A$1:$A$1001,customers!$C$1:$C$1001,,0))</f>
        <v>bmcgilvrabm@so-net.ne.jp</v>
      </c>
      <c r="H420" s="2" t="str">
        <f>_xlfn.XLOOKUP(C420,customers!$A$1:$A$1001,customers!$G$1:$G$1001,,0)</f>
        <v>United States</v>
      </c>
      <c r="I420" t="str">
        <f>INDEX(products!$A$1:$G$49,MATCH(orders!$D420,products!$A$1:$A$49,0),MATCH(orders!I$1,products!$A$1:$G$1,0))</f>
        <v>Ara</v>
      </c>
      <c r="J420" t="str">
        <f>INDEX(products!$A$1:$G$49,MATCH(orders!$D420,products!$A$1:$A$49,0),MATCH(orders!J$1,products!$A$1:$G$1,0))</f>
        <v>L</v>
      </c>
      <c r="K420" s="7">
        <f>INDEX(products!$A$1:$G$49,MATCH(orders!$D420,products!$A$1:$A$49,0),MATCH(orders!K$1,products!$A$1:$G$1,0))</f>
        <v>2.5</v>
      </c>
      <c r="L420" s="4">
        <f>INDEX(products!$A$1:$G$49,MATCH(orders!$D420,products!$A$1:$A$49,0),MATCH(orders!L$1,products!$A$1:$G$1,0))</f>
        <v>29.784999999999997</v>
      </c>
      <c r="M420" s="4">
        <f t="shared" si="6"/>
        <v>148.92499999999998</v>
      </c>
      <c r="N420" t="str" cm="1">
        <f t="array" ref="N420">_xlfn.IFS(I420="Rob","Robusta",I420="Exc","Excelsa",I420="Ara","Arabica",I420="Lib","Liberica")</f>
        <v>Arabica</v>
      </c>
      <c r="O420" t="str" cm="1">
        <f t="array" ref="O420">_xlfn.IFS(J420="M","Medium",J420="L","Large",J420="D","Dark")</f>
        <v>Large</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_xlfn.XLOOKUP(C421,customers!$A$1:$A$1001,customers!$B$1:$B$1001,,0)</f>
        <v>Annabella Danzey</v>
      </c>
      <c r="G421" s="2" t="str">
        <f>IF(_xlfn.XLOOKUP(C421,customers!$A$1:$A$1001,customers!$C$1:$C$1001,,0)=0,"",_xlfn.XLOOKUP(C421,customers!$A$1:$A$1001,customers!$C$1:$C$1001,,0))</f>
        <v>adanzeybn@github.com</v>
      </c>
      <c r="H421" s="2" t="str">
        <f>_xlfn.XLOOKUP(C421,customers!$A$1:$A$1001,customers!$G$1:$G$1001,,0)</f>
        <v>United States</v>
      </c>
      <c r="I421" t="str">
        <f>INDEX(products!$A$1:$G$49,MATCH(orders!$D421,products!$A$1:$A$49,0),MATCH(orders!I$1,products!$A$1:$G$1,0))</f>
        <v>Lib</v>
      </c>
      <c r="J421" t="str">
        <f>INDEX(products!$A$1:$G$49,MATCH(orders!$D421,products!$A$1:$A$49,0),MATCH(orders!J$1,products!$A$1:$G$1,0))</f>
        <v>M</v>
      </c>
      <c r="K421" s="7">
        <f>INDEX(products!$A$1:$G$49,MATCH(orders!$D421,products!$A$1:$A$49,0),MATCH(orders!K$1,products!$A$1:$G$1,0))</f>
        <v>0.5</v>
      </c>
      <c r="L421" s="4">
        <f>INDEX(products!$A$1:$G$49,MATCH(orders!$D421,products!$A$1:$A$49,0),MATCH(orders!L$1,products!$A$1:$G$1,0))</f>
        <v>8.73</v>
      </c>
      <c r="M421" s="4">
        <f t="shared" si="6"/>
        <v>8.73</v>
      </c>
      <c r="N421" t="str" cm="1">
        <f t="array" ref="N421">_xlfn.IFS(I421="Rob","Robusta",I421="Exc","Excelsa",I421="Ara","Arabica",I421="Lib","Liberica")</f>
        <v>Liberica</v>
      </c>
      <c r="O421" t="str" cm="1">
        <f t="array" ref="O421">_xlfn.IFS(J421="M","Medium",J421="L","Large",J421="D","Dark")</f>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_xlfn.XLOOKUP(C422,customers!$A$1:$A$1001,customers!$B$1:$B$1001,,0)</f>
        <v>Terri Farra</v>
      </c>
      <c r="G422" s="2" t="str">
        <f>IF(_xlfn.XLOOKUP(C422,customers!$A$1:$A$1001,customers!$C$1:$C$1001,,0)=0,"",_xlfn.XLOOKUP(C422,customers!$A$1:$A$1001,customers!$C$1:$C$1001,,0))</f>
        <v>tfarraac@behance.net</v>
      </c>
      <c r="H422" s="2" t="str">
        <f>_xlfn.XLOOKUP(C422,customers!$A$1:$A$1001,customers!$G$1:$G$1001,,0)</f>
        <v>United States</v>
      </c>
      <c r="I422" t="str">
        <f>INDEX(products!$A$1:$G$49,MATCH(orders!$D422,products!$A$1:$A$49,0),MATCH(orders!I$1,products!$A$1:$G$1,0))</f>
        <v>Lib</v>
      </c>
      <c r="J422" t="str">
        <f>INDEX(products!$A$1:$G$49,MATCH(orders!$D422,products!$A$1:$A$49,0),MATCH(orders!J$1,products!$A$1:$G$1,0))</f>
        <v>D</v>
      </c>
      <c r="K422" s="7">
        <f>INDEX(products!$A$1:$G$49,MATCH(orders!$D422,products!$A$1:$A$49,0),MATCH(orders!K$1,products!$A$1:$G$1,0))</f>
        <v>0.5</v>
      </c>
      <c r="L422" s="4">
        <f>INDEX(products!$A$1:$G$49,MATCH(orders!$D422,products!$A$1:$A$49,0),MATCH(orders!L$1,products!$A$1:$G$1,0))</f>
        <v>7.77</v>
      </c>
      <c r="M422" s="4">
        <f t="shared" si="6"/>
        <v>31.08</v>
      </c>
      <c r="N422" t="str" cm="1">
        <f t="array" ref="N422">_xlfn.IFS(I422="Rob","Robusta",I422="Exc","Excelsa",I422="Ara","Arabica",I422="Lib","Liberica")</f>
        <v>Liberica</v>
      </c>
      <c r="O422" t="str" cm="1">
        <f t="array" ref="O422">_xlfn.IFS(J422="M","Medium",J422="L","Large",J422="D","Dark")</f>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_xlfn.XLOOKUP(C423,customers!$A$1:$A$1001,customers!$B$1:$B$1001,,0)</f>
        <v>Terri Farra</v>
      </c>
      <c r="G423" s="2" t="str">
        <f>IF(_xlfn.XLOOKUP(C423,customers!$A$1:$A$1001,customers!$C$1:$C$1001,,0)=0,"",_xlfn.XLOOKUP(C423,customers!$A$1:$A$1001,customers!$C$1:$C$1001,,0))</f>
        <v>tfarraac@behance.net</v>
      </c>
      <c r="H423" s="2" t="str">
        <f>_xlfn.XLOOKUP(C423,customers!$A$1:$A$1001,customers!$G$1:$G$1001,,0)</f>
        <v>United States</v>
      </c>
      <c r="I423" t="str">
        <f>INDEX(products!$A$1:$G$49,MATCH(orders!$D423,products!$A$1:$A$49,0),MATCH(orders!I$1,products!$A$1:$G$1,0))</f>
        <v>Ara</v>
      </c>
      <c r="J423" t="str">
        <f>INDEX(products!$A$1:$G$49,MATCH(orders!$D423,products!$A$1:$A$49,0),MATCH(orders!J$1,products!$A$1:$G$1,0))</f>
        <v>D</v>
      </c>
      <c r="K423" s="7">
        <f>INDEX(products!$A$1:$G$49,MATCH(orders!$D423,products!$A$1:$A$49,0),MATCH(orders!K$1,products!$A$1:$G$1,0))</f>
        <v>2.5</v>
      </c>
      <c r="L423" s="4">
        <f>INDEX(products!$A$1:$G$49,MATCH(orders!$D423,products!$A$1:$A$49,0),MATCH(orders!L$1,products!$A$1:$G$1,0))</f>
        <v>22.884999999999998</v>
      </c>
      <c r="M423" s="4">
        <f t="shared" si="6"/>
        <v>137.31</v>
      </c>
      <c r="N423" t="str" cm="1">
        <f t="array" ref="N423">_xlfn.IFS(I423="Rob","Robusta",I423="Exc","Excelsa",I423="Ara","Arabica",I423="Lib","Liberica")</f>
        <v>Arabica</v>
      </c>
      <c r="O423" t="str" cm="1">
        <f t="array" ref="O423">_xlfn.IFS(J423="M","Medium",J423="L","Large",J423="D","Dark")</f>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_xlfn.XLOOKUP(C424,customers!$A$1:$A$1001,customers!$B$1:$B$1001,,0)</f>
        <v>Nevins Glowacz</v>
      </c>
      <c r="G424" s="2" t="str">
        <f>IF(_xlfn.XLOOKUP(C424,customers!$A$1:$A$1001,customers!$C$1:$C$1001,,0)=0,"",_xlfn.XLOOKUP(C424,customers!$A$1:$A$1001,customers!$C$1:$C$1001,,0))</f>
        <v/>
      </c>
      <c r="H424" s="2" t="str">
        <f>_xlfn.XLOOKUP(C424,customers!$A$1:$A$1001,customers!$G$1:$G$1001,,0)</f>
        <v>United States</v>
      </c>
      <c r="I424" t="str">
        <f>INDEX(products!$A$1:$G$49,MATCH(orders!$D424,products!$A$1:$A$49,0),MATCH(orders!I$1,products!$A$1:$G$1,0))</f>
        <v>Ara</v>
      </c>
      <c r="J424" t="str">
        <f>INDEX(products!$A$1:$G$49,MATCH(orders!$D424,products!$A$1:$A$49,0),MATCH(orders!J$1,products!$A$1:$G$1,0))</f>
        <v>D</v>
      </c>
      <c r="K424" s="7">
        <f>INDEX(products!$A$1:$G$49,MATCH(orders!$D424,products!$A$1:$A$49,0),MATCH(orders!K$1,products!$A$1:$G$1,0))</f>
        <v>0.5</v>
      </c>
      <c r="L424" s="4">
        <f>INDEX(products!$A$1:$G$49,MATCH(orders!$D424,products!$A$1:$A$49,0),MATCH(orders!L$1,products!$A$1:$G$1,0))</f>
        <v>5.97</v>
      </c>
      <c r="M424" s="4">
        <f t="shared" si="6"/>
        <v>29.849999999999998</v>
      </c>
      <c r="N424" t="str" cm="1">
        <f t="array" ref="N424">_xlfn.IFS(I424="Rob","Robusta",I424="Exc","Excelsa",I424="Ara","Arabica",I424="Lib","Liberica")</f>
        <v>Arabica</v>
      </c>
      <c r="O424" t="str" cm="1">
        <f t="array" ref="O424">_xlfn.IFS(J424="M","Medium",J424="L","Large",J424="D","Dark")</f>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_xlfn.XLOOKUP(C425,customers!$A$1:$A$1001,customers!$B$1:$B$1001,,0)</f>
        <v>Adelice Isabell</v>
      </c>
      <c r="G425" s="2" t="str">
        <f>IF(_xlfn.XLOOKUP(C425,customers!$A$1:$A$1001,customers!$C$1:$C$1001,,0)=0,"",_xlfn.XLOOKUP(C425,customers!$A$1:$A$1001,customers!$C$1:$C$1001,,0))</f>
        <v/>
      </c>
      <c r="H425" s="2" t="str">
        <f>_xlfn.XLOOKUP(C425,customers!$A$1:$A$1001,customers!$G$1:$G$1001,,0)</f>
        <v>United States</v>
      </c>
      <c r="I425" t="str">
        <f>INDEX(products!$A$1:$G$49,MATCH(orders!$D425,products!$A$1:$A$49,0),MATCH(orders!I$1,products!$A$1:$G$1,0))</f>
        <v>Rob</v>
      </c>
      <c r="J425" t="str">
        <f>INDEX(products!$A$1:$G$49,MATCH(orders!$D425,products!$A$1:$A$49,0),MATCH(orders!J$1,products!$A$1:$G$1,0))</f>
        <v>M</v>
      </c>
      <c r="K425" s="7">
        <f>INDEX(products!$A$1:$G$49,MATCH(orders!$D425,products!$A$1:$A$49,0),MATCH(orders!K$1,products!$A$1:$G$1,0))</f>
        <v>0.5</v>
      </c>
      <c r="L425" s="4">
        <f>INDEX(products!$A$1:$G$49,MATCH(orders!$D425,products!$A$1:$A$49,0),MATCH(orders!L$1,products!$A$1:$G$1,0))</f>
        <v>5.97</v>
      </c>
      <c r="M425" s="4">
        <f t="shared" si="6"/>
        <v>17.91</v>
      </c>
      <c r="N425" t="str" cm="1">
        <f t="array" ref="N425">_xlfn.IFS(I425="Rob","Robusta",I425="Exc","Excelsa",I425="Ara","Arabica",I425="Lib","Liberica")</f>
        <v>Robusta</v>
      </c>
      <c r="O425" t="str" cm="1">
        <f t="array" ref="O425">_xlfn.IFS(J425="M","Medium",J425="L","Large",J425="D","Dark")</f>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_xlfn.XLOOKUP(C426,customers!$A$1:$A$1001,customers!$B$1:$B$1001,,0)</f>
        <v>Yulma Dombrell</v>
      </c>
      <c r="G426" s="2" t="str">
        <f>IF(_xlfn.XLOOKUP(C426,customers!$A$1:$A$1001,customers!$C$1:$C$1001,,0)=0,"",_xlfn.XLOOKUP(C426,customers!$A$1:$A$1001,customers!$C$1:$C$1001,,0))</f>
        <v>ydombrellbs@dedecms.com</v>
      </c>
      <c r="H426" s="2" t="str">
        <f>_xlfn.XLOOKUP(C426,customers!$A$1:$A$1001,customers!$G$1:$G$1001,,0)</f>
        <v>United States</v>
      </c>
      <c r="I426" t="str">
        <f>INDEX(products!$A$1:$G$49,MATCH(orders!$D426,products!$A$1:$A$49,0),MATCH(orders!I$1,products!$A$1:$G$1,0))</f>
        <v>Exc</v>
      </c>
      <c r="J426" t="str">
        <f>INDEX(products!$A$1:$G$49,MATCH(orders!$D426,products!$A$1:$A$49,0),MATCH(orders!J$1,products!$A$1:$G$1,0))</f>
        <v>L</v>
      </c>
      <c r="K426" s="7">
        <f>INDEX(products!$A$1:$G$49,MATCH(orders!$D426,products!$A$1:$A$49,0),MATCH(orders!K$1,products!$A$1:$G$1,0))</f>
        <v>0.5</v>
      </c>
      <c r="L426" s="4">
        <f>INDEX(products!$A$1:$G$49,MATCH(orders!$D426,products!$A$1:$A$49,0),MATCH(orders!L$1,products!$A$1:$G$1,0))</f>
        <v>8.91</v>
      </c>
      <c r="M426" s="4">
        <f t="shared" si="6"/>
        <v>26.73</v>
      </c>
      <c r="N426" t="str" cm="1">
        <f t="array" ref="N426">_xlfn.IFS(I426="Rob","Robusta",I426="Exc","Excelsa",I426="Ara","Arabica",I426="Lib","Liberica")</f>
        <v>Excelsa</v>
      </c>
      <c r="O426" t="str" cm="1">
        <f t="array" ref="O426">_xlfn.IFS(J426="M","Medium",J426="L","Large",J426="D","Dark")</f>
        <v>Large</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_xlfn.XLOOKUP(C427,customers!$A$1:$A$1001,customers!$B$1:$B$1001,,0)</f>
        <v>Alric Darth</v>
      </c>
      <c r="G427" s="2" t="str">
        <f>IF(_xlfn.XLOOKUP(C427,customers!$A$1:$A$1001,customers!$C$1:$C$1001,,0)=0,"",_xlfn.XLOOKUP(C427,customers!$A$1:$A$1001,customers!$C$1:$C$1001,,0))</f>
        <v>adarthbt@t.co</v>
      </c>
      <c r="H427" s="2" t="str">
        <f>_xlfn.XLOOKUP(C427,customers!$A$1:$A$1001,customers!$G$1:$G$1001,,0)</f>
        <v>United States</v>
      </c>
      <c r="I427" t="str">
        <f>INDEX(products!$A$1:$G$49,MATCH(orders!$D427,products!$A$1:$A$49,0),MATCH(orders!I$1,products!$A$1:$G$1,0))</f>
        <v>Rob</v>
      </c>
      <c r="J427" t="str">
        <f>INDEX(products!$A$1:$G$49,MATCH(orders!$D427,products!$A$1:$A$49,0),MATCH(orders!J$1,products!$A$1:$G$1,0))</f>
        <v>D</v>
      </c>
      <c r="K427" s="7">
        <f>INDEX(products!$A$1:$G$49,MATCH(orders!$D427,products!$A$1:$A$49,0),MATCH(orders!K$1,products!$A$1:$G$1,0))</f>
        <v>1</v>
      </c>
      <c r="L427" s="4">
        <f>INDEX(products!$A$1:$G$49,MATCH(orders!$D427,products!$A$1:$A$49,0),MATCH(orders!L$1,products!$A$1:$G$1,0))</f>
        <v>8.9499999999999993</v>
      </c>
      <c r="M427" s="4">
        <f t="shared" si="6"/>
        <v>17.899999999999999</v>
      </c>
      <c r="N427" t="str" cm="1">
        <f t="array" ref="N427">_xlfn.IFS(I427="Rob","Robusta",I427="Exc","Excelsa",I427="Ara","Arabica",I427="Lib","Liberica")</f>
        <v>Robusta</v>
      </c>
      <c r="O427" t="str" cm="1">
        <f t="array" ref="O427">_xlfn.IFS(J427="M","Medium",J427="L","Large",J427="D","Dark")</f>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_xlfn.XLOOKUP(C428,customers!$A$1:$A$1001,customers!$B$1:$B$1001,,0)</f>
        <v>Manuel Darrigoe</v>
      </c>
      <c r="G428" s="2" t="str">
        <f>IF(_xlfn.XLOOKUP(C428,customers!$A$1:$A$1001,customers!$C$1:$C$1001,,0)=0,"",_xlfn.XLOOKUP(C428,customers!$A$1:$A$1001,customers!$C$1:$C$1001,,0))</f>
        <v>mdarrigoebu@hud.gov</v>
      </c>
      <c r="H428" s="2" t="str">
        <f>_xlfn.XLOOKUP(C428,customers!$A$1:$A$1001,customers!$G$1:$G$1001,,0)</f>
        <v>Ireland</v>
      </c>
      <c r="I428" t="str">
        <f>INDEX(products!$A$1:$G$49,MATCH(orders!$D428,products!$A$1:$A$49,0),MATCH(orders!I$1,products!$A$1:$G$1,0))</f>
        <v>Rob</v>
      </c>
      <c r="J428" t="str">
        <f>INDEX(products!$A$1:$G$49,MATCH(orders!$D428,products!$A$1:$A$49,0),MATCH(orders!J$1,products!$A$1:$G$1,0))</f>
        <v>L</v>
      </c>
      <c r="K428" s="7">
        <f>INDEX(products!$A$1:$G$49,MATCH(orders!$D428,products!$A$1:$A$49,0),MATCH(orders!K$1,products!$A$1:$G$1,0))</f>
        <v>0.2</v>
      </c>
      <c r="L428" s="4">
        <f>INDEX(products!$A$1:$G$49,MATCH(orders!$D428,products!$A$1:$A$49,0),MATCH(orders!L$1,products!$A$1:$G$1,0))</f>
        <v>3.5849999999999995</v>
      </c>
      <c r="M428" s="4">
        <f t="shared" si="6"/>
        <v>14.339999999999998</v>
      </c>
      <c r="N428" t="str" cm="1">
        <f t="array" ref="N428">_xlfn.IFS(I428="Rob","Robusta",I428="Exc","Excelsa",I428="Ara","Arabica",I428="Lib","Liberica")</f>
        <v>Robusta</v>
      </c>
      <c r="O428" t="str" cm="1">
        <f t="array" ref="O428">_xlfn.IFS(J428="M","Medium",J428="L","Large",J428="D","Dark")</f>
        <v>Large</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_xlfn.XLOOKUP(C429,customers!$A$1:$A$1001,customers!$B$1:$B$1001,,0)</f>
        <v>Kynthia Berick</v>
      </c>
      <c r="G429" s="2" t="str">
        <f>IF(_xlfn.XLOOKUP(C429,customers!$A$1:$A$1001,customers!$C$1:$C$1001,,0)=0,"",_xlfn.XLOOKUP(C429,customers!$A$1:$A$1001,customers!$C$1:$C$1001,,0))</f>
        <v/>
      </c>
      <c r="H429" s="2" t="str">
        <f>_xlfn.XLOOKUP(C429,customers!$A$1:$A$1001,customers!$G$1:$G$1001,,0)</f>
        <v>United States</v>
      </c>
      <c r="I429" t="str">
        <f>INDEX(products!$A$1:$G$49,MATCH(orders!$D429,products!$A$1:$A$49,0),MATCH(orders!I$1,products!$A$1:$G$1,0))</f>
        <v>Ara</v>
      </c>
      <c r="J429" t="str">
        <f>INDEX(products!$A$1:$G$49,MATCH(orders!$D429,products!$A$1:$A$49,0),MATCH(orders!J$1,products!$A$1:$G$1,0))</f>
        <v>M</v>
      </c>
      <c r="K429" s="7">
        <f>INDEX(products!$A$1:$G$49,MATCH(orders!$D429,products!$A$1:$A$49,0),MATCH(orders!K$1,products!$A$1:$G$1,0))</f>
        <v>2.5</v>
      </c>
      <c r="L429" s="4">
        <f>INDEX(products!$A$1:$G$49,MATCH(orders!$D429,products!$A$1:$A$49,0),MATCH(orders!L$1,products!$A$1:$G$1,0))</f>
        <v>25.874999999999996</v>
      </c>
      <c r="M429" s="4">
        <f t="shared" si="6"/>
        <v>77.624999999999986</v>
      </c>
      <c r="N429" t="str" cm="1">
        <f t="array" ref="N429">_xlfn.IFS(I429="Rob","Robusta",I429="Exc","Excelsa",I429="Ara","Arabica",I429="Lib","Liberica")</f>
        <v>Arabica</v>
      </c>
      <c r="O429" t="str" cm="1">
        <f t="array" ref="O429">_xlfn.IFS(J429="M","Medium",J429="L","Large",J429="D","Dark")</f>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_xlfn.XLOOKUP(C430,customers!$A$1:$A$1001,customers!$B$1:$B$1001,,0)</f>
        <v>Minetta Ackrill</v>
      </c>
      <c r="G430" s="2" t="str">
        <f>IF(_xlfn.XLOOKUP(C430,customers!$A$1:$A$1001,customers!$C$1:$C$1001,,0)=0,"",_xlfn.XLOOKUP(C430,customers!$A$1:$A$1001,customers!$C$1:$C$1001,,0))</f>
        <v>mackrillbw@bandcamp.com</v>
      </c>
      <c r="H430" s="2" t="str">
        <f>_xlfn.XLOOKUP(C430,customers!$A$1:$A$1001,customers!$G$1:$G$1001,,0)</f>
        <v>United States</v>
      </c>
      <c r="I430" t="str">
        <f>INDEX(products!$A$1:$G$49,MATCH(orders!$D430,products!$A$1:$A$49,0),MATCH(orders!I$1,products!$A$1:$G$1,0))</f>
        <v>Rob</v>
      </c>
      <c r="J430" t="str">
        <f>INDEX(products!$A$1:$G$49,MATCH(orders!$D430,products!$A$1:$A$49,0),MATCH(orders!J$1,products!$A$1:$G$1,0))</f>
        <v>L</v>
      </c>
      <c r="K430" s="7">
        <f>INDEX(products!$A$1:$G$49,MATCH(orders!$D430,products!$A$1:$A$49,0),MATCH(orders!K$1,products!$A$1:$G$1,0))</f>
        <v>1</v>
      </c>
      <c r="L430" s="4">
        <f>INDEX(products!$A$1:$G$49,MATCH(orders!$D430,products!$A$1:$A$49,0),MATCH(orders!L$1,products!$A$1:$G$1,0))</f>
        <v>11.95</v>
      </c>
      <c r="M430" s="4">
        <f t="shared" si="6"/>
        <v>59.75</v>
      </c>
      <c r="N430" t="str" cm="1">
        <f t="array" ref="N430">_xlfn.IFS(I430="Rob","Robusta",I430="Exc","Excelsa",I430="Ara","Arabica",I430="Lib","Liberica")</f>
        <v>Robusta</v>
      </c>
      <c r="O430" t="str" cm="1">
        <f t="array" ref="O430">_xlfn.IFS(J430="M","Medium",J430="L","Large",J430="D","Dark")</f>
        <v>Large</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_xlfn.XLOOKUP(C431,customers!$A$1:$A$1001,customers!$B$1:$B$1001,,0)</f>
        <v>Terri Farra</v>
      </c>
      <c r="G431" s="2" t="str">
        <f>IF(_xlfn.XLOOKUP(C431,customers!$A$1:$A$1001,customers!$C$1:$C$1001,,0)=0,"",_xlfn.XLOOKUP(C431,customers!$A$1:$A$1001,customers!$C$1:$C$1001,,0))</f>
        <v>tfarraac@behance.net</v>
      </c>
      <c r="H431" s="2" t="str">
        <f>_xlfn.XLOOKUP(C431,customers!$A$1:$A$1001,customers!$G$1:$G$1001,,0)</f>
        <v>United States</v>
      </c>
      <c r="I431" t="str">
        <f>INDEX(products!$A$1:$G$49,MATCH(orders!$D431,products!$A$1:$A$49,0),MATCH(orders!I$1,products!$A$1:$G$1,0))</f>
        <v>Ara</v>
      </c>
      <c r="J431" t="str">
        <f>INDEX(products!$A$1:$G$49,MATCH(orders!$D431,products!$A$1:$A$49,0),MATCH(orders!J$1,products!$A$1:$G$1,0))</f>
        <v>L</v>
      </c>
      <c r="K431" s="7">
        <f>INDEX(products!$A$1:$G$49,MATCH(orders!$D431,products!$A$1:$A$49,0),MATCH(orders!K$1,products!$A$1:$G$1,0))</f>
        <v>1</v>
      </c>
      <c r="L431" s="4">
        <f>INDEX(products!$A$1:$G$49,MATCH(orders!$D431,products!$A$1:$A$49,0),MATCH(orders!L$1,products!$A$1:$G$1,0))</f>
        <v>12.95</v>
      </c>
      <c r="M431" s="4">
        <f t="shared" si="6"/>
        <v>77.699999999999989</v>
      </c>
      <c r="N431" t="str" cm="1">
        <f t="array" ref="N431">_xlfn.IFS(I431="Rob","Robusta",I431="Exc","Excelsa",I431="Ara","Arabica",I431="Lib","Liberica")</f>
        <v>Arabica</v>
      </c>
      <c r="O431" t="str" cm="1">
        <f t="array" ref="O431">_xlfn.IFS(J431="M","Medium",J431="L","Large",J431="D","Dark")</f>
        <v>Large</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_xlfn.XLOOKUP(C432,customers!$A$1:$A$1001,customers!$B$1:$B$1001,,0)</f>
        <v>Melosa Kippen</v>
      </c>
      <c r="G432" s="2" t="str">
        <f>IF(_xlfn.XLOOKUP(C432,customers!$A$1:$A$1001,customers!$C$1:$C$1001,,0)=0,"",_xlfn.XLOOKUP(C432,customers!$A$1:$A$1001,customers!$C$1:$C$1001,,0))</f>
        <v>mkippenby@dion.ne.jp</v>
      </c>
      <c r="H432" s="2" t="str">
        <f>_xlfn.XLOOKUP(C432,customers!$A$1:$A$1001,customers!$G$1:$G$1001,,0)</f>
        <v>United States</v>
      </c>
      <c r="I432" t="str">
        <f>INDEX(products!$A$1:$G$49,MATCH(orders!$D432,products!$A$1:$A$49,0),MATCH(orders!I$1,products!$A$1:$G$1,0))</f>
        <v>Rob</v>
      </c>
      <c r="J432" t="str">
        <f>INDEX(products!$A$1:$G$49,MATCH(orders!$D432,products!$A$1:$A$49,0),MATCH(orders!J$1,products!$A$1:$G$1,0))</f>
        <v>D</v>
      </c>
      <c r="K432" s="7">
        <f>INDEX(products!$A$1:$G$49,MATCH(orders!$D432,products!$A$1:$A$49,0),MATCH(orders!K$1,products!$A$1:$G$1,0))</f>
        <v>0.2</v>
      </c>
      <c r="L432" s="4">
        <f>INDEX(products!$A$1:$G$49,MATCH(orders!$D432,products!$A$1:$A$49,0),MATCH(orders!L$1,products!$A$1:$G$1,0))</f>
        <v>2.6849999999999996</v>
      </c>
      <c r="M432" s="4">
        <f t="shared" si="6"/>
        <v>5.3699999999999992</v>
      </c>
      <c r="N432" t="str" cm="1">
        <f t="array" ref="N432">_xlfn.IFS(I432="Rob","Robusta",I432="Exc","Excelsa",I432="Ara","Arabica",I432="Lib","Liberica")</f>
        <v>Robusta</v>
      </c>
      <c r="O432" t="str" cm="1">
        <f t="array" ref="O432">_xlfn.IFS(J432="M","Medium",J432="L","Large",J432="D","Dark")</f>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_xlfn.XLOOKUP(C433,customers!$A$1:$A$1001,customers!$B$1:$B$1001,,0)</f>
        <v>Witty Ranson</v>
      </c>
      <c r="G433" s="2" t="str">
        <f>IF(_xlfn.XLOOKUP(C433,customers!$A$1:$A$1001,customers!$C$1:$C$1001,,0)=0,"",_xlfn.XLOOKUP(C433,customers!$A$1:$A$1001,customers!$C$1:$C$1001,,0))</f>
        <v>wransonbz@ted.com</v>
      </c>
      <c r="H433" s="2" t="str">
        <f>_xlfn.XLOOKUP(C433,customers!$A$1:$A$1001,customers!$G$1:$G$1001,,0)</f>
        <v>Ireland</v>
      </c>
      <c r="I433" t="str">
        <f>INDEX(products!$A$1:$G$49,MATCH(orders!$D433,products!$A$1:$A$49,0),MATCH(orders!I$1,products!$A$1:$G$1,0))</f>
        <v>Exc</v>
      </c>
      <c r="J433" t="str">
        <f>INDEX(products!$A$1:$G$49,MATCH(orders!$D433,products!$A$1:$A$49,0),MATCH(orders!J$1,products!$A$1:$G$1,0))</f>
        <v>D</v>
      </c>
      <c r="K433" s="7">
        <f>INDEX(products!$A$1:$G$49,MATCH(orders!$D433,products!$A$1:$A$49,0),MATCH(orders!K$1,products!$A$1:$G$1,0))</f>
        <v>2.5</v>
      </c>
      <c r="L433" s="4">
        <f>INDEX(products!$A$1:$G$49,MATCH(orders!$D433,products!$A$1:$A$49,0),MATCH(orders!L$1,products!$A$1:$G$1,0))</f>
        <v>27.945</v>
      </c>
      <c r="M433" s="4">
        <f t="shared" si="6"/>
        <v>83.835000000000008</v>
      </c>
      <c r="N433" t="str" cm="1">
        <f t="array" ref="N433">_xlfn.IFS(I433="Rob","Robusta",I433="Exc","Excelsa",I433="Ara","Arabica",I433="Lib","Liberica")</f>
        <v>Excelsa</v>
      </c>
      <c r="O433" t="str" cm="1">
        <f t="array" ref="O433">_xlfn.IFS(J433="M","Medium",J433="L","Large",J433="D","Dark")</f>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_xlfn.XLOOKUP(C434,customers!$A$1:$A$1001,customers!$B$1:$B$1001,,0)</f>
        <v>Rod Gowdie</v>
      </c>
      <c r="G434" s="2" t="str">
        <f>IF(_xlfn.XLOOKUP(C434,customers!$A$1:$A$1001,customers!$C$1:$C$1001,,0)=0,"",_xlfn.XLOOKUP(C434,customers!$A$1:$A$1001,customers!$C$1:$C$1001,,0))</f>
        <v/>
      </c>
      <c r="H434" s="2" t="str">
        <f>_xlfn.XLOOKUP(C434,customers!$A$1:$A$1001,customers!$G$1:$G$1001,,0)</f>
        <v>United States</v>
      </c>
      <c r="I434" t="str">
        <f>INDEX(products!$A$1:$G$49,MATCH(orders!$D434,products!$A$1:$A$49,0),MATCH(orders!I$1,products!$A$1:$G$1,0))</f>
        <v>Ara</v>
      </c>
      <c r="J434" t="str">
        <f>INDEX(products!$A$1:$G$49,MATCH(orders!$D434,products!$A$1:$A$49,0),MATCH(orders!J$1,products!$A$1:$G$1,0))</f>
        <v>M</v>
      </c>
      <c r="K434" s="7">
        <f>INDEX(products!$A$1:$G$49,MATCH(orders!$D434,products!$A$1:$A$49,0),MATCH(orders!K$1,products!$A$1:$G$1,0))</f>
        <v>1</v>
      </c>
      <c r="L434" s="4">
        <f>INDEX(products!$A$1:$G$49,MATCH(orders!$D434,products!$A$1:$A$49,0),MATCH(orders!L$1,products!$A$1:$G$1,0))</f>
        <v>11.25</v>
      </c>
      <c r="M434" s="4">
        <f t="shared" si="6"/>
        <v>22.5</v>
      </c>
      <c r="N434" t="str" cm="1">
        <f t="array" ref="N434">_xlfn.IFS(I434="Rob","Robusta",I434="Exc","Excelsa",I434="Ara","Arabica",I434="Lib","Liberica")</f>
        <v>Arabica</v>
      </c>
      <c r="O434" t="str" cm="1">
        <f t="array" ref="O434">_xlfn.IFS(J434="M","Medium",J434="L","Large",J434="D","Dark")</f>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_xlfn.XLOOKUP(C435,customers!$A$1:$A$1001,customers!$B$1:$B$1001,,0)</f>
        <v>Lemuel Rignold</v>
      </c>
      <c r="G435" s="2" t="str">
        <f>IF(_xlfn.XLOOKUP(C435,customers!$A$1:$A$1001,customers!$C$1:$C$1001,,0)=0,"",_xlfn.XLOOKUP(C435,customers!$A$1:$A$1001,customers!$C$1:$C$1001,,0))</f>
        <v>lrignoldc1@miibeian.gov.cn</v>
      </c>
      <c r="H435" s="2" t="str">
        <f>_xlfn.XLOOKUP(C435,customers!$A$1:$A$1001,customers!$G$1:$G$1001,,0)</f>
        <v>United States</v>
      </c>
      <c r="I435" t="str">
        <f>INDEX(products!$A$1:$G$49,MATCH(orders!$D435,products!$A$1:$A$49,0),MATCH(orders!I$1,products!$A$1:$G$1,0))</f>
        <v>Lib</v>
      </c>
      <c r="J435" t="str">
        <f>INDEX(products!$A$1:$G$49,MATCH(orders!$D435,products!$A$1:$A$49,0),MATCH(orders!J$1,products!$A$1:$G$1,0))</f>
        <v>M</v>
      </c>
      <c r="K435" s="7">
        <f>INDEX(products!$A$1:$G$49,MATCH(orders!$D435,products!$A$1:$A$49,0),MATCH(orders!K$1,products!$A$1:$G$1,0))</f>
        <v>2.5</v>
      </c>
      <c r="L435" s="4">
        <f>INDEX(products!$A$1:$G$49,MATCH(orders!$D435,products!$A$1:$A$49,0),MATCH(orders!L$1,products!$A$1:$G$1,0))</f>
        <v>33.464999999999996</v>
      </c>
      <c r="M435" s="4">
        <f t="shared" si="6"/>
        <v>200.78999999999996</v>
      </c>
      <c r="N435" t="str" cm="1">
        <f t="array" ref="N435">_xlfn.IFS(I435="Rob","Robusta",I435="Exc","Excelsa",I435="Ara","Arabica",I435="Lib","Liberica")</f>
        <v>Liberica</v>
      </c>
      <c r="O435" t="str" cm="1">
        <f t="array" ref="O435">_xlfn.IFS(J435="M","Medium",J435="L","Large",J435="D","Dark")</f>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_xlfn.XLOOKUP(C436,customers!$A$1:$A$1001,customers!$B$1:$B$1001,,0)</f>
        <v>Nevsa Fields</v>
      </c>
      <c r="G436" s="2" t="str">
        <f>IF(_xlfn.XLOOKUP(C436,customers!$A$1:$A$1001,customers!$C$1:$C$1001,,0)=0,"",_xlfn.XLOOKUP(C436,customers!$A$1:$A$1001,customers!$C$1:$C$1001,,0))</f>
        <v/>
      </c>
      <c r="H436" s="2" t="str">
        <f>_xlfn.XLOOKUP(C436,customers!$A$1:$A$1001,customers!$G$1:$G$1001,,0)</f>
        <v>United States</v>
      </c>
      <c r="I436" t="str">
        <f>INDEX(products!$A$1:$G$49,MATCH(orders!$D436,products!$A$1:$A$49,0),MATCH(orders!I$1,products!$A$1:$G$1,0))</f>
        <v>Ara</v>
      </c>
      <c r="J436" t="str">
        <f>INDEX(products!$A$1:$G$49,MATCH(orders!$D436,products!$A$1:$A$49,0),MATCH(orders!J$1,products!$A$1:$G$1,0))</f>
        <v>M</v>
      </c>
      <c r="K436" s="7">
        <f>INDEX(products!$A$1:$G$49,MATCH(orders!$D436,products!$A$1:$A$49,0),MATCH(orders!K$1,products!$A$1:$G$1,0))</f>
        <v>1</v>
      </c>
      <c r="L436" s="4">
        <f>INDEX(products!$A$1:$G$49,MATCH(orders!$D436,products!$A$1:$A$49,0),MATCH(orders!L$1,products!$A$1:$G$1,0))</f>
        <v>11.25</v>
      </c>
      <c r="M436" s="4">
        <f t="shared" si="6"/>
        <v>67.5</v>
      </c>
      <c r="N436" t="str" cm="1">
        <f t="array" ref="N436">_xlfn.IFS(I436="Rob","Robusta",I436="Exc","Excelsa",I436="Ara","Arabica",I436="Lib","Liberica")</f>
        <v>Arabica</v>
      </c>
      <c r="O436" t="str" cm="1">
        <f t="array" ref="O436">_xlfn.IFS(J436="M","Medium",J436="L","Large",J436="D","Dark")</f>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_xlfn.XLOOKUP(C437,customers!$A$1:$A$1001,customers!$B$1:$B$1001,,0)</f>
        <v>Chance Rowthorn</v>
      </c>
      <c r="G437" s="2" t="str">
        <f>IF(_xlfn.XLOOKUP(C437,customers!$A$1:$A$1001,customers!$C$1:$C$1001,,0)=0,"",_xlfn.XLOOKUP(C437,customers!$A$1:$A$1001,customers!$C$1:$C$1001,,0))</f>
        <v>crowthornc3@msn.com</v>
      </c>
      <c r="H437" s="2" t="str">
        <f>_xlfn.XLOOKUP(C437,customers!$A$1:$A$1001,customers!$G$1:$G$1001,,0)</f>
        <v>United States</v>
      </c>
      <c r="I437" t="str">
        <f>INDEX(products!$A$1:$G$49,MATCH(orders!$D437,products!$A$1:$A$49,0),MATCH(orders!I$1,products!$A$1:$G$1,0))</f>
        <v>Exc</v>
      </c>
      <c r="J437" t="str">
        <f>INDEX(products!$A$1:$G$49,MATCH(orders!$D437,products!$A$1:$A$49,0),MATCH(orders!J$1,products!$A$1:$G$1,0))</f>
        <v>M</v>
      </c>
      <c r="K437" s="7">
        <f>INDEX(products!$A$1:$G$49,MATCH(orders!$D437,products!$A$1:$A$49,0),MATCH(orders!K$1,products!$A$1:$G$1,0))</f>
        <v>0.5</v>
      </c>
      <c r="L437" s="4">
        <f>INDEX(products!$A$1:$G$49,MATCH(orders!$D437,products!$A$1:$A$49,0),MATCH(orders!L$1,products!$A$1:$G$1,0))</f>
        <v>8.25</v>
      </c>
      <c r="M437" s="4">
        <f t="shared" si="6"/>
        <v>8.25</v>
      </c>
      <c r="N437" t="str" cm="1">
        <f t="array" ref="N437">_xlfn.IFS(I437="Rob","Robusta",I437="Exc","Excelsa",I437="Ara","Arabica",I437="Lib","Liberica")</f>
        <v>Excelsa</v>
      </c>
      <c r="O437" t="str" cm="1">
        <f t="array" ref="O437">_xlfn.IFS(J437="M","Medium",J437="L","Large",J437="D","Dark")</f>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_xlfn.XLOOKUP(C438,customers!$A$1:$A$1001,customers!$B$1:$B$1001,,0)</f>
        <v>Orly Ryland</v>
      </c>
      <c r="G438" s="2" t="str">
        <f>IF(_xlfn.XLOOKUP(C438,customers!$A$1:$A$1001,customers!$C$1:$C$1001,,0)=0,"",_xlfn.XLOOKUP(C438,customers!$A$1:$A$1001,customers!$C$1:$C$1001,,0))</f>
        <v>orylandc4@deviantart.com</v>
      </c>
      <c r="H438" s="2" t="str">
        <f>_xlfn.XLOOKUP(C438,customers!$A$1:$A$1001,customers!$G$1:$G$1001,,0)</f>
        <v>United States</v>
      </c>
      <c r="I438" t="str">
        <f>INDEX(products!$A$1:$G$49,MATCH(orders!$D438,products!$A$1:$A$49,0),MATCH(orders!I$1,products!$A$1:$G$1,0))</f>
        <v>Lib</v>
      </c>
      <c r="J438" t="str">
        <f>INDEX(products!$A$1:$G$49,MATCH(orders!$D438,products!$A$1:$A$49,0),MATCH(orders!J$1,products!$A$1:$G$1,0))</f>
        <v>L</v>
      </c>
      <c r="K438" s="7">
        <f>INDEX(products!$A$1:$G$49,MATCH(orders!$D438,products!$A$1:$A$49,0),MATCH(orders!K$1,products!$A$1:$G$1,0))</f>
        <v>0.2</v>
      </c>
      <c r="L438" s="4">
        <f>INDEX(products!$A$1:$G$49,MATCH(orders!$D438,products!$A$1:$A$49,0),MATCH(orders!L$1,products!$A$1:$G$1,0))</f>
        <v>4.7549999999999999</v>
      </c>
      <c r="M438" s="4">
        <f t="shared" si="6"/>
        <v>9.51</v>
      </c>
      <c r="N438" t="str" cm="1">
        <f t="array" ref="N438">_xlfn.IFS(I438="Rob","Robusta",I438="Exc","Excelsa",I438="Ara","Arabica",I438="Lib","Liberica")</f>
        <v>Liberica</v>
      </c>
      <c r="O438" t="str" cm="1">
        <f t="array" ref="O438">_xlfn.IFS(J438="M","Medium",J438="L","Large",J438="D","Dark")</f>
        <v>Large</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_xlfn.XLOOKUP(C439,customers!$A$1:$A$1001,customers!$B$1:$B$1001,,0)</f>
        <v>Willabella Abramski</v>
      </c>
      <c r="G439" s="2" t="str">
        <f>IF(_xlfn.XLOOKUP(C439,customers!$A$1:$A$1001,customers!$C$1:$C$1001,,0)=0,"",_xlfn.XLOOKUP(C439,customers!$A$1:$A$1001,customers!$C$1:$C$1001,,0))</f>
        <v/>
      </c>
      <c r="H439" s="2" t="str">
        <f>_xlfn.XLOOKUP(C439,customers!$A$1:$A$1001,customers!$G$1:$G$1001,,0)</f>
        <v>United States</v>
      </c>
      <c r="I439" t="str">
        <f>INDEX(products!$A$1:$G$49,MATCH(orders!$D439,products!$A$1:$A$49,0),MATCH(orders!I$1,products!$A$1:$G$1,0))</f>
        <v>Lib</v>
      </c>
      <c r="J439" t="str">
        <f>INDEX(products!$A$1:$G$49,MATCH(orders!$D439,products!$A$1:$A$49,0),MATCH(orders!J$1,products!$A$1:$G$1,0))</f>
        <v>D</v>
      </c>
      <c r="K439" s="7">
        <f>INDEX(products!$A$1:$G$49,MATCH(orders!$D439,products!$A$1:$A$49,0),MATCH(orders!K$1,products!$A$1:$G$1,0))</f>
        <v>2.5</v>
      </c>
      <c r="L439" s="4">
        <f>INDEX(products!$A$1:$G$49,MATCH(orders!$D439,products!$A$1:$A$49,0),MATCH(orders!L$1,products!$A$1:$G$1,0))</f>
        <v>29.784999999999997</v>
      </c>
      <c r="M439" s="4">
        <f t="shared" si="6"/>
        <v>29.784999999999997</v>
      </c>
      <c r="N439" t="str" cm="1">
        <f t="array" ref="N439">_xlfn.IFS(I439="Rob","Robusta",I439="Exc","Excelsa",I439="Ara","Arabica",I439="Lib","Liberica")</f>
        <v>Liberica</v>
      </c>
      <c r="O439" t="str" cm="1">
        <f t="array" ref="O439">_xlfn.IFS(J439="M","Medium",J439="L","Large",J439="D","Dark")</f>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_xlfn.XLOOKUP(C440,customers!$A$1:$A$1001,customers!$B$1:$B$1001,,0)</f>
        <v>Morgen Seson</v>
      </c>
      <c r="G440" s="2" t="str">
        <f>IF(_xlfn.XLOOKUP(C440,customers!$A$1:$A$1001,customers!$C$1:$C$1001,,0)=0,"",_xlfn.XLOOKUP(C440,customers!$A$1:$A$1001,customers!$C$1:$C$1001,,0))</f>
        <v>msesonck@census.gov</v>
      </c>
      <c r="H440" s="2" t="str">
        <f>_xlfn.XLOOKUP(C440,customers!$A$1:$A$1001,customers!$G$1:$G$1001,,0)</f>
        <v>United States</v>
      </c>
      <c r="I440" t="str">
        <f>INDEX(products!$A$1:$G$49,MATCH(orders!$D440,products!$A$1:$A$49,0),MATCH(orders!I$1,products!$A$1:$G$1,0))</f>
        <v>Lib</v>
      </c>
      <c r="J440" t="str">
        <f>INDEX(products!$A$1:$G$49,MATCH(orders!$D440,products!$A$1:$A$49,0),MATCH(orders!J$1,products!$A$1:$G$1,0))</f>
        <v>D</v>
      </c>
      <c r="K440" s="7">
        <f>INDEX(products!$A$1:$G$49,MATCH(orders!$D440,products!$A$1:$A$49,0),MATCH(orders!K$1,products!$A$1:$G$1,0))</f>
        <v>0.5</v>
      </c>
      <c r="L440" s="4">
        <f>INDEX(products!$A$1:$G$49,MATCH(orders!$D440,products!$A$1:$A$49,0),MATCH(orders!L$1,products!$A$1:$G$1,0))</f>
        <v>7.77</v>
      </c>
      <c r="M440" s="4">
        <f t="shared" si="6"/>
        <v>15.54</v>
      </c>
      <c r="N440" t="str" cm="1">
        <f t="array" ref="N440">_xlfn.IFS(I440="Rob","Robusta",I440="Exc","Excelsa",I440="Ara","Arabica",I440="Lib","Liberica")</f>
        <v>Liberica</v>
      </c>
      <c r="O440" t="str" cm="1">
        <f t="array" ref="O440">_xlfn.IFS(J440="M","Medium",J440="L","Large",J440="D","Dark")</f>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_xlfn.XLOOKUP(C441,customers!$A$1:$A$1001,customers!$B$1:$B$1001,,0)</f>
        <v>Chickie Ragless</v>
      </c>
      <c r="G441" s="2" t="str">
        <f>IF(_xlfn.XLOOKUP(C441,customers!$A$1:$A$1001,customers!$C$1:$C$1001,,0)=0,"",_xlfn.XLOOKUP(C441,customers!$A$1:$A$1001,customers!$C$1:$C$1001,,0))</f>
        <v>craglessc7@webmd.com</v>
      </c>
      <c r="H441" s="2" t="str">
        <f>_xlfn.XLOOKUP(C441,customers!$A$1:$A$1001,customers!$G$1:$G$1001,,0)</f>
        <v>Ireland</v>
      </c>
      <c r="I441" t="str">
        <f>INDEX(products!$A$1:$G$49,MATCH(orders!$D441,products!$A$1:$A$49,0),MATCH(orders!I$1,products!$A$1:$G$1,0))</f>
        <v>Exc</v>
      </c>
      <c r="J441" t="str">
        <f>INDEX(products!$A$1:$G$49,MATCH(orders!$D441,products!$A$1:$A$49,0),MATCH(orders!J$1,products!$A$1:$G$1,0))</f>
        <v>L</v>
      </c>
      <c r="K441" s="7">
        <f>INDEX(products!$A$1:$G$49,MATCH(orders!$D441,products!$A$1:$A$49,0),MATCH(orders!K$1,products!$A$1:$G$1,0))</f>
        <v>0.5</v>
      </c>
      <c r="L441" s="4">
        <f>INDEX(products!$A$1:$G$49,MATCH(orders!$D441,products!$A$1:$A$49,0),MATCH(orders!L$1,products!$A$1:$G$1,0))</f>
        <v>8.91</v>
      </c>
      <c r="M441" s="4">
        <f t="shared" si="6"/>
        <v>35.64</v>
      </c>
      <c r="N441" t="str" cm="1">
        <f t="array" ref="N441">_xlfn.IFS(I441="Rob","Robusta",I441="Exc","Excelsa",I441="Ara","Arabica",I441="Lib","Liberica")</f>
        <v>Excelsa</v>
      </c>
      <c r="O441" t="str" cm="1">
        <f t="array" ref="O441">_xlfn.IFS(J441="M","Medium",J441="L","Large",J441="D","Dark")</f>
        <v>Large</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_xlfn.XLOOKUP(C442,customers!$A$1:$A$1001,customers!$B$1:$B$1001,,0)</f>
        <v>Freda Hollows</v>
      </c>
      <c r="G442" s="2" t="str">
        <f>IF(_xlfn.XLOOKUP(C442,customers!$A$1:$A$1001,customers!$C$1:$C$1001,,0)=0,"",_xlfn.XLOOKUP(C442,customers!$A$1:$A$1001,customers!$C$1:$C$1001,,0))</f>
        <v>fhollowsc8@blogtalkradio.com</v>
      </c>
      <c r="H442" s="2" t="str">
        <f>_xlfn.XLOOKUP(C442,customers!$A$1:$A$1001,customers!$G$1:$G$1001,,0)</f>
        <v>United States</v>
      </c>
      <c r="I442" t="str">
        <f>INDEX(products!$A$1:$G$49,MATCH(orders!$D442,products!$A$1:$A$49,0),MATCH(orders!I$1,products!$A$1:$G$1,0))</f>
        <v>Ara</v>
      </c>
      <c r="J442" t="str">
        <f>INDEX(products!$A$1:$G$49,MATCH(orders!$D442,products!$A$1:$A$49,0),MATCH(orders!J$1,products!$A$1:$G$1,0))</f>
        <v>M</v>
      </c>
      <c r="K442" s="7">
        <f>INDEX(products!$A$1:$G$49,MATCH(orders!$D442,products!$A$1:$A$49,0),MATCH(orders!K$1,products!$A$1:$G$1,0))</f>
        <v>2.5</v>
      </c>
      <c r="L442" s="4">
        <f>INDEX(products!$A$1:$G$49,MATCH(orders!$D442,products!$A$1:$A$49,0),MATCH(orders!L$1,products!$A$1:$G$1,0))</f>
        <v>25.874999999999996</v>
      </c>
      <c r="M442" s="4">
        <f t="shared" si="6"/>
        <v>103.49999999999999</v>
      </c>
      <c r="N442" t="str" cm="1">
        <f t="array" ref="N442">_xlfn.IFS(I442="Rob","Robusta",I442="Exc","Excelsa",I442="Ara","Arabica",I442="Lib","Liberica")</f>
        <v>Arabica</v>
      </c>
      <c r="O442" t="str" cm="1">
        <f t="array" ref="O442">_xlfn.IFS(J442="M","Medium",J442="L","Large",J442="D","Dark")</f>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_xlfn.XLOOKUP(C443,customers!$A$1:$A$1001,customers!$B$1:$B$1001,,0)</f>
        <v>Livy Lathleiff</v>
      </c>
      <c r="G443" s="2" t="str">
        <f>IF(_xlfn.XLOOKUP(C443,customers!$A$1:$A$1001,customers!$C$1:$C$1001,,0)=0,"",_xlfn.XLOOKUP(C443,customers!$A$1:$A$1001,customers!$C$1:$C$1001,,0))</f>
        <v>llathleiffc9@nationalgeographic.com</v>
      </c>
      <c r="H443" s="2" t="str">
        <f>_xlfn.XLOOKUP(C443,customers!$A$1:$A$1001,customers!$G$1:$G$1001,,0)</f>
        <v>Ireland</v>
      </c>
      <c r="I443" t="str">
        <f>INDEX(products!$A$1:$G$49,MATCH(orders!$D443,products!$A$1:$A$49,0),MATCH(orders!I$1,products!$A$1:$G$1,0))</f>
        <v>Exc</v>
      </c>
      <c r="J443" t="str">
        <f>INDEX(products!$A$1:$G$49,MATCH(orders!$D443,products!$A$1:$A$49,0),MATCH(orders!J$1,products!$A$1:$G$1,0))</f>
        <v>D</v>
      </c>
      <c r="K443" s="7">
        <f>INDEX(products!$A$1:$G$49,MATCH(orders!$D443,products!$A$1:$A$49,0),MATCH(orders!K$1,products!$A$1:$G$1,0))</f>
        <v>1</v>
      </c>
      <c r="L443" s="4">
        <f>INDEX(products!$A$1:$G$49,MATCH(orders!$D443,products!$A$1:$A$49,0),MATCH(orders!L$1,products!$A$1:$G$1,0))</f>
        <v>12.15</v>
      </c>
      <c r="M443" s="4">
        <f t="shared" si="6"/>
        <v>36.450000000000003</v>
      </c>
      <c r="N443" t="str" cm="1">
        <f t="array" ref="N443">_xlfn.IFS(I443="Rob","Robusta",I443="Exc","Excelsa",I443="Ara","Arabica",I443="Lib","Liberica")</f>
        <v>Excelsa</v>
      </c>
      <c r="O443" t="str" cm="1">
        <f t="array" ref="O443">_xlfn.IFS(J443="M","Medium",J443="L","Large",J443="D","Dark")</f>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_xlfn.XLOOKUP(C444,customers!$A$1:$A$1001,customers!$B$1:$B$1001,,0)</f>
        <v>Koralle Heads</v>
      </c>
      <c r="G444" s="2" t="str">
        <f>IF(_xlfn.XLOOKUP(C444,customers!$A$1:$A$1001,customers!$C$1:$C$1001,,0)=0,"",_xlfn.XLOOKUP(C444,customers!$A$1:$A$1001,customers!$C$1:$C$1001,,0))</f>
        <v>kheadsca@jalbum.net</v>
      </c>
      <c r="H444" s="2" t="str">
        <f>_xlfn.XLOOKUP(C444,customers!$A$1:$A$1001,customers!$G$1:$G$1001,,0)</f>
        <v>United States</v>
      </c>
      <c r="I444" t="str">
        <f>INDEX(products!$A$1:$G$49,MATCH(orders!$D444,products!$A$1:$A$49,0),MATCH(orders!I$1,products!$A$1:$G$1,0))</f>
        <v>Rob</v>
      </c>
      <c r="J444" t="str">
        <f>INDEX(products!$A$1:$G$49,MATCH(orders!$D444,products!$A$1:$A$49,0),MATCH(orders!J$1,products!$A$1:$G$1,0))</f>
        <v>L</v>
      </c>
      <c r="K444" s="7">
        <f>INDEX(products!$A$1:$G$49,MATCH(orders!$D444,products!$A$1:$A$49,0),MATCH(orders!K$1,products!$A$1:$G$1,0))</f>
        <v>0.5</v>
      </c>
      <c r="L444" s="4">
        <f>INDEX(products!$A$1:$G$49,MATCH(orders!$D444,products!$A$1:$A$49,0),MATCH(orders!L$1,products!$A$1:$G$1,0))</f>
        <v>7.169999999999999</v>
      </c>
      <c r="M444" s="4">
        <f t="shared" si="6"/>
        <v>35.849999999999994</v>
      </c>
      <c r="N444" t="str" cm="1">
        <f t="array" ref="N444">_xlfn.IFS(I444="Rob","Robusta",I444="Exc","Excelsa",I444="Ara","Arabica",I444="Lib","Liberica")</f>
        <v>Robusta</v>
      </c>
      <c r="O444" t="str" cm="1">
        <f t="array" ref="O444">_xlfn.IFS(J444="M","Medium",J444="L","Large",J444="D","Dark")</f>
        <v>Large</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_xlfn.XLOOKUP(C445,customers!$A$1:$A$1001,customers!$B$1:$B$1001,,0)</f>
        <v>Theo Bowne</v>
      </c>
      <c r="G445" s="2" t="str">
        <f>IF(_xlfn.XLOOKUP(C445,customers!$A$1:$A$1001,customers!$C$1:$C$1001,,0)=0,"",_xlfn.XLOOKUP(C445,customers!$A$1:$A$1001,customers!$C$1:$C$1001,,0))</f>
        <v>tbownecb@unicef.org</v>
      </c>
      <c r="H445" s="2" t="str">
        <f>_xlfn.XLOOKUP(C445,customers!$A$1:$A$1001,customers!$G$1:$G$1001,,0)</f>
        <v>Ireland</v>
      </c>
      <c r="I445" t="str">
        <f>INDEX(products!$A$1:$G$49,MATCH(orders!$D445,products!$A$1:$A$49,0),MATCH(orders!I$1,products!$A$1:$G$1,0))</f>
        <v>Exc</v>
      </c>
      <c r="J445" t="str">
        <f>INDEX(products!$A$1:$G$49,MATCH(orders!$D445,products!$A$1:$A$49,0),MATCH(orders!J$1,products!$A$1:$G$1,0))</f>
        <v>L</v>
      </c>
      <c r="K445" s="7">
        <f>INDEX(products!$A$1:$G$49,MATCH(orders!$D445,products!$A$1:$A$49,0),MATCH(orders!K$1,products!$A$1:$G$1,0))</f>
        <v>0.2</v>
      </c>
      <c r="L445" s="4">
        <f>INDEX(products!$A$1:$G$49,MATCH(orders!$D445,products!$A$1:$A$49,0),MATCH(orders!L$1,products!$A$1:$G$1,0))</f>
        <v>4.4550000000000001</v>
      </c>
      <c r="M445" s="4">
        <f t="shared" si="6"/>
        <v>22.274999999999999</v>
      </c>
      <c r="N445" t="str" cm="1">
        <f t="array" ref="N445">_xlfn.IFS(I445="Rob","Robusta",I445="Exc","Excelsa",I445="Ara","Arabica",I445="Lib","Liberica")</f>
        <v>Excelsa</v>
      </c>
      <c r="O445" t="str" cm="1">
        <f t="array" ref="O445">_xlfn.IFS(J445="M","Medium",J445="L","Large",J445="D","Dark")</f>
        <v>Large</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_xlfn.XLOOKUP(C446,customers!$A$1:$A$1001,customers!$B$1:$B$1001,,0)</f>
        <v>Rasia Jacquemard</v>
      </c>
      <c r="G446" s="2" t="str">
        <f>IF(_xlfn.XLOOKUP(C446,customers!$A$1:$A$1001,customers!$C$1:$C$1001,,0)=0,"",_xlfn.XLOOKUP(C446,customers!$A$1:$A$1001,customers!$C$1:$C$1001,,0))</f>
        <v>rjacquemardcc@acquirethisname.com</v>
      </c>
      <c r="H446" s="2" t="str">
        <f>_xlfn.XLOOKUP(C446,customers!$A$1:$A$1001,customers!$G$1:$G$1001,,0)</f>
        <v>Ireland</v>
      </c>
      <c r="I446" t="str">
        <f>INDEX(products!$A$1:$G$49,MATCH(orders!$D446,products!$A$1:$A$49,0),MATCH(orders!I$1,products!$A$1:$G$1,0))</f>
        <v>Exc</v>
      </c>
      <c r="J446" t="str">
        <f>INDEX(products!$A$1:$G$49,MATCH(orders!$D446,products!$A$1:$A$49,0),MATCH(orders!J$1,products!$A$1:$G$1,0))</f>
        <v>M</v>
      </c>
      <c r="K446" s="7">
        <f>INDEX(products!$A$1:$G$49,MATCH(orders!$D446,products!$A$1:$A$49,0),MATCH(orders!K$1,products!$A$1:$G$1,0))</f>
        <v>0.2</v>
      </c>
      <c r="L446" s="4">
        <f>INDEX(products!$A$1:$G$49,MATCH(orders!$D446,products!$A$1:$A$49,0),MATCH(orders!L$1,products!$A$1:$G$1,0))</f>
        <v>4.125</v>
      </c>
      <c r="M446" s="4">
        <f t="shared" si="6"/>
        <v>24.75</v>
      </c>
      <c r="N446" t="str" cm="1">
        <f t="array" ref="N446">_xlfn.IFS(I446="Rob","Robusta",I446="Exc","Excelsa",I446="Ara","Arabica",I446="Lib","Liberica")</f>
        <v>Excelsa</v>
      </c>
      <c r="O446" t="str" cm="1">
        <f t="array" ref="O446">_xlfn.IFS(J446="M","Medium",J446="L","Large",J446="D","Dark")</f>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_xlfn.XLOOKUP(C447,customers!$A$1:$A$1001,customers!$B$1:$B$1001,,0)</f>
        <v>Kizzie Warman</v>
      </c>
      <c r="G447" s="2" t="str">
        <f>IF(_xlfn.XLOOKUP(C447,customers!$A$1:$A$1001,customers!$C$1:$C$1001,,0)=0,"",_xlfn.XLOOKUP(C447,customers!$A$1:$A$1001,customers!$C$1:$C$1001,,0))</f>
        <v>kwarmancd@printfriendly.com</v>
      </c>
      <c r="H447" s="2" t="str">
        <f>_xlfn.XLOOKUP(C447,customers!$A$1:$A$1001,customers!$G$1:$G$1001,,0)</f>
        <v>Ireland</v>
      </c>
      <c r="I447" t="str">
        <f>INDEX(products!$A$1:$G$49,MATCH(orders!$D447,products!$A$1:$A$49,0),MATCH(orders!I$1,products!$A$1:$G$1,0))</f>
        <v>Lib</v>
      </c>
      <c r="J447" t="str">
        <f>INDEX(products!$A$1:$G$49,MATCH(orders!$D447,products!$A$1:$A$49,0),MATCH(orders!J$1,products!$A$1:$G$1,0))</f>
        <v>M</v>
      </c>
      <c r="K447" s="7">
        <f>INDEX(products!$A$1:$G$49,MATCH(orders!$D447,products!$A$1:$A$49,0),MATCH(orders!K$1,products!$A$1:$G$1,0))</f>
        <v>2.5</v>
      </c>
      <c r="L447" s="4">
        <f>INDEX(products!$A$1:$G$49,MATCH(orders!$D447,products!$A$1:$A$49,0),MATCH(orders!L$1,products!$A$1:$G$1,0))</f>
        <v>33.464999999999996</v>
      </c>
      <c r="M447" s="4">
        <f t="shared" si="6"/>
        <v>66.929999999999993</v>
      </c>
      <c r="N447" t="str" cm="1">
        <f t="array" ref="N447">_xlfn.IFS(I447="Rob","Robusta",I447="Exc","Excelsa",I447="Ara","Arabica",I447="Lib","Liberica")</f>
        <v>Liberica</v>
      </c>
      <c r="O447" t="str" cm="1">
        <f t="array" ref="O447">_xlfn.IFS(J447="M","Medium",J447="L","Large",J447="D","Dark")</f>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_xlfn.XLOOKUP(C448,customers!$A$1:$A$1001,customers!$B$1:$B$1001,,0)</f>
        <v>Wain Cholomin</v>
      </c>
      <c r="G448" s="2" t="str">
        <f>IF(_xlfn.XLOOKUP(C448,customers!$A$1:$A$1001,customers!$C$1:$C$1001,,0)=0,"",_xlfn.XLOOKUP(C448,customers!$A$1:$A$1001,customers!$C$1:$C$1001,,0))</f>
        <v>wcholomince@about.com</v>
      </c>
      <c r="H448" s="2" t="str">
        <f>_xlfn.XLOOKUP(C448,customers!$A$1:$A$1001,customers!$G$1:$G$1001,,0)</f>
        <v>United Kingdom</v>
      </c>
      <c r="I448" t="str">
        <f>INDEX(products!$A$1:$G$49,MATCH(orders!$D448,products!$A$1:$A$49,0),MATCH(orders!I$1,products!$A$1:$G$1,0))</f>
        <v>Lib</v>
      </c>
      <c r="J448" t="str">
        <f>INDEX(products!$A$1:$G$49,MATCH(orders!$D448,products!$A$1:$A$49,0),MATCH(orders!J$1,products!$A$1:$G$1,0))</f>
        <v>M</v>
      </c>
      <c r="K448" s="7">
        <f>INDEX(products!$A$1:$G$49,MATCH(orders!$D448,products!$A$1:$A$49,0),MATCH(orders!K$1,products!$A$1:$G$1,0))</f>
        <v>0.5</v>
      </c>
      <c r="L448" s="4">
        <f>INDEX(products!$A$1:$G$49,MATCH(orders!$D448,products!$A$1:$A$49,0),MATCH(orders!L$1,products!$A$1:$G$1,0))</f>
        <v>8.73</v>
      </c>
      <c r="M448" s="4">
        <f t="shared" si="6"/>
        <v>8.73</v>
      </c>
      <c r="N448" t="str" cm="1">
        <f t="array" ref="N448">_xlfn.IFS(I448="Rob","Robusta",I448="Exc","Excelsa",I448="Ara","Arabica",I448="Lib","Liberica")</f>
        <v>Liberica</v>
      </c>
      <c r="O448" t="str" cm="1">
        <f t="array" ref="O448">_xlfn.IFS(J448="M","Medium",J448="L","Large",J448="D","Dark")</f>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_xlfn.XLOOKUP(C449,customers!$A$1:$A$1001,customers!$B$1:$B$1001,,0)</f>
        <v>Arleen Braidman</v>
      </c>
      <c r="G449" s="2" t="str">
        <f>IF(_xlfn.XLOOKUP(C449,customers!$A$1:$A$1001,customers!$C$1:$C$1001,,0)=0,"",_xlfn.XLOOKUP(C449,customers!$A$1:$A$1001,customers!$C$1:$C$1001,,0))</f>
        <v>abraidmancf@census.gov</v>
      </c>
      <c r="H449" s="2" t="str">
        <f>_xlfn.XLOOKUP(C449,customers!$A$1:$A$1001,customers!$G$1:$G$1001,,0)</f>
        <v>United States</v>
      </c>
      <c r="I449" t="str">
        <f>INDEX(products!$A$1:$G$49,MATCH(orders!$D449,products!$A$1:$A$49,0),MATCH(orders!I$1,products!$A$1:$G$1,0))</f>
        <v>Rob</v>
      </c>
      <c r="J449" t="str">
        <f>INDEX(products!$A$1:$G$49,MATCH(orders!$D449,products!$A$1:$A$49,0),MATCH(orders!J$1,products!$A$1:$G$1,0))</f>
        <v>M</v>
      </c>
      <c r="K449" s="7">
        <f>INDEX(products!$A$1:$G$49,MATCH(orders!$D449,products!$A$1:$A$49,0),MATCH(orders!K$1,products!$A$1:$G$1,0))</f>
        <v>0.5</v>
      </c>
      <c r="L449" s="4">
        <f>INDEX(products!$A$1:$G$49,MATCH(orders!$D449,products!$A$1:$A$49,0),MATCH(orders!L$1,products!$A$1:$G$1,0))</f>
        <v>5.97</v>
      </c>
      <c r="M449" s="4">
        <f t="shared" si="6"/>
        <v>17.91</v>
      </c>
      <c r="N449" t="str" cm="1">
        <f t="array" ref="N449">_xlfn.IFS(I449="Rob","Robusta",I449="Exc","Excelsa",I449="Ara","Arabica",I449="Lib","Liberica")</f>
        <v>Robusta</v>
      </c>
      <c r="O449" t="str" cm="1">
        <f t="array" ref="O449">_xlfn.IFS(J449="M","Medium",J449="L","Large",J449="D","Dark")</f>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_xlfn.XLOOKUP(C450,customers!$A$1:$A$1001,customers!$B$1:$B$1001,,0)</f>
        <v>Pru Durban</v>
      </c>
      <c r="G450" s="2" t="str">
        <f>IF(_xlfn.XLOOKUP(C450,customers!$A$1:$A$1001,customers!$C$1:$C$1001,,0)=0,"",_xlfn.XLOOKUP(C450,customers!$A$1:$A$1001,customers!$C$1:$C$1001,,0))</f>
        <v>pdurbancg@symantec.com</v>
      </c>
      <c r="H450" s="2" t="str">
        <f>_xlfn.XLOOKUP(C450,customers!$A$1:$A$1001,customers!$G$1:$G$1001,,0)</f>
        <v>Ireland</v>
      </c>
      <c r="I450" t="str">
        <f>INDEX(products!$A$1:$G$49,MATCH(orders!$D450,products!$A$1:$A$49,0),MATCH(orders!I$1,products!$A$1:$G$1,0))</f>
        <v>Rob</v>
      </c>
      <c r="J450" t="str">
        <f>INDEX(products!$A$1:$G$49,MATCH(orders!$D450,products!$A$1:$A$49,0),MATCH(orders!J$1,products!$A$1:$G$1,0))</f>
        <v>L</v>
      </c>
      <c r="K450" s="7">
        <f>INDEX(products!$A$1:$G$49,MATCH(orders!$D450,products!$A$1:$A$49,0),MATCH(orders!K$1,products!$A$1:$G$1,0))</f>
        <v>0.5</v>
      </c>
      <c r="L450" s="4">
        <f>INDEX(products!$A$1:$G$49,MATCH(orders!$D450,products!$A$1:$A$49,0),MATCH(orders!L$1,products!$A$1:$G$1,0))</f>
        <v>7.169999999999999</v>
      </c>
      <c r="M450" s="4">
        <f t="shared" si="6"/>
        <v>7.169999999999999</v>
      </c>
      <c r="N450" t="str" cm="1">
        <f t="array" ref="N450">_xlfn.IFS(I450="Rob","Robusta",I450="Exc","Excelsa",I450="Ara","Arabica",I450="Lib","Liberica")</f>
        <v>Robusta</v>
      </c>
      <c r="O450" t="str" cm="1">
        <f t="array" ref="O450">_xlfn.IFS(J450="M","Medium",J450="L","Large",J450="D","Dark")</f>
        <v>Large</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_xlfn.XLOOKUP(C451,customers!$A$1:$A$1001,customers!$B$1:$B$1001,,0)</f>
        <v>Antone Harrold</v>
      </c>
      <c r="G451" s="2" t="str">
        <f>IF(_xlfn.XLOOKUP(C451,customers!$A$1:$A$1001,customers!$C$1:$C$1001,,0)=0,"",_xlfn.XLOOKUP(C451,customers!$A$1:$A$1001,customers!$C$1:$C$1001,,0))</f>
        <v>aharroldch@miibeian.gov.cn</v>
      </c>
      <c r="H451" s="2" t="str">
        <f>_xlfn.XLOOKUP(C451,customers!$A$1:$A$1001,customers!$G$1:$G$1001,,0)</f>
        <v>United States</v>
      </c>
      <c r="I451" t="str">
        <f>INDEX(products!$A$1:$G$49,MATCH(orders!$D451,products!$A$1:$A$49,0),MATCH(orders!I$1,products!$A$1:$G$1,0))</f>
        <v>Rob</v>
      </c>
      <c r="J451" t="str">
        <f>INDEX(products!$A$1:$G$49,MATCH(orders!$D451,products!$A$1:$A$49,0),MATCH(orders!J$1,products!$A$1:$G$1,0))</f>
        <v>D</v>
      </c>
      <c r="K451" s="7">
        <f>INDEX(products!$A$1:$G$49,MATCH(orders!$D451,products!$A$1:$A$49,0),MATCH(orders!K$1,products!$A$1:$G$1,0))</f>
        <v>0.2</v>
      </c>
      <c r="L451" s="4">
        <f>INDEX(products!$A$1:$G$49,MATCH(orders!$D451,products!$A$1:$A$49,0),MATCH(orders!L$1,products!$A$1:$G$1,0))</f>
        <v>2.6849999999999996</v>
      </c>
      <c r="M451" s="4">
        <f t="shared" ref="M451:M514" si="7">L451*E451</f>
        <v>5.3699999999999992</v>
      </c>
      <c r="N451" t="str" cm="1">
        <f t="array" ref="N451">_xlfn.IFS(I451="Rob","Robusta",I451="Exc","Excelsa",I451="Ara","Arabica",I451="Lib","Liberica")</f>
        <v>Robusta</v>
      </c>
      <c r="O451" t="str" cm="1">
        <f t="array" ref="O451">_xlfn.IFS(J451="M","Medium",J451="L","Large",J451="D","Dark")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_xlfn.XLOOKUP(C452,customers!$A$1:$A$1001,customers!$B$1:$B$1001,,0)</f>
        <v>Sim Pamphilon</v>
      </c>
      <c r="G452" s="2" t="str">
        <f>IF(_xlfn.XLOOKUP(C452,customers!$A$1:$A$1001,customers!$C$1:$C$1001,,0)=0,"",_xlfn.XLOOKUP(C452,customers!$A$1:$A$1001,customers!$C$1:$C$1001,,0))</f>
        <v>spamphilonci@mlb.com</v>
      </c>
      <c r="H452" s="2" t="str">
        <f>_xlfn.XLOOKUP(C452,customers!$A$1:$A$1001,customers!$G$1:$G$1001,,0)</f>
        <v>Ireland</v>
      </c>
      <c r="I452" t="str">
        <f>INDEX(products!$A$1:$G$49,MATCH(orders!$D452,products!$A$1:$A$49,0),MATCH(orders!I$1,products!$A$1:$G$1,0))</f>
        <v>Lib</v>
      </c>
      <c r="J452" t="str">
        <f>INDEX(products!$A$1:$G$49,MATCH(orders!$D452,products!$A$1:$A$49,0),MATCH(orders!J$1,products!$A$1:$G$1,0))</f>
        <v>L</v>
      </c>
      <c r="K452" s="7">
        <f>INDEX(products!$A$1:$G$49,MATCH(orders!$D452,products!$A$1:$A$49,0),MATCH(orders!K$1,products!$A$1:$G$1,0))</f>
        <v>0.2</v>
      </c>
      <c r="L452" s="4">
        <f>INDEX(products!$A$1:$G$49,MATCH(orders!$D452,products!$A$1:$A$49,0),MATCH(orders!L$1,products!$A$1:$G$1,0))</f>
        <v>4.7549999999999999</v>
      </c>
      <c r="M452" s="4">
        <f t="shared" si="7"/>
        <v>23.774999999999999</v>
      </c>
      <c r="N452" t="str" cm="1">
        <f t="array" ref="N452">_xlfn.IFS(I452="Rob","Robusta",I452="Exc","Excelsa",I452="Ara","Arabica",I452="Lib","Liberica")</f>
        <v>Liberica</v>
      </c>
      <c r="O452" t="str" cm="1">
        <f t="array" ref="O452">_xlfn.IFS(J452="M","Medium",J452="L","Large",J452="D","Dark")</f>
        <v>Large</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_xlfn.XLOOKUP(C453,customers!$A$1:$A$1001,customers!$B$1:$B$1001,,0)</f>
        <v>Mohandis Spurden</v>
      </c>
      <c r="G453" s="2" t="str">
        <f>IF(_xlfn.XLOOKUP(C453,customers!$A$1:$A$1001,customers!$C$1:$C$1001,,0)=0,"",_xlfn.XLOOKUP(C453,customers!$A$1:$A$1001,customers!$C$1:$C$1001,,0))</f>
        <v>mspurdencj@exblog.jp</v>
      </c>
      <c r="H453" s="2" t="str">
        <f>_xlfn.XLOOKUP(C453,customers!$A$1:$A$1001,customers!$G$1:$G$1001,,0)</f>
        <v>United States</v>
      </c>
      <c r="I453" t="str">
        <f>INDEX(products!$A$1:$G$49,MATCH(orders!$D453,products!$A$1:$A$49,0),MATCH(orders!I$1,products!$A$1:$G$1,0))</f>
        <v>Rob</v>
      </c>
      <c r="J453" t="str">
        <f>INDEX(products!$A$1:$G$49,MATCH(orders!$D453,products!$A$1:$A$49,0),MATCH(orders!J$1,products!$A$1:$G$1,0))</f>
        <v>D</v>
      </c>
      <c r="K453" s="7">
        <f>INDEX(products!$A$1:$G$49,MATCH(orders!$D453,products!$A$1:$A$49,0),MATCH(orders!K$1,products!$A$1:$G$1,0))</f>
        <v>2.5</v>
      </c>
      <c r="L453" s="4">
        <f>INDEX(products!$A$1:$G$49,MATCH(orders!$D453,products!$A$1:$A$49,0),MATCH(orders!L$1,products!$A$1:$G$1,0))</f>
        <v>20.584999999999997</v>
      </c>
      <c r="M453" s="4">
        <f t="shared" si="7"/>
        <v>41.169999999999995</v>
      </c>
      <c r="N453" t="str" cm="1">
        <f t="array" ref="N453">_xlfn.IFS(I453="Rob","Robusta",I453="Exc","Excelsa",I453="Ara","Arabica",I453="Lib","Liberica")</f>
        <v>Robusta</v>
      </c>
      <c r="O453" t="str" cm="1">
        <f t="array" ref="O453">_xlfn.IFS(J453="M","Medium",J453="L","Large",J453="D","Dark")</f>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_xlfn.XLOOKUP(C454,customers!$A$1:$A$1001,customers!$B$1:$B$1001,,0)</f>
        <v>Morgen Seson</v>
      </c>
      <c r="G454" s="2" t="str">
        <f>IF(_xlfn.XLOOKUP(C454,customers!$A$1:$A$1001,customers!$C$1:$C$1001,,0)=0,"",_xlfn.XLOOKUP(C454,customers!$A$1:$A$1001,customers!$C$1:$C$1001,,0))</f>
        <v>msesonck@census.gov</v>
      </c>
      <c r="H454" s="2" t="str">
        <f>_xlfn.XLOOKUP(C454,customers!$A$1:$A$1001,customers!$G$1:$G$1001,,0)</f>
        <v>United States</v>
      </c>
      <c r="I454" t="str">
        <f>INDEX(products!$A$1:$G$49,MATCH(orders!$D454,products!$A$1:$A$49,0),MATCH(orders!I$1,products!$A$1:$G$1,0))</f>
        <v>Ara</v>
      </c>
      <c r="J454" t="str">
        <f>INDEX(products!$A$1:$G$49,MATCH(orders!$D454,products!$A$1:$A$49,0),MATCH(orders!J$1,products!$A$1:$G$1,0))</f>
        <v>L</v>
      </c>
      <c r="K454" s="7">
        <f>INDEX(products!$A$1:$G$49,MATCH(orders!$D454,products!$A$1:$A$49,0),MATCH(orders!K$1,products!$A$1:$G$1,0))</f>
        <v>0.2</v>
      </c>
      <c r="L454" s="4">
        <f>INDEX(products!$A$1:$G$49,MATCH(orders!$D454,products!$A$1:$A$49,0),MATCH(orders!L$1,products!$A$1:$G$1,0))</f>
        <v>3.8849999999999998</v>
      </c>
      <c r="M454" s="4">
        <f t="shared" si="7"/>
        <v>11.654999999999999</v>
      </c>
      <c r="N454" t="str" cm="1">
        <f t="array" ref="N454">_xlfn.IFS(I454="Rob","Robusta",I454="Exc","Excelsa",I454="Ara","Arabica",I454="Lib","Liberica")</f>
        <v>Arabica</v>
      </c>
      <c r="O454" t="str" cm="1">
        <f t="array" ref="O454">_xlfn.IFS(J454="M","Medium",J454="L","Large",J454="D","Dark")</f>
        <v>Large</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_xlfn.XLOOKUP(C455,customers!$A$1:$A$1001,customers!$B$1:$B$1001,,0)</f>
        <v>Nalani Pirrone</v>
      </c>
      <c r="G455" s="2" t="str">
        <f>IF(_xlfn.XLOOKUP(C455,customers!$A$1:$A$1001,customers!$C$1:$C$1001,,0)=0,"",_xlfn.XLOOKUP(C455,customers!$A$1:$A$1001,customers!$C$1:$C$1001,,0))</f>
        <v>npirronecl@weibo.com</v>
      </c>
      <c r="H455" s="2" t="str">
        <f>_xlfn.XLOOKUP(C455,customers!$A$1:$A$1001,customers!$G$1:$G$1001,,0)</f>
        <v>United States</v>
      </c>
      <c r="I455" t="str">
        <f>INDEX(products!$A$1:$G$49,MATCH(orders!$D455,products!$A$1:$A$49,0),MATCH(orders!I$1,products!$A$1:$G$1,0))</f>
        <v>Lib</v>
      </c>
      <c r="J455" t="str">
        <f>INDEX(products!$A$1:$G$49,MATCH(orders!$D455,products!$A$1:$A$49,0),MATCH(orders!J$1,products!$A$1:$G$1,0))</f>
        <v>L</v>
      </c>
      <c r="K455" s="7">
        <f>INDEX(products!$A$1:$G$49,MATCH(orders!$D455,products!$A$1:$A$49,0),MATCH(orders!K$1,products!$A$1:$G$1,0))</f>
        <v>0.5</v>
      </c>
      <c r="L455" s="4">
        <f>INDEX(products!$A$1:$G$49,MATCH(orders!$D455,products!$A$1:$A$49,0),MATCH(orders!L$1,products!$A$1:$G$1,0))</f>
        <v>9.51</v>
      </c>
      <c r="M455" s="4">
        <f t="shared" si="7"/>
        <v>38.04</v>
      </c>
      <c r="N455" t="str" cm="1">
        <f t="array" ref="N455">_xlfn.IFS(I455="Rob","Robusta",I455="Exc","Excelsa",I455="Ara","Arabica",I455="Lib","Liberica")</f>
        <v>Liberica</v>
      </c>
      <c r="O455" t="str" cm="1">
        <f t="array" ref="O455">_xlfn.IFS(J455="M","Medium",J455="L","Large",J455="D","Dark")</f>
        <v>Large</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_xlfn.XLOOKUP(C456,customers!$A$1:$A$1001,customers!$B$1:$B$1001,,0)</f>
        <v>Reube Cawley</v>
      </c>
      <c r="G456" s="2" t="str">
        <f>IF(_xlfn.XLOOKUP(C456,customers!$A$1:$A$1001,customers!$C$1:$C$1001,,0)=0,"",_xlfn.XLOOKUP(C456,customers!$A$1:$A$1001,customers!$C$1:$C$1001,,0))</f>
        <v>rcawleycm@yellowbook.com</v>
      </c>
      <c r="H456" s="2" t="str">
        <f>_xlfn.XLOOKUP(C456,customers!$A$1:$A$1001,customers!$G$1:$G$1001,,0)</f>
        <v>Ireland</v>
      </c>
      <c r="I456" t="str">
        <f>INDEX(products!$A$1:$G$49,MATCH(orders!$D456,products!$A$1:$A$49,0),MATCH(orders!I$1,products!$A$1:$G$1,0))</f>
        <v>Rob</v>
      </c>
      <c r="J456" t="str">
        <f>INDEX(products!$A$1:$G$49,MATCH(orders!$D456,products!$A$1:$A$49,0),MATCH(orders!J$1,products!$A$1:$G$1,0))</f>
        <v>D</v>
      </c>
      <c r="K456" s="7">
        <f>INDEX(products!$A$1:$G$49,MATCH(orders!$D456,products!$A$1:$A$49,0),MATCH(orders!K$1,products!$A$1:$G$1,0))</f>
        <v>2.5</v>
      </c>
      <c r="L456" s="4">
        <f>INDEX(products!$A$1:$G$49,MATCH(orders!$D456,products!$A$1:$A$49,0),MATCH(orders!L$1,products!$A$1:$G$1,0))</f>
        <v>20.584999999999997</v>
      </c>
      <c r="M456" s="4">
        <f t="shared" si="7"/>
        <v>82.339999999999989</v>
      </c>
      <c r="N456" t="str" cm="1">
        <f t="array" ref="N456">_xlfn.IFS(I456="Rob","Robusta",I456="Exc","Excelsa",I456="Ara","Arabica",I456="Lib","Liberica")</f>
        <v>Robusta</v>
      </c>
      <c r="O456" t="str" cm="1">
        <f t="array" ref="O456">_xlfn.IFS(J456="M","Medium",J456="L","Large",J456="D","Dark")</f>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_xlfn.XLOOKUP(C457,customers!$A$1:$A$1001,customers!$B$1:$B$1001,,0)</f>
        <v>Stan Barribal</v>
      </c>
      <c r="G457" s="2" t="str">
        <f>IF(_xlfn.XLOOKUP(C457,customers!$A$1:$A$1001,customers!$C$1:$C$1001,,0)=0,"",_xlfn.XLOOKUP(C457,customers!$A$1:$A$1001,customers!$C$1:$C$1001,,0))</f>
        <v>sbarribalcn@microsoft.com</v>
      </c>
      <c r="H457" s="2" t="str">
        <f>_xlfn.XLOOKUP(C457,customers!$A$1:$A$1001,customers!$G$1:$G$1001,,0)</f>
        <v>Ireland</v>
      </c>
      <c r="I457" t="str">
        <f>INDEX(products!$A$1:$G$49,MATCH(orders!$D457,products!$A$1:$A$49,0),MATCH(orders!I$1,products!$A$1:$G$1,0))</f>
        <v>Lib</v>
      </c>
      <c r="J457" t="str">
        <f>INDEX(products!$A$1:$G$49,MATCH(orders!$D457,products!$A$1:$A$49,0),MATCH(orders!J$1,products!$A$1:$G$1,0))</f>
        <v>L</v>
      </c>
      <c r="K457" s="7">
        <f>INDEX(products!$A$1:$G$49,MATCH(orders!$D457,products!$A$1:$A$49,0),MATCH(orders!K$1,products!$A$1:$G$1,0))</f>
        <v>0.2</v>
      </c>
      <c r="L457" s="4">
        <f>INDEX(products!$A$1:$G$49,MATCH(orders!$D457,products!$A$1:$A$49,0),MATCH(orders!L$1,products!$A$1:$G$1,0))</f>
        <v>4.7549999999999999</v>
      </c>
      <c r="M457" s="4">
        <f t="shared" si="7"/>
        <v>9.51</v>
      </c>
      <c r="N457" t="str" cm="1">
        <f t="array" ref="N457">_xlfn.IFS(I457="Rob","Robusta",I457="Exc","Excelsa",I457="Ara","Arabica",I457="Lib","Liberica")</f>
        <v>Liberica</v>
      </c>
      <c r="O457" t="str" cm="1">
        <f t="array" ref="O457">_xlfn.IFS(J457="M","Medium",J457="L","Large",J457="D","Dark")</f>
        <v>Large</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_xlfn.XLOOKUP(C458,customers!$A$1:$A$1001,customers!$B$1:$B$1001,,0)</f>
        <v>Agnes Adamides</v>
      </c>
      <c r="G458" s="2" t="str">
        <f>IF(_xlfn.XLOOKUP(C458,customers!$A$1:$A$1001,customers!$C$1:$C$1001,,0)=0,"",_xlfn.XLOOKUP(C458,customers!$A$1:$A$1001,customers!$C$1:$C$1001,,0))</f>
        <v>aadamidesco@bizjournals.com</v>
      </c>
      <c r="H458" s="2" t="str">
        <f>_xlfn.XLOOKUP(C458,customers!$A$1:$A$1001,customers!$G$1:$G$1001,,0)</f>
        <v>United Kingdom</v>
      </c>
      <c r="I458" t="str">
        <f>INDEX(products!$A$1:$G$49,MATCH(orders!$D458,products!$A$1:$A$49,0),MATCH(orders!I$1,products!$A$1:$G$1,0))</f>
        <v>Rob</v>
      </c>
      <c r="J458" t="str">
        <f>INDEX(products!$A$1:$G$49,MATCH(orders!$D458,products!$A$1:$A$49,0),MATCH(orders!J$1,products!$A$1:$G$1,0))</f>
        <v>D</v>
      </c>
      <c r="K458" s="7">
        <f>INDEX(products!$A$1:$G$49,MATCH(orders!$D458,products!$A$1:$A$49,0),MATCH(orders!K$1,products!$A$1:$G$1,0))</f>
        <v>2.5</v>
      </c>
      <c r="L458" s="4">
        <f>INDEX(products!$A$1:$G$49,MATCH(orders!$D458,products!$A$1:$A$49,0),MATCH(orders!L$1,products!$A$1:$G$1,0))</f>
        <v>20.584999999999997</v>
      </c>
      <c r="M458" s="4">
        <f t="shared" si="7"/>
        <v>41.169999999999995</v>
      </c>
      <c r="N458" t="str" cm="1">
        <f t="array" ref="N458">_xlfn.IFS(I458="Rob","Robusta",I458="Exc","Excelsa",I458="Ara","Arabica",I458="Lib","Liberica")</f>
        <v>Robusta</v>
      </c>
      <c r="O458" t="str" cm="1">
        <f t="array" ref="O458">_xlfn.IFS(J458="M","Medium",J458="L","Large",J458="D","Dark")</f>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_xlfn.XLOOKUP(C459,customers!$A$1:$A$1001,customers!$B$1:$B$1001,,0)</f>
        <v>Carmelita Thowes</v>
      </c>
      <c r="G459" s="2" t="str">
        <f>IF(_xlfn.XLOOKUP(C459,customers!$A$1:$A$1001,customers!$C$1:$C$1001,,0)=0,"",_xlfn.XLOOKUP(C459,customers!$A$1:$A$1001,customers!$C$1:$C$1001,,0))</f>
        <v>cthowescp@craigslist.org</v>
      </c>
      <c r="H459" s="2" t="str">
        <f>_xlfn.XLOOKUP(C459,customers!$A$1:$A$1001,customers!$G$1:$G$1001,,0)</f>
        <v>United States</v>
      </c>
      <c r="I459" t="str">
        <f>INDEX(products!$A$1:$G$49,MATCH(orders!$D459,products!$A$1:$A$49,0),MATCH(orders!I$1,products!$A$1:$G$1,0))</f>
        <v>Lib</v>
      </c>
      <c r="J459" t="str">
        <f>INDEX(products!$A$1:$G$49,MATCH(orders!$D459,products!$A$1:$A$49,0),MATCH(orders!J$1,products!$A$1:$G$1,0))</f>
        <v>L</v>
      </c>
      <c r="K459" s="7">
        <f>INDEX(products!$A$1:$G$49,MATCH(orders!$D459,products!$A$1:$A$49,0),MATCH(orders!K$1,products!$A$1:$G$1,0))</f>
        <v>0.5</v>
      </c>
      <c r="L459" s="4">
        <f>INDEX(products!$A$1:$G$49,MATCH(orders!$D459,products!$A$1:$A$49,0),MATCH(orders!L$1,products!$A$1:$G$1,0))</f>
        <v>9.51</v>
      </c>
      <c r="M459" s="4">
        <f t="shared" si="7"/>
        <v>47.55</v>
      </c>
      <c r="N459" t="str" cm="1">
        <f t="array" ref="N459">_xlfn.IFS(I459="Rob","Robusta",I459="Exc","Excelsa",I459="Ara","Arabica",I459="Lib","Liberica")</f>
        <v>Liberica</v>
      </c>
      <c r="O459" t="str" cm="1">
        <f t="array" ref="O459">_xlfn.IFS(J459="M","Medium",J459="L","Large",J459="D","Dark")</f>
        <v>Large</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_xlfn.XLOOKUP(C460,customers!$A$1:$A$1001,customers!$B$1:$B$1001,,0)</f>
        <v>Rodolfo Willoway</v>
      </c>
      <c r="G460" s="2" t="str">
        <f>IF(_xlfn.XLOOKUP(C460,customers!$A$1:$A$1001,customers!$C$1:$C$1001,,0)=0,"",_xlfn.XLOOKUP(C460,customers!$A$1:$A$1001,customers!$C$1:$C$1001,,0))</f>
        <v>rwillowaycq@admin.ch</v>
      </c>
      <c r="H460" s="2" t="str">
        <f>_xlfn.XLOOKUP(C460,customers!$A$1:$A$1001,customers!$G$1:$G$1001,,0)</f>
        <v>United States</v>
      </c>
      <c r="I460" t="str">
        <f>INDEX(products!$A$1:$G$49,MATCH(orders!$D460,products!$A$1:$A$49,0),MATCH(orders!I$1,products!$A$1:$G$1,0))</f>
        <v>Ara</v>
      </c>
      <c r="J460" t="str">
        <f>INDEX(products!$A$1:$G$49,MATCH(orders!$D460,products!$A$1:$A$49,0),MATCH(orders!J$1,products!$A$1:$G$1,0))</f>
        <v>M</v>
      </c>
      <c r="K460" s="7">
        <f>INDEX(products!$A$1:$G$49,MATCH(orders!$D460,products!$A$1:$A$49,0),MATCH(orders!K$1,products!$A$1:$G$1,0))</f>
        <v>1</v>
      </c>
      <c r="L460" s="4">
        <f>INDEX(products!$A$1:$G$49,MATCH(orders!$D460,products!$A$1:$A$49,0),MATCH(orders!L$1,products!$A$1:$G$1,0))</f>
        <v>11.25</v>
      </c>
      <c r="M460" s="4">
        <f t="shared" si="7"/>
        <v>45</v>
      </c>
      <c r="N460" t="str" cm="1">
        <f t="array" ref="N460">_xlfn.IFS(I460="Rob","Robusta",I460="Exc","Excelsa",I460="Ara","Arabica",I460="Lib","Liberica")</f>
        <v>Arabica</v>
      </c>
      <c r="O460" t="str" cm="1">
        <f t="array" ref="O460">_xlfn.IFS(J460="M","Medium",J460="L","Large",J460="D","Dark")</f>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_xlfn.XLOOKUP(C461,customers!$A$1:$A$1001,customers!$B$1:$B$1001,,0)</f>
        <v>Alvis Elwin</v>
      </c>
      <c r="G461" s="2" t="str">
        <f>IF(_xlfn.XLOOKUP(C461,customers!$A$1:$A$1001,customers!$C$1:$C$1001,,0)=0,"",_xlfn.XLOOKUP(C461,customers!$A$1:$A$1001,customers!$C$1:$C$1001,,0))</f>
        <v>aelwincr@privacy.gov.au</v>
      </c>
      <c r="H461" s="2" t="str">
        <f>_xlfn.XLOOKUP(C461,customers!$A$1:$A$1001,customers!$G$1:$G$1001,,0)</f>
        <v>United States</v>
      </c>
      <c r="I461" t="str">
        <f>INDEX(products!$A$1:$G$49,MATCH(orders!$D461,products!$A$1:$A$49,0),MATCH(orders!I$1,products!$A$1:$G$1,0))</f>
        <v>Lib</v>
      </c>
      <c r="J461" t="str">
        <f>INDEX(products!$A$1:$G$49,MATCH(orders!$D461,products!$A$1:$A$49,0),MATCH(orders!J$1,products!$A$1:$G$1,0))</f>
        <v>L</v>
      </c>
      <c r="K461" s="7">
        <f>INDEX(products!$A$1:$G$49,MATCH(orders!$D461,products!$A$1:$A$49,0),MATCH(orders!K$1,products!$A$1:$G$1,0))</f>
        <v>0.2</v>
      </c>
      <c r="L461" s="4">
        <f>INDEX(products!$A$1:$G$49,MATCH(orders!$D461,products!$A$1:$A$49,0),MATCH(orders!L$1,products!$A$1:$G$1,0))</f>
        <v>4.7549999999999999</v>
      </c>
      <c r="M461" s="4">
        <f t="shared" si="7"/>
        <v>23.774999999999999</v>
      </c>
      <c r="N461" t="str" cm="1">
        <f t="array" ref="N461">_xlfn.IFS(I461="Rob","Robusta",I461="Exc","Excelsa",I461="Ara","Arabica",I461="Lib","Liberica")</f>
        <v>Liberica</v>
      </c>
      <c r="O461" t="str" cm="1">
        <f t="array" ref="O461">_xlfn.IFS(J461="M","Medium",J461="L","Large",J461="D","Dark")</f>
        <v>Large</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_xlfn.XLOOKUP(C462,customers!$A$1:$A$1001,customers!$B$1:$B$1001,,0)</f>
        <v>Araldo Bilbrook</v>
      </c>
      <c r="G462" s="2" t="str">
        <f>IF(_xlfn.XLOOKUP(C462,customers!$A$1:$A$1001,customers!$C$1:$C$1001,,0)=0,"",_xlfn.XLOOKUP(C462,customers!$A$1:$A$1001,customers!$C$1:$C$1001,,0))</f>
        <v>abilbrookcs@booking.com</v>
      </c>
      <c r="H462" s="2" t="str">
        <f>_xlfn.XLOOKUP(C462,customers!$A$1:$A$1001,customers!$G$1:$G$1001,,0)</f>
        <v>Ireland</v>
      </c>
      <c r="I462" t="str">
        <f>INDEX(products!$A$1:$G$49,MATCH(orders!$D462,products!$A$1:$A$49,0),MATCH(orders!I$1,products!$A$1:$G$1,0))</f>
        <v>Rob</v>
      </c>
      <c r="J462" t="str">
        <f>INDEX(products!$A$1:$G$49,MATCH(orders!$D462,products!$A$1:$A$49,0),MATCH(orders!J$1,products!$A$1:$G$1,0))</f>
        <v>D</v>
      </c>
      <c r="K462" s="7">
        <f>INDEX(products!$A$1:$G$49,MATCH(orders!$D462,products!$A$1:$A$49,0),MATCH(orders!K$1,products!$A$1:$G$1,0))</f>
        <v>0.5</v>
      </c>
      <c r="L462" s="4">
        <f>INDEX(products!$A$1:$G$49,MATCH(orders!$D462,products!$A$1:$A$49,0),MATCH(orders!L$1,products!$A$1:$G$1,0))</f>
        <v>5.3699999999999992</v>
      </c>
      <c r="M462" s="4">
        <f t="shared" si="7"/>
        <v>16.11</v>
      </c>
      <c r="N462" t="str" cm="1">
        <f t="array" ref="N462">_xlfn.IFS(I462="Rob","Robusta",I462="Exc","Excelsa",I462="Ara","Arabica",I462="Lib","Liberica")</f>
        <v>Robusta</v>
      </c>
      <c r="O462" t="str" cm="1">
        <f t="array" ref="O462">_xlfn.IFS(J462="M","Medium",J462="L","Large",J462="D","Dark")</f>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_xlfn.XLOOKUP(C463,customers!$A$1:$A$1001,customers!$B$1:$B$1001,,0)</f>
        <v>Ransell McKall</v>
      </c>
      <c r="G463" s="2" t="str">
        <f>IF(_xlfn.XLOOKUP(C463,customers!$A$1:$A$1001,customers!$C$1:$C$1001,,0)=0,"",_xlfn.XLOOKUP(C463,customers!$A$1:$A$1001,customers!$C$1:$C$1001,,0))</f>
        <v>rmckallct@sakura.ne.jp</v>
      </c>
      <c r="H463" s="2" t="str">
        <f>_xlfn.XLOOKUP(C463,customers!$A$1:$A$1001,customers!$G$1:$G$1001,,0)</f>
        <v>United Kingdom</v>
      </c>
      <c r="I463" t="str">
        <f>INDEX(products!$A$1:$G$49,MATCH(orders!$D463,products!$A$1:$A$49,0),MATCH(orders!I$1,products!$A$1:$G$1,0))</f>
        <v>Rob</v>
      </c>
      <c r="J463" t="str">
        <f>INDEX(products!$A$1:$G$49,MATCH(orders!$D463,products!$A$1:$A$49,0),MATCH(orders!J$1,products!$A$1:$G$1,0))</f>
        <v>D</v>
      </c>
      <c r="K463" s="7">
        <f>INDEX(products!$A$1:$G$49,MATCH(orders!$D463,products!$A$1:$A$49,0),MATCH(orders!K$1,products!$A$1:$G$1,0))</f>
        <v>0.2</v>
      </c>
      <c r="L463" s="4">
        <f>INDEX(products!$A$1:$G$49,MATCH(orders!$D463,products!$A$1:$A$49,0),MATCH(orders!L$1,products!$A$1:$G$1,0))</f>
        <v>2.6849999999999996</v>
      </c>
      <c r="M463" s="4">
        <f t="shared" si="7"/>
        <v>10.739999999999998</v>
      </c>
      <c r="N463" t="str" cm="1">
        <f t="array" ref="N463">_xlfn.IFS(I463="Rob","Robusta",I463="Exc","Excelsa",I463="Ara","Arabica",I463="Lib","Liberica")</f>
        <v>Robusta</v>
      </c>
      <c r="O463" t="str" cm="1">
        <f t="array" ref="O463">_xlfn.IFS(J463="M","Medium",J463="L","Large",J463="D","Dark")</f>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_xlfn.XLOOKUP(C464,customers!$A$1:$A$1001,customers!$B$1:$B$1001,,0)</f>
        <v>Borg Daile</v>
      </c>
      <c r="G464" s="2" t="str">
        <f>IF(_xlfn.XLOOKUP(C464,customers!$A$1:$A$1001,customers!$C$1:$C$1001,,0)=0,"",_xlfn.XLOOKUP(C464,customers!$A$1:$A$1001,customers!$C$1:$C$1001,,0))</f>
        <v>bdailecu@vistaprint.com</v>
      </c>
      <c r="H464" s="2" t="str">
        <f>_xlfn.XLOOKUP(C464,customers!$A$1:$A$1001,customers!$G$1:$G$1001,,0)</f>
        <v>United States</v>
      </c>
      <c r="I464" t="str">
        <f>INDEX(products!$A$1:$G$49,MATCH(orders!$D464,products!$A$1:$A$49,0),MATCH(orders!I$1,products!$A$1:$G$1,0))</f>
        <v>Ara</v>
      </c>
      <c r="J464" t="str">
        <f>INDEX(products!$A$1:$G$49,MATCH(orders!$D464,products!$A$1:$A$49,0),MATCH(orders!J$1,products!$A$1:$G$1,0))</f>
        <v>D</v>
      </c>
      <c r="K464" s="7">
        <f>INDEX(products!$A$1:$G$49,MATCH(orders!$D464,products!$A$1:$A$49,0),MATCH(orders!K$1,products!$A$1:$G$1,0))</f>
        <v>1</v>
      </c>
      <c r="L464" s="4">
        <f>INDEX(products!$A$1:$G$49,MATCH(orders!$D464,products!$A$1:$A$49,0),MATCH(orders!L$1,products!$A$1:$G$1,0))</f>
        <v>9.9499999999999993</v>
      </c>
      <c r="M464" s="4">
        <f t="shared" si="7"/>
        <v>49.75</v>
      </c>
      <c r="N464" t="str" cm="1">
        <f t="array" ref="N464">_xlfn.IFS(I464="Rob","Robusta",I464="Exc","Excelsa",I464="Ara","Arabica",I464="Lib","Liberica")</f>
        <v>Arabica</v>
      </c>
      <c r="O464" t="str" cm="1">
        <f t="array" ref="O464">_xlfn.IFS(J464="M","Medium",J464="L","Large",J464="D","Dark")</f>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_xlfn.XLOOKUP(C465,customers!$A$1:$A$1001,customers!$B$1:$B$1001,,0)</f>
        <v>Adolphe Treherne</v>
      </c>
      <c r="G465" s="2" t="str">
        <f>IF(_xlfn.XLOOKUP(C465,customers!$A$1:$A$1001,customers!$C$1:$C$1001,,0)=0,"",_xlfn.XLOOKUP(C465,customers!$A$1:$A$1001,customers!$C$1:$C$1001,,0))</f>
        <v>atrehernecv@state.tx.us</v>
      </c>
      <c r="H465" s="2" t="str">
        <f>_xlfn.XLOOKUP(C465,customers!$A$1:$A$1001,customers!$G$1:$G$1001,,0)</f>
        <v>Ireland</v>
      </c>
      <c r="I465" t="str">
        <f>INDEX(products!$A$1:$G$49,MATCH(orders!$D465,products!$A$1:$A$49,0),MATCH(orders!I$1,products!$A$1:$G$1,0))</f>
        <v>Exc</v>
      </c>
      <c r="J465" t="str">
        <f>INDEX(products!$A$1:$G$49,MATCH(orders!$D465,products!$A$1:$A$49,0),MATCH(orders!J$1,products!$A$1:$G$1,0))</f>
        <v>M</v>
      </c>
      <c r="K465" s="7">
        <f>INDEX(products!$A$1:$G$49,MATCH(orders!$D465,products!$A$1:$A$49,0),MATCH(orders!K$1,products!$A$1:$G$1,0))</f>
        <v>1</v>
      </c>
      <c r="L465" s="4">
        <f>INDEX(products!$A$1:$G$49,MATCH(orders!$D465,products!$A$1:$A$49,0),MATCH(orders!L$1,products!$A$1:$G$1,0))</f>
        <v>13.75</v>
      </c>
      <c r="M465" s="4">
        <f t="shared" si="7"/>
        <v>27.5</v>
      </c>
      <c r="N465" t="str" cm="1">
        <f t="array" ref="N465">_xlfn.IFS(I465="Rob","Robusta",I465="Exc","Excelsa",I465="Ara","Arabica",I465="Lib","Liberica")</f>
        <v>Excelsa</v>
      </c>
      <c r="O465" t="str" cm="1">
        <f t="array" ref="O465">_xlfn.IFS(J465="M","Medium",J465="L","Large",J465="D","Dark")</f>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_xlfn.XLOOKUP(C466,customers!$A$1:$A$1001,customers!$B$1:$B$1001,,0)</f>
        <v>Annetta Brentnall</v>
      </c>
      <c r="G466" s="2" t="str">
        <f>IF(_xlfn.XLOOKUP(C466,customers!$A$1:$A$1001,customers!$C$1:$C$1001,,0)=0,"",_xlfn.XLOOKUP(C466,customers!$A$1:$A$1001,customers!$C$1:$C$1001,,0))</f>
        <v>abrentnallcw@biglobe.ne.jp</v>
      </c>
      <c r="H466" s="2" t="str">
        <f>_xlfn.XLOOKUP(C466,customers!$A$1:$A$1001,customers!$G$1:$G$1001,,0)</f>
        <v>United Kingdom</v>
      </c>
      <c r="I466" t="str">
        <f>INDEX(products!$A$1:$G$49,MATCH(orders!$D466,products!$A$1:$A$49,0),MATCH(orders!I$1,products!$A$1:$G$1,0))</f>
        <v>Lib</v>
      </c>
      <c r="J466" t="str">
        <f>INDEX(products!$A$1:$G$49,MATCH(orders!$D466,products!$A$1:$A$49,0),MATCH(orders!J$1,products!$A$1:$G$1,0))</f>
        <v>D</v>
      </c>
      <c r="K466" s="7">
        <f>INDEX(products!$A$1:$G$49,MATCH(orders!$D466,products!$A$1:$A$49,0),MATCH(orders!K$1,products!$A$1:$G$1,0))</f>
        <v>2.5</v>
      </c>
      <c r="L466" s="4">
        <f>INDEX(products!$A$1:$G$49,MATCH(orders!$D466,products!$A$1:$A$49,0),MATCH(orders!L$1,products!$A$1:$G$1,0))</f>
        <v>29.784999999999997</v>
      </c>
      <c r="M466" s="4">
        <f t="shared" si="7"/>
        <v>119.13999999999999</v>
      </c>
      <c r="N466" t="str" cm="1">
        <f t="array" ref="N466">_xlfn.IFS(I466="Rob","Robusta",I466="Exc","Excelsa",I466="Ara","Arabica",I466="Lib","Liberica")</f>
        <v>Liberica</v>
      </c>
      <c r="O466" t="str" cm="1">
        <f t="array" ref="O466">_xlfn.IFS(J466="M","Medium",J466="L","Large",J466="D","Dark")</f>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_xlfn.XLOOKUP(C467,customers!$A$1:$A$1001,customers!$B$1:$B$1001,,0)</f>
        <v>Dick Drinkall</v>
      </c>
      <c r="G467" s="2" t="str">
        <f>IF(_xlfn.XLOOKUP(C467,customers!$A$1:$A$1001,customers!$C$1:$C$1001,,0)=0,"",_xlfn.XLOOKUP(C467,customers!$A$1:$A$1001,customers!$C$1:$C$1001,,0))</f>
        <v>ddrinkallcx@psu.edu</v>
      </c>
      <c r="H467" s="2" t="str">
        <f>_xlfn.XLOOKUP(C467,customers!$A$1:$A$1001,customers!$G$1:$G$1001,,0)</f>
        <v>United States</v>
      </c>
      <c r="I467" t="str">
        <f>INDEX(products!$A$1:$G$49,MATCH(orders!$D467,products!$A$1:$A$49,0),MATCH(orders!I$1,products!$A$1:$G$1,0))</f>
        <v>Rob</v>
      </c>
      <c r="J467" t="str">
        <f>INDEX(products!$A$1:$G$49,MATCH(orders!$D467,products!$A$1:$A$49,0),MATCH(orders!J$1,products!$A$1:$G$1,0))</f>
        <v>D</v>
      </c>
      <c r="K467" s="7">
        <f>INDEX(products!$A$1:$G$49,MATCH(orders!$D467,products!$A$1:$A$49,0),MATCH(orders!K$1,products!$A$1:$G$1,0))</f>
        <v>2.5</v>
      </c>
      <c r="L467" s="4">
        <f>INDEX(products!$A$1:$G$49,MATCH(orders!$D467,products!$A$1:$A$49,0),MATCH(orders!L$1,products!$A$1:$G$1,0))</f>
        <v>20.584999999999997</v>
      </c>
      <c r="M467" s="4">
        <f t="shared" si="7"/>
        <v>20.584999999999997</v>
      </c>
      <c r="N467" t="str" cm="1">
        <f t="array" ref="N467">_xlfn.IFS(I467="Rob","Robusta",I467="Exc","Excelsa",I467="Ara","Arabica",I467="Lib","Liberica")</f>
        <v>Robusta</v>
      </c>
      <c r="O467" t="str" cm="1">
        <f t="array" ref="O467">_xlfn.IFS(J467="M","Medium",J467="L","Large",J467="D","Dark")</f>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_xlfn.XLOOKUP(C468,customers!$A$1:$A$1001,customers!$B$1:$B$1001,,0)</f>
        <v>Dagny Kornel</v>
      </c>
      <c r="G468" s="2" t="str">
        <f>IF(_xlfn.XLOOKUP(C468,customers!$A$1:$A$1001,customers!$C$1:$C$1001,,0)=0,"",_xlfn.XLOOKUP(C468,customers!$A$1:$A$1001,customers!$C$1:$C$1001,,0))</f>
        <v>dkornelcy@cyberchimps.com</v>
      </c>
      <c r="H468" s="2" t="str">
        <f>_xlfn.XLOOKUP(C468,customers!$A$1:$A$1001,customers!$G$1:$G$1001,,0)</f>
        <v>United States</v>
      </c>
      <c r="I468" t="str">
        <f>INDEX(products!$A$1:$G$49,MATCH(orders!$D468,products!$A$1:$A$49,0),MATCH(orders!I$1,products!$A$1:$G$1,0))</f>
        <v>Ara</v>
      </c>
      <c r="J468" t="str">
        <f>INDEX(products!$A$1:$G$49,MATCH(orders!$D468,products!$A$1:$A$49,0),MATCH(orders!J$1,products!$A$1:$G$1,0))</f>
        <v>D</v>
      </c>
      <c r="K468" s="7">
        <f>INDEX(products!$A$1:$G$49,MATCH(orders!$D468,products!$A$1:$A$49,0),MATCH(orders!K$1,products!$A$1:$G$1,0))</f>
        <v>0.2</v>
      </c>
      <c r="L468" s="4">
        <f>INDEX(products!$A$1:$G$49,MATCH(orders!$D468,products!$A$1:$A$49,0),MATCH(orders!L$1,products!$A$1:$G$1,0))</f>
        <v>2.9849999999999999</v>
      </c>
      <c r="M468" s="4">
        <f t="shared" si="7"/>
        <v>8.9550000000000001</v>
      </c>
      <c r="N468" t="str" cm="1">
        <f t="array" ref="N468">_xlfn.IFS(I468="Rob","Robusta",I468="Exc","Excelsa",I468="Ara","Arabica",I468="Lib","Liberica")</f>
        <v>Arabica</v>
      </c>
      <c r="O468" t="str" cm="1">
        <f t="array" ref="O468">_xlfn.IFS(J468="M","Medium",J468="L","Large",J468="D","Dark")</f>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_xlfn.XLOOKUP(C469,customers!$A$1:$A$1001,customers!$B$1:$B$1001,,0)</f>
        <v>Rhona Lequeux</v>
      </c>
      <c r="G469" s="2" t="str">
        <f>IF(_xlfn.XLOOKUP(C469,customers!$A$1:$A$1001,customers!$C$1:$C$1001,,0)=0,"",_xlfn.XLOOKUP(C469,customers!$A$1:$A$1001,customers!$C$1:$C$1001,,0))</f>
        <v>rlequeuxcz@newyorker.com</v>
      </c>
      <c r="H469" s="2" t="str">
        <f>_xlfn.XLOOKUP(C469,customers!$A$1:$A$1001,customers!$G$1:$G$1001,,0)</f>
        <v>United States</v>
      </c>
      <c r="I469" t="str">
        <f>INDEX(products!$A$1:$G$49,MATCH(orders!$D469,products!$A$1:$A$49,0),MATCH(orders!I$1,products!$A$1:$G$1,0))</f>
        <v>Ara</v>
      </c>
      <c r="J469" t="str">
        <f>INDEX(products!$A$1:$G$49,MATCH(orders!$D469,products!$A$1:$A$49,0),MATCH(orders!J$1,products!$A$1:$G$1,0))</f>
        <v>D</v>
      </c>
      <c r="K469" s="7">
        <f>INDEX(products!$A$1:$G$49,MATCH(orders!$D469,products!$A$1:$A$49,0),MATCH(orders!K$1,products!$A$1:$G$1,0))</f>
        <v>0.5</v>
      </c>
      <c r="L469" s="4">
        <f>INDEX(products!$A$1:$G$49,MATCH(orders!$D469,products!$A$1:$A$49,0),MATCH(orders!L$1,products!$A$1:$G$1,0))</f>
        <v>5.97</v>
      </c>
      <c r="M469" s="4">
        <f t="shared" si="7"/>
        <v>5.97</v>
      </c>
      <c r="N469" t="str" cm="1">
        <f t="array" ref="N469">_xlfn.IFS(I469="Rob","Robusta",I469="Exc","Excelsa",I469="Ara","Arabica",I469="Lib","Liberica")</f>
        <v>Arabica</v>
      </c>
      <c r="O469" t="str" cm="1">
        <f t="array" ref="O469">_xlfn.IFS(J469="M","Medium",J469="L","Large",J469="D","Dark")</f>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_xlfn.XLOOKUP(C470,customers!$A$1:$A$1001,customers!$B$1:$B$1001,,0)</f>
        <v>Julius Mccaull</v>
      </c>
      <c r="G470" s="2" t="str">
        <f>IF(_xlfn.XLOOKUP(C470,customers!$A$1:$A$1001,customers!$C$1:$C$1001,,0)=0,"",_xlfn.XLOOKUP(C470,customers!$A$1:$A$1001,customers!$C$1:$C$1001,,0))</f>
        <v>jmccaulld0@parallels.com</v>
      </c>
      <c r="H470" s="2" t="str">
        <f>_xlfn.XLOOKUP(C470,customers!$A$1:$A$1001,customers!$G$1:$G$1001,,0)</f>
        <v>United States</v>
      </c>
      <c r="I470" t="str">
        <f>INDEX(products!$A$1:$G$49,MATCH(orders!$D470,products!$A$1:$A$49,0),MATCH(orders!I$1,products!$A$1:$G$1,0))</f>
        <v>Exc</v>
      </c>
      <c r="J470" t="str">
        <f>INDEX(products!$A$1:$G$49,MATCH(orders!$D470,products!$A$1:$A$49,0),MATCH(orders!J$1,products!$A$1:$G$1,0))</f>
        <v>M</v>
      </c>
      <c r="K470" s="7">
        <f>INDEX(products!$A$1:$G$49,MATCH(orders!$D470,products!$A$1:$A$49,0),MATCH(orders!K$1,products!$A$1:$G$1,0))</f>
        <v>1</v>
      </c>
      <c r="L470" s="4">
        <f>INDEX(products!$A$1:$G$49,MATCH(orders!$D470,products!$A$1:$A$49,0),MATCH(orders!L$1,products!$A$1:$G$1,0))</f>
        <v>13.75</v>
      </c>
      <c r="M470" s="4">
        <f t="shared" si="7"/>
        <v>41.25</v>
      </c>
      <c r="N470" t="str" cm="1">
        <f t="array" ref="N470">_xlfn.IFS(I470="Rob","Robusta",I470="Exc","Excelsa",I470="Ara","Arabica",I470="Lib","Liberica")</f>
        <v>Excelsa</v>
      </c>
      <c r="O470" t="str" cm="1">
        <f t="array" ref="O470">_xlfn.IFS(J470="M","Medium",J470="L","Large",J470="D","Dark")</f>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_xlfn.XLOOKUP(C471,customers!$A$1:$A$1001,customers!$B$1:$B$1001,,0)</f>
        <v>Ailey Brash</v>
      </c>
      <c r="G471" s="2" t="str">
        <f>IF(_xlfn.XLOOKUP(C471,customers!$A$1:$A$1001,customers!$C$1:$C$1001,,0)=0,"",_xlfn.XLOOKUP(C471,customers!$A$1:$A$1001,customers!$C$1:$C$1001,,0))</f>
        <v>abrashda@plala.or.jp</v>
      </c>
      <c r="H471" s="2" t="str">
        <f>_xlfn.XLOOKUP(C471,customers!$A$1:$A$1001,customers!$G$1:$G$1001,,0)</f>
        <v>United States</v>
      </c>
      <c r="I471" t="str">
        <f>INDEX(products!$A$1:$G$49,MATCH(orders!$D471,products!$A$1:$A$49,0),MATCH(orders!I$1,products!$A$1:$G$1,0))</f>
        <v>Exc</v>
      </c>
      <c r="J471" t="str">
        <f>INDEX(products!$A$1:$G$49,MATCH(orders!$D471,products!$A$1:$A$49,0),MATCH(orders!J$1,products!$A$1:$G$1,0))</f>
        <v>L</v>
      </c>
      <c r="K471" s="7">
        <f>INDEX(products!$A$1:$G$49,MATCH(orders!$D471,products!$A$1:$A$49,0),MATCH(orders!K$1,products!$A$1:$G$1,0))</f>
        <v>0.2</v>
      </c>
      <c r="L471" s="4">
        <f>INDEX(products!$A$1:$G$49,MATCH(orders!$D471,products!$A$1:$A$49,0),MATCH(orders!L$1,products!$A$1:$G$1,0))</f>
        <v>4.4550000000000001</v>
      </c>
      <c r="M471" s="4">
        <f t="shared" si="7"/>
        <v>22.274999999999999</v>
      </c>
      <c r="N471" t="str" cm="1">
        <f t="array" ref="N471">_xlfn.IFS(I471="Rob","Robusta",I471="Exc","Excelsa",I471="Ara","Arabica",I471="Lib","Liberica")</f>
        <v>Excelsa</v>
      </c>
      <c r="O471" t="str" cm="1">
        <f t="array" ref="O471">_xlfn.IFS(J471="M","Medium",J471="L","Large",J471="D","Dark")</f>
        <v>Large</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_xlfn.XLOOKUP(C472,customers!$A$1:$A$1001,customers!$B$1:$B$1001,,0)</f>
        <v>Alberto Hutchinson</v>
      </c>
      <c r="G472" s="2" t="str">
        <f>IF(_xlfn.XLOOKUP(C472,customers!$A$1:$A$1001,customers!$C$1:$C$1001,,0)=0,"",_xlfn.XLOOKUP(C472,customers!$A$1:$A$1001,customers!$C$1:$C$1001,,0))</f>
        <v>ahutchinsond2@imgur.com</v>
      </c>
      <c r="H472" s="2" t="str">
        <f>_xlfn.XLOOKUP(C472,customers!$A$1:$A$1001,customers!$G$1:$G$1001,,0)</f>
        <v>United States</v>
      </c>
      <c r="I472" t="str">
        <f>INDEX(products!$A$1:$G$49,MATCH(orders!$D472,products!$A$1:$A$49,0),MATCH(orders!I$1,products!$A$1:$G$1,0))</f>
        <v>Ara</v>
      </c>
      <c r="J472" t="str">
        <f>INDEX(products!$A$1:$G$49,MATCH(orders!$D472,products!$A$1:$A$49,0),MATCH(orders!J$1,products!$A$1:$G$1,0))</f>
        <v>M</v>
      </c>
      <c r="K472" s="7">
        <f>INDEX(products!$A$1:$G$49,MATCH(orders!$D472,products!$A$1:$A$49,0),MATCH(orders!K$1,products!$A$1:$G$1,0))</f>
        <v>0.5</v>
      </c>
      <c r="L472" s="4">
        <f>INDEX(products!$A$1:$G$49,MATCH(orders!$D472,products!$A$1:$A$49,0),MATCH(orders!L$1,products!$A$1:$G$1,0))</f>
        <v>6.75</v>
      </c>
      <c r="M472" s="4">
        <f t="shared" si="7"/>
        <v>6.75</v>
      </c>
      <c r="N472" t="str" cm="1">
        <f t="array" ref="N472">_xlfn.IFS(I472="Rob","Robusta",I472="Exc","Excelsa",I472="Ara","Arabica",I472="Lib","Liberica")</f>
        <v>Arabica</v>
      </c>
      <c r="O472" t="str" cm="1">
        <f t="array" ref="O472">_xlfn.IFS(J472="M","Medium",J472="L","Large",J472="D","Dark")</f>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_xlfn.XLOOKUP(C473,customers!$A$1:$A$1001,customers!$B$1:$B$1001,,0)</f>
        <v>Lamond Gheeraert</v>
      </c>
      <c r="G473" s="2" t="str">
        <f>IF(_xlfn.XLOOKUP(C473,customers!$A$1:$A$1001,customers!$C$1:$C$1001,,0)=0,"",_xlfn.XLOOKUP(C473,customers!$A$1:$A$1001,customers!$C$1:$C$1001,,0))</f>
        <v/>
      </c>
      <c r="H473" s="2" t="str">
        <f>_xlfn.XLOOKUP(C473,customers!$A$1:$A$1001,customers!$G$1:$G$1001,,0)</f>
        <v>United States</v>
      </c>
      <c r="I473" t="str">
        <f>INDEX(products!$A$1:$G$49,MATCH(orders!$D473,products!$A$1:$A$49,0),MATCH(orders!I$1,products!$A$1:$G$1,0))</f>
        <v>Lib</v>
      </c>
      <c r="J473" t="str">
        <f>INDEX(products!$A$1:$G$49,MATCH(orders!$D473,products!$A$1:$A$49,0),MATCH(orders!J$1,products!$A$1:$G$1,0))</f>
        <v>M</v>
      </c>
      <c r="K473" s="7">
        <f>INDEX(products!$A$1:$G$49,MATCH(orders!$D473,products!$A$1:$A$49,0),MATCH(orders!K$1,products!$A$1:$G$1,0))</f>
        <v>2.5</v>
      </c>
      <c r="L473" s="4">
        <f>INDEX(products!$A$1:$G$49,MATCH(orders!$D473,products!$A$1:$A$49,0),MATCH(orders!L$1,products!$A$1:$G$1,0))</f>
        <v>33.464999999999996</v>
      </c>
      <c r="M473" s="4">
        <f t="shared" si="7"/>
        <v>133.85999999999999</v>
      </c>
      <c r="N473" t="str" cm="1">
        <f t="array" ref="N473">_xlfn.IFS(I473="Rob","Robusta",I473="Exc","Excelsa",I473="Ara","Arabica",I473="Lib","Liberica")</f>
        <v>Liberica</v>
      </c>
      <c r="O473" t="str" cm="1">
        <f t="array" ref="O473">_xlfn.IFS(J473="M","Medium",J473="L","Large",J473="D","Dark")</f>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_xlfn.XLOOKUP(C474,customers!$A$1:$A$1001,customers!$B$1:$B$1001,,0)</f>
        <v>Roxine Drivers</v>
      </c>
      <c r="G474" s="2" t="str">
        <f>IF(_xlfn.XLOOKUP(C474,customers!$A$1:$A$1001,customers!$C$1:$C$1001,,0)=0,"",_xlfn.XLOOKUP(C474,customers!$A$1:$A$1001,customers!$C$1:$C$1001,,0))</f>
        <v>rdriversd4@hexun.com</v>
      </c>
      <c r="H474" s="2" t="str">
        <f>_xlfn.XLOOKUP(C474,customers!$A$1:$A$1001,customers!$G$1:$G$1001,,0)</f>
        <v>United States</v>
      </c>
      <c r="I474" t="str">
        <f>INDEX(products!$A$1:$G$49,MATCH(orders!$D474,products!$A$1:$A$49,0),MATCH(orders!I$1,products!$A$1:$G$1,0))</f>
        <v>Ara</v>
      </c>
      <c r="J474" t="str">
        <f>INDEX(products!$A$1:$G$49,MATCH(orders!$D474,products!$A$1:$A$49,0),MATCH(orders!J$1,products!$A$1:$G$1,0))</f>
        <v>D</v>
      </c>
      <c r="K474" s="7">
        <f>INDEX(products!$A$1:$G$49,MATCH(orders!$D474,products!$A$1:$A$49,0),MATCH(orders!K$1,products!$A$1:$G$1,0))</f>
        <v>0.2</v>
      </c>
      <c r="L474" s="4">
        <f>INDEX(products!$A$1:$G$49,MATCH(orders!$D474,products!$A$1:$A$49,0),MATCH(orders!L$1,products!$A$1:$G$1,0))</f>
        <v>2.9849999999999999</v>
      </c>
      <c r="M474" s="4">
        <f t="shared" si="7"/>
        <v>5.97</v>
      </c>
      <c r="N474" t="str" cm="1">
        <f t="array" ref="N474">_xlfn.IFS(I474="Rob","Robusta",I474="Exc","Excelsa",I474="Ara","Arabica",I474="Lib","Liberica")</f>
        <v>Arabica</v>
      </c>
      <c r="O474" t="str" cm="1">
        <f t="array" ref="O474">_xlfn.IFS(J474="M","Medium",J474="L","Large",J474="D","Dark")</f>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_xlfn.XLOOKUP(C475,customers!$A$1:$A$1001,customers!$B$1:$B$1001,,0)</f>
        <v>Heloise Zeal</v>
      </c>
      <c r="G475" s="2" t="str">
        <f>IF(_xlfn.XLOOKUP(C475,customers!$A$1:$A$1001,customers!$C$1:$C$1001,,0)=0,"",_xlfn.XLOOKUP(C475,customers!$A$1:$A$1001,customers!$C$1:$C$1001,,0))</f>
        <v>hzeald5@google.de</v>
      </c>
      <c r="H475" s="2" t="str">
        <f>_xlfn.XLOOKUP(C475,customers!$A$1:$A$1001,customers!$G$1:$G$1001,,0)</f>
        <v>United States</v>
      </c>
      <c r="I475" t="str">
        <f>INDEX(products!$A$1:$G$49,MATCH(orders!$D475,products!$A$1:$A$49,0),MATCH(orders!I$1,products!$A$1:$G$1,0))</f>
        <v>Ara</v>
      </c>
      <c r="J475" t="str">
        <f>INDEX(products!$A$1:$G$49,MATCH(orders!$D475,products!$A$1:$A$49,0),MATCH(orders!J$1,products!$A$1:$G$1,0))</f>
        <v>L</v>
      </c>
      <c r="K475" s="7">
        <f>INDEX(products!$A$1:$G$49,MATCH(orders!$D475,products!$A$1:$A$49,0),MATCH(orders!K$1,products!$A$1:$G$1,0))</f>
        <v>1</v>
      </c>
      <c r="L475" s="4">
        <f>INDEX(products!$A$1:$G$49,MATCH(orders!$D475,products!$A$1:$A$49,0),MATCH(orders!L$1,products!$A$1:$G$1,0))</f>
        <v>12.95</v>
      </c>
      <c r="M475" s="4">
        <f t="shared" si="7"/>
        <v>25.9</v>
      </c>
      <c r="N475" t="str" cm="1">
        <f t="array" ref="N475">_xlfn.IFS(I475="Rob","Robusta",I475="Exc","Excelsa",I475="Ara","Arabica",I475="Lib","Liberica")</f>
        <v>Arabica</v>
      </c>
      <c r="O475" t="str" cm="1">
        <f t="array" ref="O475">_xlfn.IFS(J475="M","Medium",J475="L","Large",J475="D","Dark")</f>
        <v>Large</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_xlfn.XLOOKUP(C476,customers!$A$1:$A$1001,customers!$B$1:$B$1001,,0)</f>
        <v>Granger Smallcombe</v>
      </c>
      <c r="G476" s="2" t="str">
        <f>IF(_xlfn.XLOOKUP(C476,customers!$A$1:$A$1001,customers!$C$1:$C$1001,,0)=0,"",_xlfn.XLOOKUP(C476,customers!$A$1:$A$1001,customers!$C$1:$C$1001,,0))</f>
        <v>gsmallcombed6@ucla.edu</v>
      </c>
      <c r="H476" s="2" t="str">
        <f>_xlfn.XLOOKUP(C476,customers!$A$1:$A$1001,customers!$G$1:$G$1001,,0)</f>
        <v>Ireland</v>
      </c>
      <c r="I476" t="str">
        <f>INDEX(products!$A$1:$G$49,MATCH(orders!$D476,products!$A$1:$A$49,0),MATCH(orders!I$1,products!$A$1:$G$1,0))</f>
        <v>Exc</v>
      </c>
      <c r="J476" t="str">
        <f>INDEX(products!$A$1:$G$49,MATCH(orders!$D476,products!$A$1:$A$49,0),MATCH(orders!J$1,products!$A$1:$G$1,0))</f>
        <v>M</v>
      </c>
      <c r="K476" s="7">
        <f>INDEX(products!$A$1:$G$49,MATCH(orders!$D476,products!$A$1:$A$49,0),MATCH(orders!K$1,products!$A$1:$G$1,0))</f>
        <v>2.5</v>
      </c>
      <c r="L476" s="4">
        <f>INDEX(products!$A$1:$G$49,MATCH(orders!$D476,products!$A$1:$A$49,0),MATCH(orders!L$1,products!$A$1:$G$1,0))</f>
        <v>31.624999999999996</v>
      </c>
      <c r="M476" s="4">
        <f t="shared" si="7"/>
        <v>31.624999999999996</v>
      </c>
      <c r="N476" t="str" cm="1">
        <f t="array" ref="N476">_xlfn.IFS(I476="Rob","Robusta",I476="Exc","Excelsa",I476="Ara","Arabica",I476="Lib","Liberica")</f>
        <v>Excelsa</v>
      </c>
      <c r="O476" t="str" cm="1">
        <f t="array" ref="O476">_xlfn.IFS(J476="M","Medium",J476="L","Large",J476="D","Dark")</f>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_xlfn.XLOOKUP(C477,customers!$A$1:$A$1001,customers!$B$1:$B$1001,,0)</f>
        <v>Daryn Dibley</v>
      </c>
      <c r="G477" s="2" t="str">
        <f>IF(_xlfn.XLOOKUP(C477,customers!$A$1:$A$1001,customers!$C$1:$C$1001,,0)=0,"",_xlfn.XLOOKUP(C477,customers!$A$1:$A$1001,customers!$C$1:$C$1001,,0))</f>
        <v>ddibleyd7@feedburner.com</v>
      </c>
      <c r="H477" s="2" t="str">
        <f>_xlfn.XLOOKUP(C477,customers!$A$1:$A$1001,customers!$G$1:$G$1001,,0)</f>
        <v>United States</v>
      </c>
      <c r="I477" t="str">
        <f>INDEX(products!$A$1:$G$49,MATCH(orders!$D477,products!$A$1:$A$49,0),MATCH(orders!I$1,products!$A$1:$G$1,0))</f>
        <v>Lib</v>
      </c>
      <c r="J477" t="str">
        <f>INDEX(products!$A$1:$G$49,MATCH(orders!$D477,products!$A$1:$A$49,0),MATCH(orders!J$1,products!$A$1:$G$1,0))</f>
        <v>M</v>
      </c>
      <c r="K477" s="7">
        <f>INDEX(products!$A$1:$G$49,MATCH(orders!$D477,products!$A$1:$A$49,0),MATCH(orders!K$1,products!$A$1:$G$1,0))</f>
        <v>0.2</v>
      </c>
      <c r="L477" s="4">
        <f>INDEX(products!$A$1:$G$49,MATCH(orders!$D477,products!$A$1:$A$49,0),MATCH(orders!L$1,products!$A$1:$G$1,0))</f>
        <v>4.3650000000000002</v>
      </c>
      <c r="M477" s="4">
        <f t="shared" si="7"/>
        <v>8.73</v>
      </c>
      <c r="N477" t="str" cm="1">
        <f t="array" ref="N477">_xlfn.IFS(I477="Rob","Robusta",I477="Exc","Excelsa",I477="Ara","Arabica",I477="Lib","Liberica")</f>
        <v>Liberica</v>
      </c>
      <c r="O477" t="str" cm="1">
        <f t="array" ref="O477">_xlfn.IFS(J477="M","Medium",J477="L","Large",J477="D","Dark")</f>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_xlfn.XLOOKUP(C478,customers!$A$1:$A$1001,customers!$B$1:$B$1001,,0)</f>
        <v>Gardy Dimitriou</v>
      </c>
      <c r="G478" s="2" t="str">
        <f>IF(_xlfn.XLOOKUP(C478,customers!$A$1:$A$1001,customers!$C$1:$C$1001,,0)=0,"",_xlfn.XLOOKUP(C478,customers!$A$1:$A$1001,customers!$C$1:$C$1001,,0))</f>
        <v>gdimitrioud8@chronoengine.com</v>
      </c>
      <c r="H478" s="2" t="str">
        <f>_xlfn.XLOOKUP(C478,customers!$A$1:$A$1001,customers!$G$1:$G$1001,,0)</f>
        <v>United States</v>
      </c>
      <c r="I478" t="str">
        <f>INDEX(products!$A$1:$G$49,MATCH(orders!$D478,products!$A$1:$A$49,0),MATCH(orders!I$1,products!$A$1:$G$1,0))</f>
        <v>Exc</v>
      </c>
      <c r="J478" t="str">
        <f>INDEX(products!$A$1:$G$49,MATCH(orders!$D478,products!$A$1:$A$49,0),MATCH(orders!J$1,products!$A$1:$G$1,0))</f>
        <v>L</v>
      </c>
      <c r="K478" s="7">
        <f>INDEX(products!$A$1:$G$49,MATCH(orders!$D478,products!$A$1:$A$49,0),MATCH(orders!K$1,products!$A$1:$G$1,0))</f>
        <v>0.2</v>
      </c>
      <c r="L478" s="4">
        <f>INDEX(products!$A$1:$G$49,MATCH(orders!$D478,products!$A$1:$A$49,0),MATCH(orders!L$1,products!$A$1:$G$1,0))</f>
        <v>4.4550000000000001</v>
      </c>
      <c r="M478" s="4">
        <f t="shared" si="7"/>
        <v>26.73</v>
      </c>
      <c r="N478" t="str" cm="1">
        <f t="array" ref="N478">_xlfn.IFS(I478="Rob","Robusta",I478="Exc","Excelsa",I478="Ara","Arabica",I478="Lib","Liberica")</f>
        <v>Excelsa</v>
      </c>
      <c r="O478" t="str" cm="1">
        <f t="array" ref="O478">_xlfn.IFS(J478="M","Medium",J478="L","Large",J478="D","Dark")</f>
        <v>Large</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_xlfn.XLOOKUP(C479,customers!$A$1:$A$1001,customers!$B$1:$B$1001,,0)</f>
        <v>Fanny Flanagan</v>
      </c>
      <c r="G479" s="2" t="str">
        <f>IF(_xlfn.XLOOKUP(C479,customers!$A$1:$A$1001,customers!$C$1:$C$1001,,0)=0,"",_xlfn.XLOOKUP(C479,customers!$A$1:$A$1001,customers!$C$1:$C$1001,,0))</f>
        <v>fflanagand9@woothemes.com</v>
      </c>
      <c r="H479" s="2" t="str">
        <f>_xlfn.XLOOKUP(C479,customers!$A$1:$A$1001,customers!$G$1:$G$1001,,0)</f>
        <v>United States</v>
      </c>
      <c r="I479" t="str">
        <f>INDEX(products!$A$1:$G$49,MATCH(orders!$D479,products!$A$1:$A$49,0),MATCH(orders!I$1,products!$A$1:$G$1,0))</f>
        <v>Lib</v>
      </c>
      <c r="J479" t="str">
        <f>INDEX(products!$A$1:$G$49,MATCH(orders!$D479,products!$A$1:$A$49,0),MATCH(orders!J$1,products!$A$1:$G$1,0))</f>
        <v>M</v>
      </c>
      <c r="K479" s="7">
        <f>INDEX(products!$A$1:$G$49,MATCH(orders!$D479,products!$A$1:$A$49,0),MATCH(orders!K$1,products!$A$1:$G$1,0))</f>
        <v>0.2</v>
      </c>
      <c r="L479" s="4">
        <f>INDEX(products!$A$1:$G$49,MATCH(orders!$D479,products!$A$1:$A$49,0),MATCH(orders!L$1,products!$A$1:$G$1,0))</f>
        <v>4.3650000000000002</v>
      </c>
      <c r="M479" s="4">
        <f t="shared" si="7"/>
        <v>26.19</v>
      </c>
      <c r="N479" t="str" cm="1">
        <f t="array" ref="N479">_xlfn.IFS(I479="Rob","Robusta",I479="Exc","Excelsa",I479="Ara","Arabica",I479="Lib","Liberica")</f>
        <v>Liberica</v>
      </c>
      <c r="O479" t="str" cm="1">
        <f t="array" ref="O479">_xlfn.IFS(J479="M","Medium",J479="L","Large",J479="D","Dark")</f>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_xlfn.XLOOKUP(C480,customers!$A$1:$A$1001,customers!$B$1:$B$1001,,0)</f>
        <v>Ailey Brash</v>
      </c>
      <c r="G480" s="2" t="str">
        <f>IF(_xlfn.XLOOKUP(C480,customers!$A$1:$A$1001,customers!$C$1:$C$1001,,0)=0,"",_xlfn.XLOOKUP(C480,customers!$A$1:$A$1001,customers!$C$1:$C$1001,,0))</f>
        <v>abrashda@plala.or.jp</v>
      </c>
      <c r="H480" s="2" t="str">
        <f>_xlfn.XLOOKUP(C480,customers!$A$1:$A$1001,customers!$G$1:$G$1001,,0)</f>
        <v>United States</v>
      </c>
      <c r="I480" t="str">
        <f>INDEX(products!$A$1:$G$49,MATCH(orders!$D480,products!$A$1:$A$49,0),MATCH(orders!I$1,products!$A$1:$G$1,0))</f>
        <v>Rob</v>
      </c>
      <c r="J480" t="str">
        <f>INDEX(products!$A$1:$G$49,MATCH(orders!$D480,products!$A$1:$A$49,0),MATCH(orders!J$1,products!$A$1:$G$1,0))</f>
        <v>D</v>
      </c>
      <c r="K480" s="7">
        <f>INDEX(products!$A$1:$G$49,MATCH(orders!$D480,products!$A$1:$A$49,0),MATCH(orders!K$1,products!$A$1:$G$1,0))</f>
        <v>1</v>
      </c>
      <c r="L480" s="4">
        <f>INDEX(products!$A$1:$G$49,MATCH(orders!$D480,products!$A$1:$A$49,0),MATCH(orders!L$1,products!$A$1:$G$1,0))</f>
        <v>8.9499999999999993</v>
      </c>
      <c r="M480" s="4">
        <f t="shared" si="7"/>
        <v>53.699999999999996</v>
      </c>
      <c r="N480" t="str" cm="1">
        <f t="array" ref="N480">_xlfn.IFS(I480="Rob","Robusta",I480="Exc","Excelsa",I480="Ara","Arabica",I480="Lib","Liberica")</f>
        <v>Robusta</v>
      </c>
      <c r="O480" t="str" cm="1">
        <f t="array" ref="O480">_xlfn.IFS(J480="M","Medium",J480="L","Large",J480="D","Dark")</f>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_xlfn.XLOOKUP(C481,customers!$A$1:$A$1001,customers!$B$1:$B$1001,,0)</f>
        <v>Ailey Brash</v>
      </c>
      <c r="G481" s="2" t="str">
        <f>IF(_xlfn.XLOOKUP(C481,customers!$A$1:$A$1001,customers!$C$1:$C$1001,,0)=0,"",_xlfn.XLOOKUP(C481,customers!$A$1:$A$1001,customers!$C$1:$C$1001,,0))</f>
        <v>abrashda@plala.or.jp</v>
      </c>
      <c r="H481" s="2" t="str">
        <f>_xlfn.XLOOKUP(C481,customers!$A$1:$A$1001,customers!$G$1:$G$1001,,0)</f>
        <v>United States</v>
      </c>
      <c r="I481" t="str">
        <f>INDEX(products!$A$1:$G$49,MATCH(orders!$D481,products!$A$1:$A$49,0),MATCH(orders!I$1,products!$A$1:$G$1,0))</f>
        <v>Exc</v>
      </c>
      <c r="J481" t="str">
        <f>INDEX(products!$A$1:$G$49,MATCH(orders!$D481,products!$A$1:$A$49,0),MATCH(orders!J$1,products!$A$1:$G$1,0))</f>
        <v>M</v>
      </c>
      <c r="K481" s="7">
        <f>INDEX(products!$A$1:$G$49,MATCH(orders!$D481,products!$A$1:$A$49,0),MATCH(orders!K$1,products!$A$1:$G$1,0))</f>
        <v>2.5</v>
      </c>
      <c r="L481" s="4">
        <f>INDEX(products!$A$1:$G$49,MATCH(orders!$D481,products!$A$1:$A$49,0),MATCH(orders!L$1,products!$A$1:$G$1,0))</f>
        <v>31.624999999999996</v>
      </c>
      <c r="M481" s="4">
        <f t="shared" si="7"/>
        <v>126.49999999999999</v>
      </c>
      <c r="N481" t="str" cm="1">
        <f t="array" ref="N481">_xlfn.IFS(I481="Rob","Robusta",I481="Exc","Excelsa",I481="Ara","Arabica",I481="Lib","Liberica")</f>
        <v>Excelsa</v>
      </c>
      <c r="O481" t="str" cm="1">
        <f t="array" ref="O481">_xlfn.IFS(J481="M","Medium",J481="L","Large",J481="D","Dark")</f>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_xlfn.XLOOKUP(C482,customers!$A$1:$A$1001,customers!$B$1:$B$1001,,0)</f>
        <v>Ailey Brash</v>
      </c>
      <c r="G482" s="2" t="str">
        <f>IF(_xlfn.XLOOKUP(C482,customers!$A$1:$A$1001,customers!$C$1:$C$1001,,0)=0,"",_xlfn.XLOOKUP(C482,customers!$A$1:$A$1001,customers!$C$1:$C$1001,,0))</f>
        <v>abrashda@plala.or.jp</v>
      </c>
      <c r="H482" s="2" t="str">
        <f>_xlfn.XLOOKUP(C482,customers!$A$1:$A$1001,customers!$G$1:$G$1001,,0)</f>
        <v>United States</v>
      </c>
      <c r="I482" t="str">
        <f>INDEX(products!$A$1:$G$49,MATCH(orders!$D482,products!$A$1:$A$49,0),MATCH(orders!I$1,products!$A$1:$G$1,0))</f>
        <v>Exc</v>
      </c>
      <c r="J482" t="str">
        <f>INDEX(products!$A$1:$G$49,MATCH(orders!$D482,products!$A$1:$A$49,0),MATCH(orders!J$1,products!$A$1:$G$1,0))</f>
        <v>M</v>
      </c>
      <c r="K482" s="7">
        <f>INDEX(products!$A$1:$G$49,MATCH(orders!$D482,products!$A$1:$A$49,0),MATCH(orders!K$1,products!$A$1:$G$1,0))</f>
        <v>0.2</v>
      </c>
      <c r="L482" s="4">
        <f>INDEX(products!$A$1:$G$49,MATCH(orders!$D482,products!$A$1:$A$49,0),MATCH(orders!L$1,products!$A$1:$G$1,0))</f>
        <v>4.125</v>
      </c>
      <c r="M482" s="4">
        <f t="shared" si="7"/>
        <v>4.125</v>
      </c>
      <c r="N482" t="str" cm="1">
        <f t="array" ref="N482">_xlfn.IFS(I482="Rob","Robusta",I482="Exc","Excelsa",I482="Ara","Arabica",I482="Lib","Liberica")</f>
        <v>Excelsa</v>
      </c>
      <c r="O482" t="str" cm="1">
        <f t="array" ref="O482">_xlfn.IFS(J482="M","Medium",J482="L","Large",J482="D","Dark")</f>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_xlfn.XLOOKUP(C483,customers!$A$1:$A$1001,customers!$B$1:$B$1001,,0)</f>
        <v>Nanny Izhakov</v>
      </c>
      <c r="G483" s="2" t="str">
        <f>IF(_xlfn.XLOOKUP(C483,customers!$A$1:$A$1001,customers!$C$1:$C$1001,,0)=0,"",_xlfn.XLOOKUP(C483,customers!$A$1:$A$1001,customers!$C$1:$C$1001,,0))</f>
        <v>nizhakovdd@aol.com</v>
      </c>
      <c r="H483" s="2" t="str">
        <f>_xlfn.XLOOKUP(C483,customers!$A$1:$A$1001,customers!$G$1:$G$1001,,0)</f>
        <v>United Kingdom</v>
      </c>
      <c r="I483" t="str">
        <f>INDEX(products!$A$1:$G$49,MATCH(orders!$D483,products!$A$1:$A$49,0),MATCH(orders!I$1,products!$A$1:$G$1,0))</f>
        <v>Rob</v>
      </c>
      <c r="J483" t="str">
        <f>INDEX(products!$A$1:$G$49,MATCH(orders!$D483,products!$A$1:$A$49,0),MATCH(orders!J$1,products!$A$1:$G$1,0))</f>
        <v>L</v>
      </c>
      <c r="K483" s="7">
        <f>INDEX(products!$A$1:$G$49,MATCH(orders!$D483,products!$A$1:$A$49,0),MATCH(orders!K$1,products!$A$1:$G$1,0))</f>
        <v>1</v>
      </c>
      <c r="L483" s="4">
        <f>INDEX(products!$A$1:$G$49,MATCH(orders!$D483,products!$A$1:$A$49,0),MATCH(orders!L$1,products!$A$1:$G$1,0))</f>
        <v>11.95</v>
      </c>
      <c r="M483" s="4">
        <f t="shared" si="7"/>
        <v>23.9</v>
      </c>
      <c r="N483" t="str" cm="1">
        <f t="array" ref="N483">_xlfn.IFS(I483="Rob","Robusta",I483="Exc","Excelsa",I483="Ara","Arabica",I483="Lib","Liberica")</f>
        <v>Robusta</v>
      </c>
      <c r="O483" t="str" cm="1">
        <f t="array" ref="O483">_xlfn.IFS(J483="M","Medium",J483="L","Large",J483="D","Dark")</f>
        <v>Large</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_xlfn.XLOOKUP(C484,customers!$A$1:$A$1001,customers!$B$1:$B$1001,,0)</f>
        <v>Stanly Keets</v>
      </c>
      <c r="G484" s="2" t="str">
        <f>IF(_xlfn.XLOOKUP(C484,customers!$A$1:$A$1001,customers!$C$1:$C$1001,,0)=0,"",_xlfn.XLOOKUP(C484,customers!$A$1:$A$1001,customers!$C$1:$C$1001,,0))</f>
        <v>skeetsde@answers.com</v>
      </c>
      <c r="H484" s="2" t="str">
        <f>_xlfn.XLOOKUP(C484,customers!$A$1:$A$1001,customers!$G$1:$G$1001,,0)</f>
        <v>United States</v>
      </c>
      <c r="I484" t="str">
        <f>INDEX(products!$A$1:$G$49,MATCH(orders!$D484,products!$A$1:$A$49,0),MATCH(orders!I$1,products!$A$1:$G$1,0))</f>
        <v>Exc</v>
      </c>
      <c r="J484" t="str">
        <f>INDEX(products!$A$1:$G$49,MATCH(orders!$D484,products!$A$1:$A$49,0),MATCH(orders!J$1,products!$A$1:$G$1,0))</f>
        <v>D</v>
      </c>
      <c r="K484" s="7">
        <f>INDEX(products!$A$1:$G$49,MATCH(orders!$D484,products!$A$1:$A$49,0),MATCH(orders!K$1,products!$A$1:$G$1,0))</f>
        <v>2.5</v>
      </c>
      <c r="L484" s="4">
        <f>INDEX(products!$A$1:$G$49,MATCH(orders!$D484,products!$A$1:$A$49,0),MATCH(orders!L$1,products!$A$1:$G$1,0))</f>
        <v>27.945</v>
      </c>
      <c r="M484" s="4">
        <f t="shared" si="7"/>
        <v>139.72499999999999</v>
      </c>
      <c r="N484" t="str" cm="1">
        <f t="array" ref="N484">_xlfn.IFS(I484="Rob","Robusta",I484="Exc","Excelsa",I484="Ara","Arabica",I484="Lib","Liberica")</f>
        <v>Excelsa</v>
      </c>
      <c r="O484" t="str" cm="1">
        <f t="array" ref="O484">_xlfn.IFS(J484="M","Medium",J484="L","Large",J484="D","Dark")</f>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_xlfn.XLOOKUP(C485,customers!$A$1:$A$1001,customers!$B$1:$B$1001,,0)</f>
        <v>Orion Dyott</v>
      </c>
      <c r="G485" s="2" t="str">
        <f>IF(_xlfn.XLOOKUP(C485,customers!$A$1:$A$1001,customers!$C$1:$C$1001,,0)=0,"",_xlfn.XLOOKUP(C485,customers!$A$1:$A$1001,customers!$C$1:$C$1001,,0))</f>
        <v/>
      </c>
      <c r="H485" s="2" t="str">
        <f>_xlfn.XLOOKUP(C485,customers!$A$1:$A$1001,customers!$G$1:$G$1001,,0)</f>
        <v>United States</v>
      </c>
      <c r="I485" t="str">
        <f>INDEX(products!$A$1:$G$49,MATCH(orders!$D485,products!$A$1:$A$49,0),MATCH(orders!I$1,products!$A$1:$G$1,0))</f>
        <v>Lib</v>
      </c>
      <c r="J485" t="str">
        <f>INDEX(products!$A$1:$G$49,MATCH(orders!$D485,products!$A$1:$A$49,0),MATCH(orders!J$1,products!$A$1:$G$1,0))</f>
        <v>D</v>
      </c>
      <c r="K485" s="7">
        <f>INDEX(products!$A$1:$G$49,MATCH(orders!$D485,products!$A$1:$A$49,0),MATCH(orders!K$1,products!$A$1:$G$1,0))</f>
        <v>2.5</v>
      </c>
      <c r="L485" s="4">
        <f>INDEX(products!$A$1:$G$49,MATCH(orders!$D485,products!$A$1:$A$49,0),MATCH(orders!L$1,products!$A$1:$G$1,0))</f>
        <v>29.784999999999997</v>
      </c>
      <c r="M485" s="4">
        <f t="shared" si="7"/>
        <v>59.569999999999993</v>
      </c>
      <c r="N485" t="str" cm="1">
        <f t="array" ref="N485">_xlfn.IFS(I485="Rob","Robusta",I485="Exc","Excelsa",I485="Ara","Arabica",I485="Lib","Liberica")</f>
        <v>Liberica</v>
      </c>
      <c r="O485" t="str" cm="1">
        <f t="array" ref="O485">_xlfn.IFS(J485="M","Medium",J485="L","Large",J485="D","Dark")</f>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_xlfn.XLOOKUP(C486,customers!$A$1:$A$1001,customers!$B$1:$B$1001,,0)</f>
        <v>Keefer Cake</v>
      </c>
      <c r="G486" s="2" t="str">
        <f>IF(_xlfn.XLOOKUP(C486,customers!$A$1:$A$1001,customers!$C$1:$C$1001,,0)=0,"",_xlfn.XLOOKUP(C486,customers!$A$1:$A$1001,customers!$C$1:$C$1001,,0))</f>
        <v>kcakedg@huffingtonpost.com</v>
      </c>
      <c r="H486" s="2" t="str">
        <f>_xlfn.XLOOKUP(C486,customers!$A$1:$A$1001,customers!$G$1:$G$1001,,0)</f>
        <v>United States</v>
      </c>
      <c r="I486" t="str">
        <f>INDEX(products!$A$1:$G$49,MATCH(orders!$D486,products!$A$1:$A$49,0),MATCH(orders!I$1,products!$A$1:$G$1,0))</f>
        <v>Lib</v>
      </c>
      <c r="J486" t="str">
        <f>INDEX(products!$A$1:$G$49,MATCH(orders!$D486,products!$A$1:$A$49,0),MATCH(orders!J$1,products!$A$1:$G$1,0))</f>
        <v>L</v>
      </c>
      <c r="K486" s="7">
        <f>INDEX(products!$A$1:$G$49,MATCH(orders!$D486,products!$A$1:$A$49,0),MATCH(orders!K$1,products!$A$1:$G$1,0))</f>
        <v>0.5</v>
      </c>
      <c r="L486" s="4">
        <f>INDEX(products!$A$1:$G$49,MATCH(orders!$D486,products!$A$1:$A$49,0),MATCH(orders!L$1,products!$A$1:$G$1,0))</f>
        <v>9.51</v>
      </c>
      <c r="M486" s="4">
        <f t="shared" si="7"/>
        <v>57.06</v>
      </c>
      <c r="N486" t="str" cm="1">
        <f t="array" ref="N486">_xlfn.IFS(I486="Rob","Robusta",I486="Exc","Excelsa",I486="Ara","Arabica",I486="Lib","Liberica")</f>
        <v>Liberica</v>
      </c>
      <c r="O486" t="str" cm="1">
        <f t="array" ref="O486">_xlfn.IFS(J486="M","Medium",J486="L","Large",J486="D","Dark")</f>
        <v>Large</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_xlfn.XLOOKUP(C487,customers!$A$1:$A$1001,customers!$B$1:$B$1001,,0)</f>
        <v>Morna Hansed</v>
      </c>
      <c r="G487" s="2" t="str">
        <f>IF(_xlfn.XLOOKUP(C487,customers!$A$1:$A$1001,customers!$C$1:$C$1001,,0)=0,"",_xlfn.XLOOKUP(C487,customers!$A$1:$A$1001,customers!$C$1:$C$1001,,0))</f>
        <v>mhanseddh@instagram.com</v>
      </c>
      <c r="H487" s="2" t="str">
        <f>_xlfn.XLOOKUP(C487,customers!$A$1:$A$1001,customers!$G$1:$G$1001,,0)</f>
        <v>Ireland</v>
      </c>
      <c r="I487" t="str">
        <f>INDEX(products!$A$1:$G$49,MATCH(orders!$D487,products!$A$1:$A$49,0),MATCH(orders!I$1,products!$A$1:$G$1,0))</f>
        <v>Rob</v>
      </c>
      <c r="J487" t="str">
        <f>INDEX(products!$A$1:$G$49,MATCH(orders!$D487,products!$A$1:$A$49,0),MATCH(orders!J$1,products!$A$1:$G$1,0))</f>
        <v>L</v>
      </c>
      <c r="K487" s="7">
        <f>INDEX(products!$A$1:$G$49,MATCH(orders!$D487,products!$A$1:$A$49,0),MATCH(orders!K$1,products!$A$1:$G$1,0))</f>
        <v>0.2</v>
      </c>
      <c r="L487" s="4">
        <f>INDEX(products!$A$1:$G$49,MATCH(orders!$D487,products!$A$1:$A$49,0),MATCH(orders!L$1,products!$A$1:$G$1,0))</f>
        <v>3.5849999999999995</v>
      </c>
      <c r="M487" s="4">
        <f t="shared" si="7"/>
        <v>21.509999999999998</v>
      </c>
      <c r="N487" t="str" cm="1">
        <f t="array" ref="N487">_xlfn.IFS(I487="Rob","Robusta",I487="Exc","Excelsa",I487="Ara","Arabica",I487="Lib","Liberica")</f>
        <v>Robusta</v>
      </c>
      <c r="O487" t="str" cm="1">
        <f t="array" ref="O487">_xlfn.IFS(J487="M","Medium",J487="L","Large",J487="D","Dark")</f>
        <v>Large</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_xlfn.XLOOKUP(C488,customers!$A$1:$A$1001,customers!$B$1:$B$1001,,0)</f>
        <v>Franny Kienlein</v>
      </c>
      <c r="G488" s="2" t="str">
        <f>IF(_xlfn.XLOOKUP(C488,customers!$A$1:$A$1001,customers!$C$1:$C$1001,,0)=0,"",_xlfn.XLOOKUP(C488,customers!$A$1:$A$1001,customers!$C$1:$C$1001,,0))</f>
        <v>fkienleindi@trellian.com</v>
      </c>
      <c r="H488" s="2" t="str">
        <f>_xlfn.XLOOKUP(C488,customers!$A$1:$A$1001,customers!$G$1:$G$1001,,0)</f>
        <v>Ireland</v>
      </c>
      <c r="I488" t="str">
        <f>INDEX(products!$A$1:$G$49,MATCH(orders!$D488,products!$A$1:$A$49,0),MATCH(orders!I$1,products!$A$1:$G$1,0))</f>
        <v>Lib</v>
      </c>
      <c r="J488" t="str">
        <f>INDEX(products!$A$1:$G$49,MATCH(orders!$D488,products!$A$1:$A$49,0),MATCH(orders!J$1,products!$A$1:$G$1,0))</f>
        <v>M</v>
      </c>
      <c r="K488" s="7">
        <f>INDEX(products!$A$1:$G$49,MATCH(orders!$D488,products!$A$1:$A$49,0),MATCH(orders!K$1,products!$A$1:$G$1,0))</f>
        <v>0.5</v>
      </c>
      <c r="L488" s="4">
        <f>INDEX(products!$A$1:$G$49,MATCH(orders!$D488,products!$A$1:$A$49,0),MATCH(orders!L$1,products!$A$1:$G$1,0))</f>
        <v>8.73</v>
      </c>
      <c r="M488" s="4">
        <f t="shared" si="7"/>
        <v>52.38</v>
      </c>
      <c r="N488" t="str" cm="1">
        <f t="array" ref="N488">_xlfn.IFS(I488="Rob","Robusta",I488="Exc","Excelsa",I488="Ara","Arabica",I488="Lib","Liberica")</f>
        <v>Liberica</v>
      </c>
      <c r="O488" t="str" cm="1">
        <f t="array" ref="O488">_xlfn.IFS(J488="M","Medium",J488="L","Large",J488="D","Dark")</f>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_xlfn.XLOOKUP(C489,customers!$A$1:$A$1001,customers!$B$1:$B$1001,,0)</f>
        <v>Klarika Egglestone</v>
      </c>
      <c r="G489" s="2" t="str">
        <f>IF(_xlfn.XLOOKUP(C489,customers!$A$1:$A$1001,customers!$C$1:$C$1001,,0)=0,"",_xlfn.XLOOKUP(C489,customers!$A$1:$A$1001,customers!$C$1:$C$1001,,0))</f>
        <v>kegglestonedj@sphinn.com</v>
      </c>
      <c r="H489" s="2" t="str">
        <f>_xlfn.XLOOKUP(C489,customers!$A$1:$A$1001,customers!$G$1:$G$1001,,0)</f>
        <v>Ireland</v>
      </c>
      <c r="I489" t="str">
        <f>INDEX(products!$A$1:$G$49,MATCH(orders!$D489,products!$A$1:$A$49,0),MATCH(orders!I$1,products!$A$1:$G$1,0))</f>
        <v>Exc</v>
      </c>
      <c r="J489" t="str">
        <f>INDEX(products!$A$1:$G$49,MATCH(orders!$D489,products!$A$1:$A$49,0),MATCH(orders!J$1,products!$A$1:$G$1,0))</f>
        <v>D</v>
      </c>
      <c r="K489" s="7">
        <f>INDEX(products!$A$1:$G$49,MATCH(orders!$D489,products!$A$1:$A$49,0),MATCH(orders!K$1,products!$A$1:$G$1,0))</f>
        <v>1</v>
      </c>
      <c r="L489" s="4">
        <f>INDEX(products!$A$1:$G$49,MATCH(orders!$D489,products!$A$1:$A$49,0),MATCH(orders!L$1,products!$A$1:$G$1,0))</f>
        <v>12.15</v>
      </c>
      <c r="M489" s="4">
        <f t="shared" si="7"/>
        <v>72.900000000000006</v>
      </c>
      <c r="N489" t="str" cm="1">
        <f t="array" ref="N489">_xlfn.IFS(I489="Rob","Robusta",I489="Exc","Excelsa",I489="Ara","Arabica",I489="Lib","Liberica")</f>
        <v>Excelsa</v>
      </c>
      <c r="O489" t="str" cm="1">
        <f t="array" ref="O489">_xlfn.IFS(J489="M","Medium",J489="L","Large",J489="D","Dark")</f>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_xlfn.XLOOKUP(C490,customers!$A$1:$A$1001,customers!$B$1:$B$1001,,0)</f>
        <v>Becky Semkins</v>
      </c>
      <c r="G490" s="2" t="str">
        <f>IF(_xlfn.XLOOKUP(C490,customers!$A$1:$A$1001,customers!$C$1:$C$1001,,0)=0,"",_xlfn.XLOOKUP(C490,customers!$A$1:$A$1001,customers!$C$1:$C$1001,,0))</f>
        <v>bsemkinsdk@unc.edu</v>
      </c>
      <c r="H490" s="2" t="str">
        <f>_xlfn.XLOOKUP(C490,customers!$A$1:$A$1001,customers!$G$1:$G$1001,,0)</f>
        <v>Ireland</v>
      </c>
      <c r="I490" t="str">
        <f>INDEX(products!$A$1:$G$49,MATCH(orders!$D490,products!$A$1:$A$49,0),MATCH(orders!I$1,products!$A$1:$G$1,0))</f>
        <v>Rob</v>
      </c>
      <c r="J490" t="str">
        <f>INDEX(products!$A$1:$G$49,MATCH(orders!$D490,products!$A$1:$A$49,0),MATCH(orders!J$1,products!$A$1:$G$1,0))</f>
        <v>M</v>
      </c>
      <c r="K490" s="7">
        <f>INDEX(products!$A$1:$G$49,MATCH(orders!$D490,products!$A$1:$A$49,0),MATCH(orders!K$1,products!$A$1:$G$1,0))</f>
        <v>0.2</v>
      </c>
      <c r="L490" s="4">
        <f>INDEX(products!$A$1:$G$49,MATCH(orders!$D490,products!$A$1:$A$49,0),MATCH(orders!L$1,products!$A$1:$G$1,0))</f>
        <v>2.9849999999999999</v>
      </c>
      <c r="M490" s="4">
        <f t="shared" si="7"/>
        <v>14.924999999999999</v>
      </c>
      <c r="N490" t="str" cm="1">
        <f t="array" ref="N490">_xlfn.IFS(I490="Rob","Robusta",I490="Exc","Excelsa",I490="Ara","Arabica",I490="Lib","Liberica")</f>
        <v>Robusta</v>
      </c>
      <c r="O490" t="str" cm="1">
        <f t="array" ref="O490">_xlfn.IFS(J490="M","Medium",J490="L","Large",J490="D","Dark")</f>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_xlfn.XLOOKUP(C491,customers!$A$1:$A$1001,customers!$B$1:$B$1001,,0)</f>
        <v>Sean Lorenzetti</v>
      </c>
      <c r="G491" s="2" t="str">
        <f>IF(_xlfn.XLOOKUP(C491,customers!$A$1:$A$1001,customers!$C$1:$C$1001,,0)=0,"",_xlfn.XLOOKUP(C491,customers!$A$1:$A$1001,customers!$C$1:$C$1001,,0))</f>
        <v>slorenzettidl@is.gd</v>
      </c>
      <c r="H491" s="2" t="str">
        <f>_xlfn.XLOOKUP(C491,customers!$A$1:$A$1001,customers!$G$1:$G$1001,,0)</f>
        <v>United States</v>
      </c>
      <c r="I491" t="str">
        <f>INDEX(products!$A$1:$G$49,MATCH(orders!$D491,products!$A$1:$A$49,0),MATCH(orders!I$1,products!$A$1:$G$1,0))</f>
        <v>Lib</v>
      </c>
      <c r="J491" t="str">
        <f>INDEX(products!$A$1:$G$49,MATCH(orders!$D491,products!$A$1:$A$49,0),MATCH(orders!J$1,products!$A$1:$G$1,0))</f>
        <v>L</v>
      </c>
      <c r="K491" s="7">
        <f>INDEX(products!$A$1:$G$49,MATCH(orders!$D491,products!$A$1:$A$49,0),MATCH(orders!K$1,products!$A$1:$G$1,0))</f>
        <v>1</v>
      </c>
      <c r="L491" s="4">
        <f>INDEX(products!$A$1:$G$49,MATCH(orders!$D491,products!$A$1:$A$49,0),MATCH(orders!L$1,products!$A$1:$G$1,0))</f>
        <v>15.85</v>
      </c>
      <c r="M491" s="4">
        <f t="shared" si="7"/>
        <v>95.1</v>
      </c>
      <c r="N491" t="str" cm="1">
        <f t="array" ref="N491">_xlfn.IFS(I491="Rob","Robusta",I491="Exc","Excelsa",I491="Ara","Arabica",I491="Lib","Liberica")</f>
        <v>Liberica</v>
      </c>
      <c r="O491" t="str" cm="1">
        <f t="array" ref="O491">_xlfn.IFS(J491="M","Medium",J491="L","Large",J491="D","Dark")</f>
        <v>Large</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_xlfn.XLOOKUP(C492,customers!$A$1:$A$1001,customers!$B$1:$B$1001,,0)</f>
        <v>Bob Giannazzi</v>
      </c>
      <c r="G492" s="2" t="str">
        <f>IF(_xlfn.XLOOKUP(C492,customers!$A$1:$A$1001,customers!$C$1:$C$1001,,0)=0,"",_xlfn.XLOOKUP(C492,customers!$A$1:$A$1001,customers!$C$1:$C$1001,,0))</f>
        <v>bgiannazzidm@apple.com</v>
      </c>
      <c r="H492" s="2" t="str">
        <f>_xlfn.XLOOKUP(C492,customers!$A$1:$A$1001,customers!$G$1:$G$1001,,0)</f>
        <v>United States</v>
      </c>
      <c r="I492" t="str">
        <f>INDEX(products!$A$1:$G$49,MATCH(orders!$D492,products!$A$1:$A$49,0),MATCH(orders!I$1,products!$A$1:$G$1,0))</f>
        <v>Lib</v>
      </c>
      <c r="J492" t="str">
        <f>INDEX(products!$A$1:$G$49,MATCH(orders!$D492,products!$A$1:$A$49,0),MATCH(orders!J$1,products!$A$1:$G$1,0))</f>
        <v>D</v>
      </c>
      <c r="K492" s="7">
        <f>INDEX(products!$A$1:$G$49,MATCH(orders!$D492,products!$A$1:$A$49,0),MATCH(orders!K$1,products!$A$1:$G$1,0))</f>
        <v>0.5</v>
      </c>
      <c r="L492" s="4">
        <f>INDEX(products!$A$1:$G$49,MATCH(orders!$D492,products!$A$1:$A$49,0),MATCH(orders!L$1,products!$A$1:$G$1,0))</f>
        <v>7.77</v>
      </c>
      <c r="M492" s="4">
        <f t="shared" si="7"/>
        <v>15.54</v>
      </c>
      <c r="N492" t="str" cm="1">
        <f t="array" ref="N492">_xlfn.IFS(I492="Rob","Robusta",I492="Exc","Excelsa",I492="Ara","Arabica",I492="Lib","Liberica")</f>
        <v>Liberica</v>
      </c>
      <c r="O492" t="str" cm="1">
        <f t="array" ref="O492">_xlfn.IFS(J492="M","Medium",J492="L","Large",J492="D","Dark")</f>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_xlfn.XLOOKUP(C493,customers!$A$1:$A$1001,customers!$B$1:$B$1001,,0)</f>
        <v>Kendra Backshell</v>
      </c>
      <c r="G493" s="2" t="str">
        <f>IF(_xlfn.XLOOKUP(C493,customers!$A$1:$A$1001,customers!$C$1:$C$1001,,0)=0,"",_xlfn.XLOOKUP(C493,customers!$A$1:$A$1001,customers!$C$1:$C$1001,,0))</f>
        <v/>
      </c>
      <c r="H493" s="2" t="str">
        <f>_xlfn.XLOOKUP(C493,customers!$A$1:$A$1001,customers!$G$1:$G$1001,,0)</f>
        <v>United States</v>
      </c>
      <c r="I493" t="str">
        <f>INDEX(products!$A$1:$G$49,MATCH(orders!$D493,products!$A$1:$A$49,0),MATCH(orders!I$1,products!$A$1:$G$1,0))</f>
        <v>Lib</v>
      </c>
      <c r="J493" t="str">
        <f>INDEX(products!$A$1:$G$49,MATCH(orders!$D493,products!$A$1:$A$49,0),MATCH(orders!J$1,products!$A$1:$G$1,0))</f>
        <v>D</v>
      </c>
      <c r="K493" s="7">
        <f>INDEX(products!$A$1:$G$49,MATCH(orders!$D493,products!$A$1:$A$49,0),MATCH(orders!K$1,products!$A$1:$G$1,0))</f>
        <v>0.2</v>
      </c>
      <c r="L493" s="4">
        <f>INDEX(products!$A$1:$G$49,MATCH(orders!$D493,products!$A$1:$A$49,0),MATCH(orders!L$1,products!$A$1:$G$1,0))</f>
        <v>3.8849999999999998</v>
      </c>
      <c r="M493" s="4">
        <f t="shared" si="7"/>
        <v>23.31</v>
      </c>
      <c r="N493" t="str" cm="1">
        <f t="array" ref="N493">_xlfn.IFS(I493="Rob","Robusta",I493="Exc","Excelsa",I493="Ara","Arabica",I493="Lib","Liberica")</f>
        <v>Liberica</v>
      </c>
      <c r="O493" t="str" cm="1">
        <f t="array" ref="O493">_xlfn.IFS(J493="M","Medium",J493="L","Large",J493="D","Dark")</f>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_xlfn.XLOOKUP(C494,customers!$A$1:$A$1001,customers!$B$1:$B$1001,,0)</f>
        <v>Uriah Lethbrig</v>
      </c>
      <c r="G494" s="2" t="str">
        <f>IF(_xlfn.XLOOKUP(C494,customers!$A$1:$A$1001,customers!$C$1:$C$1001,,0)=0,"",_xlfn.XLOOKUP(C494,customers!$A$1:$A$1001,customers!$C$1:$C$1001,,0))</f>
        <v>ulethbrigdo@hc360.com</v>
      </c>
      <c r="H494" s="2" t="str">
        <f>_xlfn.XLOOKUP(C494,customers!$A$1:$A$1001,customers!$G$1:$G$1001,,0)</f>
        <v>United States</v>
      </c>
      <c r="I494" t="str">
        <f>INDEX(products!$A$1:$G$49,MATCH(orders!$D494,products!$A$1:$A$49,0),MATCH(orders!I$1,products!$A$1:$G$1,0))</f>
        <v>Exc</v>
      </c>
      <c r="J494" t="str">
        <f>INDEX(products!$A$1:$G$49,MATCH(orders!$D494,products!$A$1:$A$49,0),MATCH(orders!J$1,products!$A$1:$G$1,0))</f>
        <v>M</v>
      </c>
      <c r="K494" s="7">
        <f>INDEX(products!$A$1:$G$49,MATCH(orders!$D494,products!$A$1:$A$49,0),MATCH(orders!K$1,products!$A$1:$G$1,0))</f>
        <v>0.2</v>
      </c>
      <c r="L494" s="4">
        <f>INDEX(products!$A$1:$G$49,MATCH(orders!$D494,products!$A$1:$A$49,0),MATCH(orders!L$1,products!$A$1:$G$1,0))</f>
        <v>4.125</v>
      </c>
      <c r="M494" s="4">
        <f t="shared" si="7"/>
        <v>4.125</v>
      </c>
      <c r="N494" t="str" cm="1">
        <f t="array" ref="N494">_xlfn.IFS(I494="Rob","Robusta",I494="Exc","Excelsa",I494="Ara","Arabica",I494="Lib","Liberica")</f>
        <v>Excelsa</v>
      </c>
      <c r="O494" t="str" cm="1">
        <f t="array" ref="O494">_xlfn.IFS(J494="M","Medium",J494="L","Large",J494="D","Dark")</f>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_xlfn.XLOOKUP(C495,customers!$A$1:$A$1001,customers!$B$1:$B$1001,,0)</f>
        <v>Sky Farnish</v>
      </c>
      <c r="G495" s="2" t="str">
        <f>IF(_xlfn.XLOOKUP(C495,customers!$A$1:$A$1001,customers!$C$1:$C$1001,,0)=0,"",_xlfn.XLOOKUP(C495,customers!$A$1:$A$1001,customers!$C$1:$C$1001,,0))</f>
        <v>sfarnishdp@dmoz.org</v>
      </c>
      <c r="H495" s="2" t="str">
        <f>_xlfn.XLOOKUP(C495,customers!$A$1:$A$1001,customers!$G$1:$G$1001,,0)</f>
        <v>United Kingdom</v>
      </c>
      <c r="I495" t="str">
        <f>INDEX(products!$A$1:$G$49,MATCH(orders!$D495,products!$A$1:$A$49,0),MATCH(orders!I$1,products!$A$1:$G$1,0))</f>
        <v>Rob</v>
      </c>
      <c r="J495" t="str">
        <f>INDEX(products!$A$1:$G$49,MATCH(orders!$D495,products!$A$1:$A$49,0),MATCH(orders!J$1,products!$A$1:$G$1,0))</f>
        <v>M</v>
      </c>
      <c r="K495" s="7">
        <f>INDEX(products!$A$1:$G$49,MATCH(orders!$D495,products!$A$1:$A$49,0),MATCH(orders!K$1,products!$A$1:$G$1,0))</f>
        <v>0.5</v>
      </c>
      <c r="L495" s="4">
        <f>INDEX(products!$A$1:$G$49,MATCH(orders!$D495,products!$A$1:$A$49,0),MATCH(orders!L$1,products!$A$1:$G$1,0))</f>
        <v>5.97</v>
      </c>
      <c r="M495" s="4">
        <f t="shared" si="7"/>
        <v>35.82</v>
      </c>
      <c r="N495" t="str" cm="1">
        <f t="array" ref="N495">_xlfn.IFS(I495="Rob","Robusta",I495="Exc","Excelsa",I495="Ara","Arabica",I495="Lib","Liberica")</f>
        <v>Robusta</v>
      </c>
      <c r="O495" t="str" cm="1">
        <f t="array" ref="O495">_xlfn.IFS(J495="M","Medium",J495="L","Large",J495="D","Dark")</f>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_xlfn.XLOOKUP(C496,customers!$A$1:$A$1001,customers!$B$1:$B$1001,,0)</f>
        <v>Felicia Jecock</v>
      </c>
      <c r="G496" s="2" t="str">
        <f>IF(_xlfn.XLOOKUP(C496,customers!$A$1:$A$1001,customers!$C$1:$C$1001,,0)=0,"",_xlfn.XLOOKUP(C496,customers!$A$1:$A$1001,customers!$C$1:$C$1001,,0))</f>
        <v>fjecockdq@unicef.org</v>
      </c>
      <c r="H496" s="2" t="str">
        <f>_xlfn.XLOOKUP(C496,customers!$A$1:$A$1001,customers!$G$1:$G$1001,,0)</f>
        <v>United States</v>
      </c>
      <c r="I496" t="str">
        <f>INDEX(products!$A$1:$G$49,MATCH(orders!$D496,products!$A$1:$A$49,0),MATCH(orders!I$1,products!$A$1:$G$1,0))</f>
        <v>Lib</v>
      </c>
      <c r="J496" t="str">
        <f>INDEX(products!$A$1:$G$49,MATCH(orders!$D496,products!$A$1:$A$49,0),MATCH(orders!J$1,products!$A$1:$G$1,0))</f>
        <v>L</v>
      </c>
      <c r="K496" s="7">
        <f>INDEX(products!$A$1:$G$49,MATCH(orders!$D496,products!$A$1:$A$49,0),MATCH(orders!K$1,products!$A$1:$G$1,0))</f>
        <v>1</v>
      </c>
      <c r="L496" s="4">
        <f>INDEX(products!$A$1:$G$49,MATCH(orders!$D496,products!$A$1:$A$49,0),MATCH(orders!L$1,products!$A$1:$G$1,0))</f>
        <v>15.85</v>
      </c>
      <c r="M496" s="4">
        <f t="shared" si="7"/>
        <v>31.7</v>
      </c>
      <c r="N496" t="str" cm="1">
        <f t="array" ref="N496">_xlfn.IFS(I496="Rob","Robusta",I496="Exc","Excelsa",I496="Ara","Arabica",I496="Lib","Liberica")</f>
        <v>Liberica</v>
      </c>
      <c r="O496" t="str" cm="1">
        <f t="array" ref="O496">_xlfn.IFS(J496="M","Medium",J496="L","Large",J496="D","Dark")</f>
        <v>Large</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_xlfn.XLOOKUP(C497,customers!$A$1:$A$1001,customers!$B$1:$B$1001,,0)</f>
        <v>Currey MacAllister</v>
      </c>
      <c r="G497" s="2" t="str">
        <f>IF(_xlfn.XLOOKUP(C497,customers!$A$1:$A$1001,customers!$C$1:$C$1001,,0)=0,"",_xlfn.XLOOKUP(C497,customers!$A$1:$A$1001,customers!$C$1:$C$1001,,0))</f>
        <v/>
      </c>
      <c r="H497" s="2" t="str">
        <f>_xlfn.XLOOKUP(C497,customers!$A$1:$A$1001,customers!$G$1:$G$1001,,0)</f>
        <v>United States</v>
      </c>
      <c r="I497" t="str">
        <f>INDEX(products!$A$1:$G$49,MATCH(orders!$D497,products!$A$1:$A$49,0),MATCH(orders!I$1,products!$A$1:$G$1,0))</f>
        <v>Lib</v>
      </c>
      <c r="J497" t="str">
        <f>INDEX(products!$A$1:$G$49,MATCH(orders!$D497,products!$A$1:$A$49,0),MATCH(orders!J$1,products!$A$1:$G$1,0))</f>
        <v>L</v>
      </c>
      <c r="K497" s="7">
        <f>INDEX(products!$A$1:$G$49,MATCH(orders!$D497,products!$A$1:$A$49,0),MATCH(orders!K$1,products!$A$1:$G$1,0))</f>
        <v>1</v>
      </c>
      <c r="L497" s="4">
        <f>INDEX(products!$A$1:$G$49,MATCH(orders!$D497,products!$A$1:$A$49,0),MATCH(orders!L$1,products!$A$1:$G$1,0))</f>
        <v>15.85</v>
      </c>
      <c r="M497" s="4">
        <f t="shared" si="7"/>
        <v>79.25</v>
      </c>
      <c r="N497" t="str" cm="1">
        <f t="array" ref="N497">_xlfn.IFS(I497="Rob","Robusta",I497="Exc","Excelsa",I497="Ara","Arabica",I497="Lib","Liberica")</f>
        <v>Liberica</v>
      </c>
      <c r="O497" t="str" cm="1">
        <f t="array" ref="O497">_xlfn.IFS(J497="M","Medium",J497="L","Large",J497="D","Dark")</f>
        <v>Large</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_xlfn.XLOOKUP(C498,customers!$A$1:$A$1001,customers!$B$1:$B$1001,,0)</f>
        <v>Hamlen Pallister</v>
      </c>
      <c r="G498" s="2" t="str">
        <f>IF(_xlfn.XLOOKUP(C498,customers!$A$1:$A$1001,customers!$C$1:$C$1001,,0)=0,"",_xlfn.XLOOKUP(C498,customers!$A$1:$A$1001,customers!$C$1:$C$1001,,0))</f>
        <v>hpallisterds@ning.com</v>
      </c>
      <c r="H498" s="2" t="str">
        <f>_xlfn.XLOOKUP(C498,customers!$A$1:$A$1001,customers!$G$1:$G$1001,,0)</f>
        <v>United States</v>
      </c>
      <c r="I498" t="str">
        <f>INDEX(products!$A$1:$G$49,MATCH(orders!$D498,products!$A$1:$A$49,0),MATCH(orders!I$1,products!$A$1:$G$1,0))</f>
        <v>Exc</v>
      </c>
      <c r="J498" t="str">
        <f>INDEX(products!$A$1:$G$49,MATCH(orders!$D498,products!$A$1:$A$49,0),MATCH(orders!J$1,products!$A$1:$G$1,0))</f>
        <v>D</v>
      </c>
      <c r="K498" s="7">
        <f>INDEX(products!$A$1:$G$49,MATCH(orders!$D498,products!$A$1:$A$49,0),MATCH(orders!K$1,products!$A$1:$G$1,0))</f>
        <v>0.2</v>
      </c>
      <c r="L498" s="4">
        <f>INDEX(products!$A$1:$G$49,MATCH(orders!$D498,products!$A$1:$A$49,0),MATCH(orders!L$1,products!$A$1:$G$1,0))</f>
        <v>3.645</v>
      </c>
      <c r="M498" s="4">
        <f t="shared" si="7"/>
        <v>10.935</v>
      </c>
      <c r="N498" t="str" cm="1">
        <f t="array" ref="N498">_xlfn.IFS(I498="Rob","Robusta",I498="Exc","Excelsa",I498="Ara","Arabica",I498="Lib","Liberica")</f>
        <v>Excelsa</v>
      </c>
      <c r="O498" t="str" cm="1">
        <f t="array" ref="O498">_xlfn.IFS(J498="M","Medium",J498="L","Large",J498="D","Dark")</f>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_xlfn.XLOOKUP(C499,customers!$A$1:$A$1001,customers!$B$1:$B$1001,,0)</f>
        <v>Chantal Mersh</v>
      </c>
      <c r="G499" s="2" t="str">
        <f>IF(_xlfn.XLOOKUP(C499,customers!$A$1:$A$1001,customers!$C$1:$C$1001,,0)=0,"",_xlfn.XLOOKUP(C499,customers!$A$1:$A$1001,customers!$C$1:$C$1001,,0))</f>
        <v>cmershdt@drupal.org</v>
      </c>
      <c r="H499" s="2" t="str">
        <f>_xlfn.XLOOKUP(C499,customers!$A$1:$A$1001,customers!$G$1:$G$1001,,0)</f>
        <v>Ireland</v>
      </c>
      <c r="I499" t="str">
        <f>INDEX(products!$A$1:$G$49,MATCH(orders!$D499,products!$A$1:$A$49,0),MATCH(orders!I$1,products!$A$1:$G$1,0))</f>
        <v>Ara</v>
      </c>
      <c r="J499" t="str">
        <f>INDEX(products!$A$1:$G$49,MATCH(orders!$D499,products!$A$1:$A$49,0),MATCH(orders!J$1,products!$A$1:$G$1,0))</f>
        <v>D</v>
      </c>
      <c r="K499" s="7">
        <f>INDEX(products!$A$1:$G$49,MATCH(orders!$D499,products!$A$1:$A$49,0),MATCH(orders!K$1,products!$A$1:$G$1,0))</f>
        <v>1</v>
      </c>
      <c r="L499" s="4">
        <f>INDEX(products!$A$1:$G$49,MATCH(orders!$D499,products!$A$1:$A$49,0),MATCH(orders!L$1,products!$A$1:$G$1,0))</f>
        <v>9.9499999999999993</v>
      </c>
      <c r="M499" s="4">
        <f t="shared" si="7"/>
        <v>39.799999999999997</v>
      </c>
      <c r="N499" t="str" cm="1">
        <f t="array" ref="N499">_xlfn.IFS(I499="Rob","Robusta",I499="Exc","Excelsa",I499="Ara","Arabica",I499="Lib","Liberica")</f>
        <v>Arabica</v>
      </c>
      <c r="O499" t="str" cm="1">
        <f t="array" ref="O499">_xlfn.IFS(J499="M","Medium",J499="L","Large",J499="D","Dark")</f>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_xlfn.XLOOKUP(C500,customers!$A$1:$A$1001,customers!$B$1:$B$1001,,0)</f>
        <v>Marja Urion</v>
      </c>
      <c r="G500" s="2" t="str">
        <f>IF(_xlfn.XLOOKUP(C500,customers!$A$1:$A$1001,customers!$C$1:$C$1001,,0)=0,"",_xlfn.XLOOKUP(C500,customers!$A$1:$A$1001,customers!$C$1:$C$1001,,0))</f>
        <v>murione5@alexa.com</v>
      </c>
      <c r="H500" s="2" t="str">
        <f>_xlfn.XLOOKUP(C500,customers!$A$1:$A$1001,customers!$G$1:$G$1001,,0)</f>
        <v>Ireland</v>
      </c>
      <c r="I500" t="str">
        <f>INDEX(products!$A$1:$G$49,MATCH(orders!$D500,products!$A$1:$A$49,0),MATCH(orders!I$1,products!$A$1:$G$1,0))</f>
        <v>Rob</v>
      </c>
      <c r="J500" t="str">
        <f>INDEX(products!$A$1:$G$49,MATCH(orders!$D500,products!$A$1:$A$49,0),MATCH(orders!J$1,products!$A$1:$G$1,0))</f>
        <v>M</v>
      </c>
      <c r="K500" s="7">
        <f>INDEX(products!$A$1:$G$49,MATCH(orders!$D500,products!$A$1:$A$49,0),MATCH(orders!K$1,products!$A$1:$G$1,0))</f>
        <v>1</v>
      </c>
      <c r="L500" s="4">
        <f>INDEX(products!$A$1:$G$49,MATCH(orders!$D500,products!$A$1:$A$49,0),MATCH(orders!L$1,products!$A$1:$G$1,0))</f>
        <v>9.9499999999999993</v>
      </c>
      <c r="M500" s="4">
        <f t="shared" si="7"/>
        <v>49.75</v>
      </c>
      <c r="N500" t="str" cm="1">
        <f t="array" ref="N500">_xlfn.IFS(I500="Rob","Robusta",I500="Exc","Excelsa",I500="Ara","Arabica",I500="Lib","Liberica")</f>
        <v>Robusta</v>
      </c>
      <c r="O500" t="str" cm="1">
        <f t="array" ref="O500">_xlfn.IFS(J500="M","Medium",J500="L","Large",J500="D","Dark")</f>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_xlfn.XLOOKUP(C501,customers!$A$1:$A$1001,customers!$B$1:$B$1001,,0)</f>
        <v>Malynda Purbrick</v>
      </c>
      <c r="G501" s="2" t="str">
        <f>IF(_xlfn.XLOOKUP(C501,customers!$A$1:$A$1001,customers!$C$1:$C$1001,,0)=0,"",_xlfn.XLOOKUP(C501,customers!$A$1:$A$1001,customers!$C$1:$C$1001,,0))</f>
        <v/>
      </c>
      <c r="H501" s="2" t="str">
        <f>_xlfn.XLOOKUP(C501,customers!$A$1:$A$1001,customers!$G$1:$G$1001,,0)</f>
        <v>Ireland</v>
      </c>
      <c r="I501" t="str">
        <f>INDEX(products!$A$1:$G$49,MATCH(orders!$D501,products!$A$1:$A$49,0),MATCH(orders!I$1,products!$A$1:$G$1,0))</f>
        <v>Rob</v>
      </c>
      <c r="J501" t="str">
        <f>INDEX(products!$A$1:$G$49,MATCH(orders!$D501,products!$A$1:$A$49,0),MATCH(orders!J$1,products!$A$1:$G$1,0))</f>
        <v>D</v>
      </c>
      <c r="K501" s="7">
        <f>INDEX(products!$A$1:$G$49,MATCH(orders!$D501,products!$A$1:$A$49,0),MATCH(orders!K$1,products!$A$1:$G$1,0))</f>
        <v>0.2</v>
      </c>
      <c r="L501" s="4">
        <f>INDEX(products!$A$1:$G$49,MATCH(orders!$D501,products!$A$1:$A$49,0),MATCH(orders!L$1,products!$A$1:$G$1,0))</f>
        <v>2.6849999999999996</v>
      </c>
      <c r="M501" s="4">
        <f t="shared" si="7"/>
        <v>8.0549999999999997</v>
      </c>
      <c r="N501" t="str" cm="1">
        <f t="array" ref="N501">_xlfn.IFS(I501="Rob","Robusta",I501="Exc","Excelsa",I501="Ara","Arabica",I501="Lib","Liberica")</f>
        <v>Robusta</v>
      </c>
      <c r="O501" t="str" cm="1">
        <f t="array" ref="O501">_xlfn.IFS(J501="M","Medium",J501="L","Large",J501="D","Dark")</f>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_xlfn.XLOOKUP(C502,customers!$A$1:$A$1001,customers!$B$1:$B$1001,,0)</f>
        <v>Alf Housaman</v>
      </c>
      <c r="G502" s="2" t="str">
        <f>IF(_xlfn.XLOOKUP(C502,customers!$A$1:$A$1001,customers!$C$1:$C$1001,,0)=0,"",_xlfn.XLOOKUP(C502,customers!$A$1:$A$1001,customers!$C$1:$C$1001,,0))</f>
        <v/>
      </c>
      <c r="H502" s="2" t="str">
        <f>_xlfn.XLOOKUP(C502,customers!$A$1:$A$1001,customers!$G$1:$G$1001,,0)</f>
        <v>United States</v>
      </c>
      <c r="I502" t="str">
        <f>INDEX(products!$A$1:$G$49,MATCH(orders!$D502,products!$A$1:$A$49,0),MATCH(orders!I$1,products!$A$1:$G$1,0))</f>
        <v>Rob</v>
      </c>
      <c r="J502" t="str">
        <f>INDEX(products!$A$1:$G$49,MATCH(orders!$D502,products!$A$1:$A$49,0),MATCH(orders!J$1,products!$A$1:$G$1,0))</f>
        <v>L</v>
      </c>
      <c r="K502" s="7">
        <f>INDEX(products!$A$1:$G$49,MATCH(orders!$D502,products!$A$1:$A$49,0),MATCH(orders!K$1,products!$A$1:$G$1,0))</f>
        <v>1</v>
      </c>
      <c r="L502" s="4">
        <f>INDEX(products!$A$1:$G$49,MATCH(orders!$D502,products!$A$1:$A$49,0),MATCH(orders!L$1,products!$A$1:$G$1,0))</f>
        <v>11.95</v>
      </c>
      <c r="M502" s="4">
        <f t="shared" si="7"/>
        <v>47.8</v>
      </c>
      <c r="N502" t="str" cm="1">
        <f t="array" ref="N502">_xlfn.IFS(I502="Rob","Robusta",I502="Exc","Excelsa",I502="Ara","Arabica",I502="Lib","Liberica")</f>
        <v>Robusta</v>
      </c>
      <c r="O502" t="str" cm="1">
        <f t="array" ref="O502">_xlfn.IFS(J502="M","Medium",J502="L","Large",J502="D","Dark")</f>
        <v>Large</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_xlfn.XLOOKUP(C503,customers!$A$1:$A$1001,customers!$B$1:$B$1001,,0)</f>
        <v>Gladi Ducker</v>
      </c>
      <c r="G503" s="2" t="str">
        <f>IF(_xlfn.XLOOKUP(C503,customers!$A$1:$A$1001,customers!$C$1:$C$1001,,0)=0,"",_xlfn.XLOOKUP(C503,customers!$A$1:$A$1001,customers!$C$1:$C$1001,,0))</f>
        <v>gduckerdx@patch.com</v>
      </c>
      <c r="H503" s="2" t="str">
        <f>_xlfn.XLOOKUP(C503,customers!$A$1:$A$1001,customers!$G$1:$G$1001,,0)</f>
        <v>United Kingdom</v>
      </c>
      <c r="I503" t="str">
        <f>INDEX(products!$A$1:$G$49,MATCH(orders!$D503,products!$A$1:$A$49,0),MATCH(orders!I$1,products!$A$1:$G$1,0))</f>
        <v>Rob</v>
      </c>
      <c r="J503" t="str">
        <f>INDEX(products!$A$1:$G$49,MATCH(orders!$D503,products!$A$1:$A$49,0),MATCH(orders!J$1,products!$A$1:$G$1,0))</f>
        <v>M</v>
      </c>
      <c r="K503" s="7">
        <f>INDEX(products!$A$1:$G$49,MATCH(orders!$D503,products!$A$1:$A$49,0),MATCH(orders!K$1,products!$A$1:$G$1,0))</f>
        <v>0.2</v>
      </c>
      <c r="L503" s="4">
        <f>INDEX(products!$A$1:$G$49,MATCH(orders!$D503,products!$A$1:$A$49,0),MATCH(orders!L$1,products!$A$1:$G$1,0))</f>
        <v>2.9849999999999999</v>
      </c>
      <c r="M503" s="4">
        <f t="shared" si="7"/>
        <v>11.94</v>
      </c>
      <c r="N503" t="str" cm="1">
        <f t="array" ref="N503">_xlfn.IFS(I503="Rob","Robusta",I503="Exc","Excelsa",I503="Ara","Arabica",I503="Lib","Liberica")</f>
        <v>Robusta</v>
      </c>
      <c r="O503" t="str" cm="1">
        <f t="array" ref="O503">_xlfn.IFS(J503="M","Medium",J503="L","Large",J503="D","Dark")</f>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_xlfn.XLOOKUP(C504,customers!$A$1:$A$1001,customers!$B$1:$B$1001,,0)</f>
        <v>Gladi Ducker</v>
      </c>
      <c r="G504" s="2" t="str">
        <f>IF(_xlfn.XLOOKUP(C504,customers!$A$1:$A$1001,customers!$C$1:$C$1001,,0)=0,"",_xlfn.XLOOKUP(C504,customers!$A$1:$A$1001,customers!$C$1:$C$1001,,0))</f>
        <v>gduckerdx@patch.com</v>
      </c>
      <c r="H504" s="2" t="str">
        <f>_xlfn.XLOOKUP(C504,customers!$A$1:$A$1001,customers!$G$1:$G$1001,,0)</f>
        <v>United Kingdom</v>
      </c>
      <c r="I504" t="str">
        <f>INDEX(products!$A$1:$G$49,MATCH(orders!$D504,products!$A$1:$A$49,0),MATCH(orders!I$1,products!$A$1:$G$1,0))</f>
        <v>Exc</v>
      </c>
      <c r="J504" t="str">
        <f>INDEX(products!$A$1:$G$49,MATCH(orders!$D504,products!$A$1:$A$49,0),MATCH(orders!J$1,products!$A$1:$G$1,0))</f>
        <v>M</v>
      </c>
      <c r="K504" s="7">
        <f>INDEX(products!$A$1:$G$49,MATCH(orders!$D504,products!$A$1:$A$49,0),MATCH(orders!K$1,products!$A$1:$G$1,0))</f>
        <v>0.2</v>
      </c>
      <c r="L504" s="4">
        <f>INDEX(products!$A$1:$G$49,MATCH(orders!$D504,products!$A$1:$A$49,0),MATCH(orders!L$1,products!$A$1:$G$1,0))</f>
        <v>4.125</v>
      </c>
      <c r="M504" s="4">
        <f t="shared" si="7"/>
        <v>16.5</v>
      </c>
      <c r="N504" t="str" cm="1">
        <f t="array" ref="N504">_xlfn.IFS(I504="Rob","Robusta",I504="Exc","Excelsa",I504="Ara","Arabica",I504="Lib","Liberica")</f>
        <v>Excelsa</v>
      </c>
      <c r="O504" t="str" cm="1">
        <f t="array" ref="O504">_xlfn.IFS(J504="M","Medium",J504="L","Large",J504="D","Dark")</f>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_xlfn.XLOOKUP(C505,customers!$A$1:$A$1001,customers!$B$1:$B$1001,,0)</f>
        <v>Gladi Ducker</v>
      </c>
      <c r="G505" s="2" t="str">
        <f>IF(_xlfn.XLOOKUP(C505,customers!$A$1:$A$1001,customers!$C$1:$C$1001,,0)=0,"",_xlfn.XLOOKUP(C505,customers!$A$1:$A$1001,customers!$C$1:$C$1001,,0))</f>
        <v>gduckerdx@patch.com</v>
      </c>
      <c r="H505" s="2" t="str">
        <f>_xlfn.XLOOKUP(C505,customers!$A$1:$A$1001,customers!$G$1:$G$1001,,0)</f>
        <v>United Kingdom</v>
      </c>
      <c r="I505" t="str">
        <f>INDEX(products!$A$1:$G$49,MATCH(orders!$D505,products!$A$1:$A$49,0),MATCH(orders!I$1,products!$A$1:$G$1,0))</f>
        <v>Lib</v>
      </c>
      <c r="J505" t="str">
        <f>INDEX(products!$A$1:$G$49,MATCH(orders!$D505,products!$A$1:$A$49,0),MATCH(orders!J$1,products!$A$1:$G$1,0))</f>
        <v>D</v>
      </c>
      <c r="K505" s="7">
        <f>INDEX(products!$A$1:$G$49,MATCH(orders!$D505,products!$A$1:$A$49,0),MATCH(orders!K$1,products!$A$1:$G$1,0))</f>
        <v>1</v>
      </c>
      <c r="L505" s="4">
        <f>INDEX(products!$A$1:$G$49,MATCH(orders!$D505,products!$A$1:$A$49,0),MATCH(orders!L$1,products!$A$1:$G$1,0))</f>
        <v>12.95</v>
      </c>
      <c r="M505" s="4">
        <f t="shared" si="7"/>
        <v>51.8</v>
      </c>
      <c r="N505" t="str" cm="1">
        <f t="array" ref="N505">_xlfn.IFS(I505="Rob","Robusta",I505="Exc","Excelsa",I505="Ara","Arabica",I505="Lib","Liberica")</f>
        <v>Liberica</v>
      </c>
      <c r="O505" t="str" cm="1">
        <f t="array" ref="O505">_xlfn.IFS(J505="M","Medium",J505="L","Large",J505="D","Dark")</f>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_xlfn.XLOOKUP(C506,customers!$A$1:$A$1001,customers!$B$1:$B$1001,,0)</f>
        <v>Gladi Ducker</v>
      </c>
      <c r="G506" s="2" t="str">
        <f>IF(_xlfn.XLOOKUP(C506,customers!$A$1:$A$1001,customers!$C$1:$C$1001,,0)=0,"",_xlfn.XLOOKUP(C506,customers!$A$1:$A$1001,customers!$C$1:$C$1001,,0))</f>
        <v>gduckerdx@patch.com</v>
      </c>
      <c r="H506" s="2" t="str">
        <f>_xlfn.XLOOKUP(C506,customers!$A$1:$A$1001,customers!$G$1:$G$1001,,0)</f>
        <v>United Kingdom</v>
      </c>
      <c r="I506" t="str">
        <f>INDEX(products!$A$1:$G$49,MATCH(orders!$D506,products!$A$1:$A$49,0),MATCH(orders!I$1,products!$A$1:$G$1,0))</f>
        <v>Lib</v>
      </c>
      <c r="J506" t="str">
        <f>INDEX(products!$A$1:$G$49,MATCH(orders!$D506,products!$A$1:$A$49,0),MATCH(orders!J$1,products!$A$1:$G$1,0))</f>
        <v>L</v>
      </c>
      <c r="K506" s="7">
        <f>INDEX(products!$A$1:$G$49,MATCH(orders!$D506,products!$A$1:$A$49,0),MATCH(orders!K$1,products!$A$1:$G$1,0))</f>
        <v>0.2</v>
      </c>
      <c r="L506" s="4">
        <f>INDEX(products!$A$1:$G$49,MATCH(orders!$D506,products!$A$1:$A$49,0),MATCH(orders!L$1,products!$A$1:$G$1,0))</f>
        <v>4.7549999999999999</v>
      </c>
      <c r="M506" s="4">
        <f t="shared" si="7"/>
        <v>14.265000000000001</v>
      </c>
      <c r="N506" t="str" cm="1">
        <f t="array" ref="N506">_xlfn.IFS(I506="Rob","Robusta",I506="Exc","Excelsa",I506="Ara","Arabica",I506="Lib","Liberica")</f>
        <v>Liberica</v>
      </c>
      <c r="O506" t="str" cm="1">
        <f t="array" ref="O506">_xlfn.IFS(J506="M","Medium",J506="L","Large",J506="D","Dark")</f>
        <v>Large</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_xlfn.XLOOKUP(C507,customers!$A$1:$A$1001,customers!$B$1:$B$1001,,0)</f>
        <v>Wain Stearley</v>
      </c>
      <c r="G507" s="2" t="str">
        <f>IF(_xlfn.XLOOKUP(C507,customers!$A$1:$A$1001,customers!$C$1:$C$1001,,0)=0,"",_xlfn.XLOOKUP(C507,customers!$A$1:$A$1001,customers!$C$1:$C$1001,,0))</f>
        <v>wstearleye1@census.gov</v>
      </c>
      <c r="H507" s="2" t="str">
        <f>_xlfn.XLOOKUP(C507,customers!$A$1:$A$1001,customers!$G$1:$G$1001,,0)</f>
        <v>United States</v>
      </c>
      <c r="I507" t="str">
        <f>INDEX(products!$A$1:$G$49,MATCH(orders!$D507,products!$A$1:$A$49,0),MATCH(orders!I$1,products!$A$1:$G$1,0))</f>
        <v>Lib</v>
      </c>
      <c r="J507" t="str">
        <f>INDEX(products!$A$1:$G$49,MATCH(orders!$D507,products!$A$1:$A$49,0),MATCH(orders!J$1,products!$A$1:$G$1,0))</f>
        <v>M</v>
      </c>
      <c r="K507" s="7">
        <f>INDEX(products!$A$1:$G$49,MATCH(orders!$D507,products!$A$1:$A$49,0),MATCH(orders!K$1,products!$A$1:$G$1,0))</f>
        <v>0.2</v>
      </c>
      <c r="L507" s="4">
        <f>INDEX(products!$A$1:$G$49,MATCH(orders!$D507,products!$A$1:$A$49,0),MATCH(orders!L$1,products!$A$1:$G$1,0))</f>
        <v>4.3650000000000002</v>
      </c>
      <c r="M507" s="4">
        <f t="shared" si="7"/>
        <v>26.19</v>
      </c>
      <c r="N507" t="str" cm="1">
        <f t="array" ref="N507">_xlfn.IFS(I507="Rob","Robusta",I507="Exc","Excelsa",I507="Ara","Arabica",I507="Lib","Liberica")</f>
        <v>Liberica</v>
      </c>
      <c r="O507" t="str" cm="1">
        <f t="array" ref="O507">_xlfn.IFS(J507="M","Medium",J507="L","Large",J507="D","Dark")</f>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_xlfn.XLOOKUP(C508,customers!$A$1:$A$1001,customers!$B$1:$B$1001,,0)</f>
        <v>Diane-marie Wincer</v>
      </c>
      <c r="G508" s="2" t="str">
        <f>IF(_xlfn.XLOOKUP(C508,customers!$A$1:$A$1001,customers!$C$1:$C$1001,,0)=0,"",_xlfn.XLOOKUP(C508,customers!$A$1:$A$1001,customers!$C$1:$C$1001,,0))</f>
        <v>dwincere2@marriott.com</v>
      </c>
      <c r="H508" s="2" t="str">
        <f>_xlfn.XLOOKUP(C508,customers!$A$1:$A$1001,customers!$G$1:$G$1001,,0)</f>
        <v>United States</v>
      </c>
      <c r="I508" t="str">
        <f>INDEX(products!$A$1:$G$49,MATCH(orders!$D508,products!$A$1:$A$49,0),MATCH(orders!I$1,products!$A$1:$G$1,0))</f>
        <v>Ara</v>
      </c>
      <c r="J508" t="str">
        <f>INDEX(products!$A$1:$G$49,MATCH(orders!$D508,products!$A$1:$A$49,0),MATCH(orders!J$1,products!$A$1:$G$1,0))</f>
        <v>L</v>
      </c>
      <c r="K508" s="7">
        <f>INDEX(products!$A$1:$G$49,MATCH(orders!$D508,products!$A$1:$A$49,0),MATCH(orders!K$1,products!$A$1:$G$1,0))</f>
        <v>1</v>
      </c>
      <c r="L508" s="4">
        <f>INDEX(products!$A$1:$G$49,MATCH(orders!$D508,products!$A$1:$A$49,0),MATCH(orders!L$1,products!$A$1:$G$1,0))</f>
        <v>12.95</v>
      </c>
      <c r="M508" s="4">
        <f t="shared" si="7"/>
        <v>25.9</v>
      </c>
      <c r="N508" t="str" cm="1">
        <f t="array" ref="N508">_xlfn.IFS(I508="Rob","Robusta",I508="Exc","Excelsa",I508="Ara","Arabica",I508="Lib","Liberica")</f>
        <v>Arabica</v>
      </c>
      <c r="O508" t="str" cm="1">
        <f t="array" ref="O508">_xlfn.IFS(J508="M","Medium",J508="L","Large",J508="D","Dark")</f>
        <v>Large</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_xlfn.XLOOKUP(C509,customers!$A$1:$A$1001,customers!$B$1:$B$1001,,0)</f>
        <v>Perry Lyfield</v>
      </c>
      <c r="G509" s="2" t="str">
        <f>IF(_xlfn.XLOOKUP(C509,customers!$A$1:$A$1001,customers!$C$1:$C$1001,,0)=0,"",_xlfn.XLOOKUP(C509,customers!$A$1:$A$1001,customers!$C$1:$C$1001,,0))</f>
        <v>plyfielde3@baidu.com</v>
      </c>
      <c r="H509" s="2" t="str">
        <f>_xlfn.XLOOKUP(C509,customers!$A$1:$A$1001,customers!$G$1:$G$1001,,0)</f>
        <v>United States</v>
      </c>
      <c r="I509" t="str">
        <f>INDEX(products!$A$1:$G$49,MATCH(orders!$D509,products!$A$1:$A$49,0),MATCH(orders!I$1,products!$A$1:$G$1,0))</f>
        <v>Ara</v>
      </c>
      <c r="J509" t="str">
        <f>INDEX(products!$A$1:$G$49,MATCH(orders!$D509,products!$A$1:$A$49,0),MATCH(orders!J$1,products!$A$1:$G$1,0))</f>
        <v>L</v>
      </c>
      <c r="K509" s="7">
        <f>INDEX(products!$A$1:$G$49,MATCH(orders!$D509,products!$A$1:$A$49,0),MATCH(orders!K$1,products!$A$1:$G$1,0))</f>
        <v>2.5</v>
      </c>
      <c r="L509" s="4">
        <f>INDEX(products!$A$1:$G$49,MATCH(orders!$D509,products!$A$1:$A$49,0),MATCH(orders!L$1,products!$A$1:$G$1,0))</f>
        <v>29.784999999999997</v>
      </c>
      <c r="M509" s="4">
        <f t="shared" si="7"/>
        <v>89.35499999999999</v>
      </c>
      <c r="N509" t="str" cm="1">
        <f t="array" ref="N509">_xlfn.IFS(I509="Rob","Robusta",I509="Exc","Excelsa",I509="Ara","Arabica",I509="Lib","Liberica")</f>
        <v>Arabica</v>
      </c>
      <c r="O509" t="str" cm="1">
        <f t="array" ref="O509">_xlfn.IFS(J509="M","Medium",J509="L","Large",J509="D","Dark")</f>
        <v>Large</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_xlfn.XLOOKUP(C510,customers!$A$1:$A$1001,customers!$B$1:$B$1001,,0)</f>
        <v>Heall Perris</v>
      </c>
      <c r="G510" s="2" t="str">
        <f>IF(_xlfn.XLOOKUP(C510,customers!$A$1:$A$1001,customers!$C$1:$C$1001,,0)=0,"",_xlfn.XLOOKUP(C510,customers!$A$1:$A$1001,customers!$C$1:$C$1001,,0))</f>
        <v>hperrise4@studiopress.com</v>
      </c>
      <c r="H510" s="2" t="str">
        <f>_xlfn.XLOOKUP(C510,customers!$A$1:$A$1001,customers!$G$1:$G$1001,,0)</f>
        <v>Ireland</v>
      </c>
      <c r="I510" t="str">
        <f>INDEX(products!$A$1:$G$49,MATCH(orders!$D510,products!$A$1:$A$49,0),MATCH(orders!I$1,products!$A$1:$G$1,0))</f>
        <v>Lib</v>
      </c>
      <c r="J510" t="str">
        <f>INDEX(products!$A$1:$G$49,MATCH(orders!$D510,products!$A$1:$A$49,0),MATCH(orders!J$1,products!$A$1:$G$1,0))</f>
        <v>D</v>
      </c>
      <c r="K510" s="7">
        <f>INDEX(products!$A$1:$G$49,MATCH(orders!$D510,products!$A$1:$A$49,0),MATCH(orders!K$1,products!$A$1:$G$1,0))</f>
        <v>0.5</v>
      </c>
      <c r="L510" s="4">
        <f>INDEX(products!$A$1:$G$49,MATCH(orders!$D510,products!$A$1:$A$49,0),MATCH(orders!L$1,products!$A$1:$G$1,0))</f>
        <v>7.77</v>
      </c>
      <c r="M510" s="4">
        <f t="shared" si="7"/>
        <v>46.62</v>
      </c>
      <c r="N510" t="str" cm="1">
        <f t="array" ref="N510">_xlfn.IFS(I510="Rob","Robusta",I510="Exc","Excelsa",I510="Ara","Arabica",I510="Lib","Liberica")</f>
        <v>Liberica</v>
      </c>
      <c r="O510" t="str" cm="1">
        <f t="array" ref="O510">_xlfn.IFS(J510="M","Medium",J510="L","Large",J510="D","Dark")</f>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_xlfn.XLOOKUP(C511,customers!$A$1:$A$1001,customers!$B$1:$B$1001,,0)</f>
        <v>Marja Urion</v>
      </c>
      <c r="G511" s="2" t="str">
        <f>IF(_xlfn.XLOOKUP(C511,customers!$A$1:$A$1001,customers!$C$1:$C$1001,,0)=0,"",_xlfn.XLOOKUP(C511,customers!$A$1:$A$1001,customers!$C$1:$C$1001,,0))</f>
        <v>murione5@alexa.com</v>
      </c>
      <c r="H511" s="2" t="str">
        <f>_xlfn.XLOOKUP(C511,customers!$A$1:$A$1001,customers!$G$1:$G$1001,,0)</f>
        <v>Ireland</v>
      </c>
      <c r="I511" t="str">
        <f>INDEX(products!$A$1:$G$49,MATCH(orders!$D511,products!$A$1:$A$49,0),MATCH(orders!I$1,products!$A$1:$G$1,0))</f>
        <v>Ara</v>
      </c>
      <c r="J511" t="str">
        <f>INDEX(products!$A$1:$G$49,MATCH(orders!$D511,products!$A$1:$A$49,0),MATCH(orders!J$1,products!$A$1:$G$1,0))</f>
        <v>D</v>
      </c>
      <c r="K511" s="7">
        <f>INDEX(products!$A$1:$G$49,MATCH(orders!$D511,products!$A$1:$A$49,0),MATCH(orders!K$1,products!$A$1:$G$1,0))</f>
        <v>1</v>
      </c>
      <c r="L511" s="4">
        <f>INDEX(products!$A$1:$G$49,MATCH(orders!$D511,products!$A$1:$A$49,0),MATCH(orders!L$1,products!$A$1:$G$1,0))</f>
        <v>9.9499999999999993</v>
      </c>
      <c r="M511" s="4">
        <f t="shared" si="7"/>
        <v>29.849999999999998</v>
      </c>
      <c r="N511" t="str" cm="1">
        <f t="array" ref="N511">_xlfn.IFS(I511="Rob","Robusta",I511="Exc","Excelsa",I511="Ara","Arabica",I511="Lib","Liberica")</f>
        <v>Arabica</v>
      </c>
      <c r="O511" t="str" cm="1">
        <f t="array" ref="O511">_xlfn.IFS(J511="M","Medium",J511="L","Large",J511="D","Dark")</f>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_xlfn.XLOOKUP(C512,customers!$A$1:$A$1001,customers!$B$1:$B$1001,,0)</f>
        <v>Camellia Kid</v>
      </c>
      <c r="G512" s="2" t="str">
        <f>IF(_xlfn.XLOOKUP(C512,customers!$A$1:$A$1001,customers!$C$1:$C$1001,,0)=0,"",_xlfn.XLOOKUP(C512,customers!$A$1:$A$1001,customers!$C$1:$C$1001,,0))</f>
        <v>ckide6@narod.ru</v>
      </c>
      <c r="H512" s="2" t="str">
        <f>_xlfn.XLOOKUP(C512,customers!$A$1:$A$1001,customers!$G$1:$G$1001,,0)</f>
        <v>Ireland</v>
      </c>
      <c r="I512" t="str">
        <f>INDEX(products!$A$1:$G$49,MATCH(orders!$D512,products!$A$1:$A$49,0),MATCH(orders!I$1,products!$A$1:$G$1,0))</f>
        <v>Rob</v>
      </c>
      <c r="J512" t="str">
        <f>INDEX(products!$A$1:$G$49,MATCH(orders!$D512,products!$A$1:$A$49,0),MATCH(orders!J$1,products!$A$1:$G$1,0))</f>
        <v>L</v>
      </c>
      <c r="K512" s="7">
        <f>INDEX(products!$A$1:$G$49,MATCH(orders!$D512,products!$A$1:$A$49,0),MATCH(orders!K$1,products!$A$1:$G$1,0))</f>
        <v>0.2</v>
      </c>
      <c r="L512" s="4">
        <f>INDEX(products!$A$1:$G$49,MATCH(orders!$D512,products!$A$1:$A$49,0),MATCH(orders!L$1,products!$A$1:$G$1,0))</f>
        <v>3.5849999999999995</v>
      </c>
      <c r="M512" s="4">
        <f t="shared" si="7"/>
        <v>10.754999999999999</v>
      </c>
      <c r="N512" t="str" cm="1">
        <f t="array" ref="N512">_xlfn.IFS(I512="Rob","Robusta",I512="Exc","Excelsa",I512="Ara","Arabica",I512="Lib","Liberica")</f>
        <v>Robusta</v>
      </c>
      <c r="O512" t="str" cm="1">
        <f t="array" ref="O512">_xlfn.IFS(J512="M","Medium",J512="L","Large",J512="D","Dark")</f>
        <v>Large</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_xlfn.XLOOKUP(C513,customers!$A$1:$A$1001,customers!$B$1:$B$1001,,0)</f>
        <v>Carolann Beine</v>
      </c>
      <c r="G513" s="2" t="str">
        <f>IF(_xlfn.XLOOKUP(C513,customers!$A$1:$A$1001,customers!$C$1:$C$1001,,0)=0,"",_xlfn.XLOOKUP(C513,customers!$A$1:$A$1001,customers!$C$1:$C$1001,,0))</f>
        <v>cbeinee7@xinhuanet.com</v>
      </c>
      <c r="H513" s="2" t="str">
        <f>_xlfn.XLOOKUP(C513,customers!$A$1:$A$1001,customers!$G$1:$G$1001,,0)</f>
        <v>United States</v>
      </c>
      <c r="I513" t="str">
        <f>INDEX(products!$A$1:$G$49,MATCH(orders!$D513,products!$A$1:$A$49,0),MATCH(orders!I$1,products!$A$1:$G$1,0))</f>
        <v>Ara</v>
      </c>
      <c r="J513" t="str">
        <f>INDEX(products!$A$1:$G$49,MATCH(orders!$D513,products!$A$1:$A$49,0),MATCH(orders!J$1,products!$A$1:$G$1,0))</f>
        <v>M</v>
      </c>
      <c r="K513" s="7">
        <f>INDEX(products!$A$1:$G$49,MATCH(orders!$D513,products!$A$1:$A$49,0),MATCH(orders!K$1,products!$A$1:$G$1,0))</f>
        <v>0.2</v>
      </c>
      <c r="L513" s="4">
        <f>INDEX(products!$A$1:$G$49,MATCH(orders!$D513,products!$A$1:$A$49,0),MATCH(orders!L$1,products!$A$1:$G$1,0))</f>
        <v>3.375</v>
      </c>
      <c r="M513" s="4">
        <f t="shared" si="7"/>
        <v>13.5</v>
      </c>
      <c r="N513" t="str" cm="1">
        <f t="array" ref="N513">_xlfn.IFS(I513="Rob","Robusta",I513="Exc","Excelsa",I513="Ara","Arabica",I513="Lib","Liberica")</f>
        <v>Arabica</v>
      </c>
      <c r="O513" t="str" cm="1">
        <f t="array" ref="O513">_xlfn.IFS(J513="M","Medium",J513="L","Large",J513="D","Dark")</f>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_xlfn.XLOOKUP(C514,customers!$A$1:$A$1001,customers!$B$1:$B$1001,,0)</f>
        <v>Celia Bakeup</v>
      </c>
      <c r="G514" s="2" t="str">
        <f>IF(_xlfn.XLOOKUP(C514,customers!$A$1:$A$1001,customers!$C$1:$C$1001,,0)=0,"",_xlfn.XLOOKUP(C514,customers!$A$1:$A$1001,customers!$C$1:$C$1001,,0))</f>
        <v>cbakeupe8@globo.com</v>
      </c>
      <c r="H514" s="2" t="str">
        <f>_xlfn.XLOOKUP(C514,customers!$A$1:$A$1001,customers!$G$1:$G$1001,,0)</f>
        <v>United States</v>
      </c>
      <c r="I514" t="str">
        <f>INDEX(products!$A$1:$G$49,MATCH(orders!$D514,products!$A$1:$A$49,0),MATCH(orders!I$1,products!$A$1:$G$1,0))</f>
        <v>Lib</v>
      </c>
      <c r="J514" t="str">
        <f>INDEX(products!$A$1:$G$49,MATCH(orders!$D514,products!$A$1:$A$49,0),MATCH(orders!J$1,products!$A$1:$G$1,0))</f>
        <v>L</v>
      </c>
      <c r="K514" s="7">
        <f>INDEX(products!$A$1:$G$49,MATCH(orders!$D514,products!$A$1:$A$49,0),MATCH(orders!K$1,products!$A$1:$G$1,0))</f>
        <v>1</v>
      </c>
      <c r="L514" s="4">
        <f>INDEX(products!$A$1:$G$49,MATCH(orders!$D514,products!$A$1:$A$49,0),MATCH(orders!L$1,products!$A$1:$G$1,0))</f>
        <v>15.85</v>
      </c>
      <c r="M514" s="4">
        <f t="shared" si="7"/>
        <v>47.55</v>
      </c>
      <c r="N514" t="str" cm="1">
        <f t="array" ref="N514">_xlfn.IFS(I514="Rob","Robusta",I514="Exc","Excelsa",I514="Ara","Arabica",I514="Lib","Liberica")</f>
        <v>Liberica</v>
      </c>
      <c r="O514" t="str" cm="1">
        <f t="array" ref="O514">_xlfn.IFS(J514="M","Medium",J514="L","Large",J514="D","Dark")</f>
        <v>Large</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_xlfn.XLOOKUP(C515,customers!$A$1:$A$1001,customers!$B$1:$B$1001,,0)</f>
        <v>Nataniel Helkin</v>
      </c>
      <c r="G515" s="2" t="str">
        <f>IF(_xlfn.XLOOKUP(C515,customers!$A$1:$A$1001,customers!$C$1:$C$1001,,0)=0,"",_xlfn.XLOOKUP(C515,customers!$A$1:$A$1001,customers!$C$1:$C$1001,,0))</f>
        <v>nhelkine9@example.com</v>
      </c>
      <c r="H515" s="2" t="str">
        <f>_xlfn.XLOOKUP(C515,customers!$A$1:$A$1001,customers!$G$1:$G$1001,,0)</f>
        <v>United States</v>
      </c>
      <c r="I515" t="str">
        <f>INDEX(products!$A$1:$G$49,MATCH(orders!$D515,products!$A$1:$A$49,0),MATCH(orders!I$1,products!$A$1:$G$1,0))</f>
        <v>Lib</v>
      </c>
      <c r="J515" t="str">
        <f>INDEX(products!$A$1:$G$49,MATCH(orders!$D515,products!$A$1:$A$49,0),MATCH(orders!J$1,products!$A$1:$G$1,0))</f>
        <v>L</v>
      </c>
      <c r="K515" s="7">
        <f>INDEX(products!$A$1:$G$49,MATCH(orders!$D515,products!$A$1:$A$49,0),MATCH(orders!K$1,products!$A$1:$G$1,0))</f>
        <v>1</v>
      </c>
      <c r="L515" s="4">
        <f>INDEX(products!$A$1:$G$49,MATCH(orders!$D515,products!$A$1:$A$49,0),MATCH(orders!L$1,products!$A$1:$G$1,0))</f>
        <v>15.85</v>
      </c>
      <c r="M515" s="4">
        <f t="shared" ref="M515:M578" si="8">L515*E515</f>
        <v>79.25</v>
      </c>
      <c r="N515" t="str" cm="1">
        <f t="array" ref="N515">_xlfn.IFS(I515="Rob","Robusta",I515="Exc","Excelsa",I515="Ara","Arabica",I515="Lib","Liberica")</f>
        <v>Liberica</v>
      </c>
      <c r="O515" t="str" cm="1">
        <f t="array" ref="O515">_xlfn.IFS(J515="M","Medium",J515="L","Large",J515="D","Dark")</f>
        <v>Large</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_xlfn.XLOOKUP(C516,customers!$A$1:$A$1001,customers!$B$1:$B$1001,,0)</f>
        <v>Pippo Witherington</v>
      </c>
      <c r="G516" s="2" t="str">
        <f>IF(_xlfn.XLOOKUP(C516,customers!$A$1:$A$1001,customers!$C$1:$C$1001,,0)=0,"",_xlfn.XLOOKUP(C516,customers!$A$1:$A$1001,customers!$C$1:$C$1001,,0))</f>
        <v>pwitheringtonea@networkadvertising.org</v>
      </c>
      <c r="H516" s="2" t="str">
        <f>_xlfn.XLOOKUP(C516,customers!$A$1:$A$1001,customers!$G$1:$G$1001,,0)</f>
        <v>United States</v>
      </c>
      <c r="I516" t="str">
        <f>INDEX(products!$A$1:$G$49,MATCH(orders!$D516,products!$A$1:$A$49,0),MATCH(orders!I$1,products!$A$1:$G$1,0))</f>
        <v>Lib</v>
      </c>
      <c r="J516" t="str">
        <f>INDEX(products!$A$1:$G$49,MATCH(orders!$D516,products!$A$1:$A$49,0),MATCH(orders!J$1,products!$A$1:$G$1,0))</f>
        <v>M</v>
      </c>
      <c r="K516" s="7">
        <f>INDEX(products!$A$1:$G$49,MATCH(orders!$D516,products!$A$1:$A$49,0),MATCH(orders!K$1,products!$A$1:$G$1,0))</f>
        <v>0.2</v>
      </c>
      <c r="L516" s="4">
        <f>INDEX(products!$A$1:$G$49,MATCH(orders!$D516,products!$A$1:$A$49,0),MATCH(orders!L$1,products!$A$1:$G$1,0))</f>
        <v>4.3650000000000002</v>
      </c>
      <c r="M516" s="4">
        <f t="shared" si="8"/>
        <v>26.19</v>
      </c>
      <c r="N516" t="str" cm="1">
        <f t="array" ref="N516">_xlfn.IFS(I516="Rob","Robusta",I516="Exc","Excelsa",I516="Ara","Arabica",I516="Lib","Liberica")</f>
        <v>Liberica</v>
      </c>
      <c r="O516" t="str" cm="1">
        <f t="array" ref="O516">_xlfn.IFS(J516="M","Medium",J516="L","Large",J516="D","Dark")</f>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_xlfn.XLOOKUP(C517,customers!$A$1:$A$1001,customers!$B$1:$B$1001,,0)</f>
        <v>Tildie Tilzey</v>
      </c>
      <c r="G517" s="2" t="str">
        <f>IF(_xlfn.XLOOKUP(C517,customers!$A$1:$A$1001,customers!$C$1:$C$1001,,0)=0,"",_xlfn.XLOOKUP(C517,customers!$A$1:$A$1001,customers!$C$1:$C$1001,,0))</f>
        <v>ttilzeyeb@hostgator.com</v>
      </c>
      <c r="H517" s="2" t="str">
        <f>_xlfn.XLOOKUP(C517,customers!$A$1:$A$1001,customers!$G$1:$G$1001,,0)</f>
        <v>United States</v>
      </c>
      <c r="I517" t="str">
        <f>INDEX(products!$A$1:$G$49,MATCH(orders!$D517,products!$A$1:$A$49,0),MATCH(orders!I$1,products!$A$1:$G$1,0))</f>
        <v>Rob</v>
      </c>
      <c r="J517" t="str">
        <f>INDEX(products!$A$1:$G$49,MATCH(orders!$D517,products!$A$1:$A$49,0),MATCH(orders!J$1,products!$A$1:$G$1,0))</f>
        <v>L</v>
      </c>
      <c r="K517" s="7">
        <f>INDEX(products!$A$1:$G$49,MATCH(orders!$D517,products!$A$1:$A$49,0),MATCH(orders!K$1,products!$A$1:$G$1,0))</f>
        <v>0.5</v>
      </c>
      <c r="L517" s="4">
        <f>INDEX(products!$A$1:$G$49,MATCH(orders!$D517,products!$A$1:$A$49,0),MATCH(orders!L$1,products!$A$1:$G$1,0))</f>
        <v>7.169999999999999</v>
      </c>
      <c r="M517" s="4">
        <f t="shared" si="8"/>
        <v>21.509999999999998</v>
      </c>
      <c r="N517" t="str" cm="1">
        <f t="array" ref="N517">_xlfn.IFS(I517="Rob","Robusta",I517="Exc","Excelsa",I517="Ara","Arabica",I517="Lib","Liberica")</f>
        <v>Robusta</v>
      </c>
      <c r="O517" t="str" cm="1">
        <f t="array" ref="O517">_xlfn.IFS(J517="M","Medium",J517="L","Large",J517="D","Dark")</f>
        <v>Large</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_xlfn.XLOOKUP(C518,customers!$A$1:$A$1001,customers!$B$1:$B$1001,,0)</f>
        <v>Cindra Burling</v>
      </c>
      <c r="G518" s="2" t="str">
        <f>IF(_xlfn.XLOOKUP(C518,customers!$A$1:$A$1001,customers!$C$1:$C$1001,,0)=0,"",_xlfn.XLOOKUP(C518,customers!$A$1:$A$1001,customers!$C$1:$C$1001,,0))</f>
        <v/>
      </c>
      <c r="H518" s="2" t="str">
        <f>_xlfn.XLOOKUP(C518,customers!$A$1:$A$1001,customers!$G$1:$G$1001,,0)</f>
        <v>United States</v>
      </c>
      <c r="I518" t="str">
        <f>INDEX(products!$A$1:$G$49,MATCH(orders!$D518,products!$A$1:$A$49,0),MATCH(orders!I$1,products!$A$1:$G$1,0))</f>
        <v>Rob</v>
      </c>
      <c r="J518" t="str">
        <f>INDEX(products!$A$1:$G$49,MATCH(orders!$D518,products!$A$1:$A$49,0),MATCH(orders!J$1,products!$A$1:$G$1,0))</f>
        <v>D</v>
      </c>
      <c r="K518" s="7">
        <f>INDEX(products!$A$1:$G$49,MATCH(orders!$D518,products!$A$1:$A$49,0),MATCH(orders!K$1,products!$A$1:$G$1,0))</f>
        <v>2.5</v>
      </c>
      <c r="L518" s="4">
        <f>INDEX(products!$A$1:$G$49,MATCH(orders!$D518,products!$A$1:$A$49,0),MATCH(orders!L$1,products!$A$1:$G$1,0))</f>
        <v>20.584999999999997</v>
      </c>
      <c r="M518" s="4">
        <f t="shared" si="8"/>
        <v>102.92499999999998</v>
      </c>
      <c r="N518" t="str" cm="1">
        <f t="array" ref="N518">_xlfn.IFS(I518="Rob","Robusta",I518="Exc","Excelsa",I518="Ara","Arabica",I518="Lib","Liberica")</f>
        <v>Robusta</v>
      </c>
      <c r="O518" t="str" cm="1">
        <f t="array" ref="O518">_xlfn.IFS(J518="M","Medium",J518="L","Large",J518="D","Dark")</f>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_xlfn.XLOOKUP(C519,customers!$A$1:$A$1001,customers!$B$1:$B$1001,,0)</f>
        <v>Channa Belamy</v>
      </c>
      <c r="G519" s="2" t="str">
        <f>IF(_xlfn.XLOOKUP(C519,customers!$A$1:$A$1001,customers!$C$1:$C$1001,,0)=0,"",_xlfn.XLOOKUP(C519,customers!$A$1:$A$1001,customers!$C$1:$C$1001,,0))</f>
        <v/>
      </c>
      <c r="H519" s="2" t="str">
        <f>_xlfn.XLOOKUP(C519,customers!$A$1:$A$1001,customers!$G$1:$G$1001,,0)</f>
        <v>United States</v>
      </c>
      <c r="I519" t="str">
        <f>INDEX(products!$A$1:$G$49,MATCH(orders!$D519,products!$A$1:$A$49,0),MATCH(orders!I$1,products!$A$1:$G$1,0))</f>
        <v>Lib</v>
      </c>
      <c r="J519" t="str">
        <f>INDEX(products!$A$1:$G$49,MATCH(orders!$D519,products!$A$1:$A$49,0),MATCH(orders!J$1,products!$A$1:$G$1,0))</f>
        <v>D</v>
      </c>
      <c r="K519" s="7">
        <f>INDEX(products!$A$1:$G$49,MATCH(orders!$D519,products!$A$1:$A$49,0),MATCH(orders!K$1,products!$A$1:$G$1,0))</f>
        <v>0.2</v>
      </c>
      <c r="L519" s="4">
        <f>INDEX(products!$A$1:$G$49,MATCH(orders!$D519,products!$A$1:$A$49,0),MATCH(orders!L$1,products!$A$1:$G$1,0))</f>
        <v>3.8849999999999998</v>
      </c>
      <c r="M519" s="4">
        <f t="shared" si="8"/>
        <v>7.77</v>
      </c>
      <c r="N519" t="str" cm="1">
        <f t="array" ref="N519">_xlfn.IFS(I519="Rob","Robusta",I519="Exc","Excelsa",I519="Ara","Arabica",I519="Lib","Liberica")</f>
        <v>Liberica</v>
      </c>
      <c r="O519" t="str" cm="1">
        <f t="array" ref="O519">_xlfn.IFS(J519="M","Medium",J519="L","Large",J519="D","Dark")</f>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_xlfn.XLOOKUP(C520,customers!$A$1:$A$1001,customers!$B$1:$B$1001,,0)</f>
        <v>Karl Imorts</v>
      </c>
      <c r="G520" s="2" t="str">
        <f>IF(_xlfn.XLOOKUP(C520,customers!$A$1:$A$1001,customers!$C$1:$C$1001,,0)=0,"",_xlfn.XLOOKUP(C520,customers!$A$1:$A$1001,customers!$C$1:$C$1001,,0))</f>
        <v>kimortsee@alexa.com</v>
      </c>
      <c r="H520" s="2" t="str">
        <f>_xlfn.XLOOKUP(C520,customers!$A$1:$A$1001,customers!$G$1:$G$1001,,0)</f>
        <v>United States</v>
      </c>
      <c r="I520" t="str">
        <f>INDEX(products!$A$1:$G$49,MATCH(orders!$D520,products!$A$1:$A$49,0),MATCH(orders!I$1,products!$A$1:$G$1,0))</f>
        <v>Exc</v>
      </c>
      <c r="J520" t="str">
        <f>INDEX(products!$A$1:$G$49,MATCH(orders!$D520,products!$A$1:$A$49,0),MATCH(orders!J$1,products!$A$1:$G$1,0))</f>
        <v>D</v>
      </c>
      <c r="K520" s="7">
        <f>INDEX(products!$A$1:$G$49,MATCH(orders!$D520,products!$A$1:$A$49,0),MATCH(orders!K$1,products!$A$1:$G$1,0))</f>
        <v>2.5</v>
      </c>
      <c r="L520" s="4">
        <f>INDEX(products!$A$1:$G$49,MATCH(orders!$D520,products!$A$1:$A$49,0),MATCH(orders!L$1,products!$A$1:$G$1,0))</f>
        <v>27.945</v>
      </c>
      <c r="M520" s="4">
        <f t="shared" si="8"/>
        <v>139.72499999999999</v>
      </c>
      <c r="N520" t="str" cm="1">
        <f t="array" ref="N520">_xlfn.IFS(I520="Rob","Robusta",I520="Exc","Excelsa",I520="Ara","Arabica",I520="Lib","Liberica")</f>
        <v>Excelsa</v>
      </c>
      <c r="O520" t="str" cm="1">
        <f t="array" ref="O520">_xlfn.IFS(J520="M","Medium",J520="L","Large",J520="D","Dark")</f>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_xlfn.XLOOKUP(C521,customers!$A$1:$A$1001,customers!$B$1:$B$1001,,0)</f>
        <v>Marja Urion</v>
      </c>
      <c r="G521" s="2" t="str">
        <f>IF(_xlfn.XLOOKUP(C521,customers!$A$1:$A$1001,customers!$C$1:$C$1001,,0)=0,"",_xlfn.XLOOKUP(C521,customers!$A$1:$A$1001,customers!$C$1:$C$1001,,0))</f>
        <v>murione5@alexa.com</v>
      </c>
      <c r="H521" s="2" t="str">
        <f>_xlfn.XLOOKUP(C521,customers!$A$1:$A$1001,customers!$G$1:$G$1001,,0)</f>
        <v>Ireland</v>
      </c>
      <c r="I521" t="str">
        <f>INDEX(products!$A$1:$G$49,MATCH(orders!$D521,products!$A$1:$A$49,0),MATCH(orders!I$1,products!$A$1:$G$1,0))</f>
        <v>Ara</v>
      </c>
      <c r="J521" t="str">
        <f>INDEX(products!$A$1:$G$49,MATCH(orders!$D521,products!$A$1:$A$49,0),MATCH(orders!J$1,products!$A$1:$G$1,0))</f>
        <v>D</v>
      </c>
      <c r="K521" s="7">
        <f>INDEX(products!$A$1:$G$49,MATCH(orders!$D521,products!$A$1:$A$49,0),MATCH(orders!K$1,products!$A$1:$G$1,0))</f>
        <v>0.5</v>
      </c>
      <c r="L521" s="4">
        <f>INDEX(products!$A$1:$G$49,MATCH(orders!$D521,products!$A$1:$A$49,0),MATCH(orders!L$1,products!$A$1:$G$1,0))</f>
        <v>5.97</v>
      </c>
      <c r="M521" s="4">
        <f t="shared" si="8"/>
        <v>11.94</v>
      </c>
      <c r="N521" t="str" cm="1">
        <f t="array" ref="N521">_xlfn.IFS(I521="Rob","Robusta",I521="Exc","Excelsa",I521="Ara","Arabica",I521="Lib","Liberica")</f>
        <v>Arabica</v>
      </c>
      <c r="O521" t="str" cm="1">
        <f t="array" ref="O521">_xlfn.IFS(J521="M","Medium",J521="L","Large",J521="D","Dark")</f>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_xlfn.XLOOKUP(C522,customers!$A$1:$A$1001,customers!$B$1:$B$1001,,0)</f>
        <v>Mag Armistead</v>
      </c>
      <c r="G522" s="2" t="str">
        <f>IF(_xlfn.XLOOKUP(C522,customers!$A$1:$A$1001,customers!$C$1:$C$1001,,0)=0,"",_xlfn.XLOOKUP(C522,customers!$A$1:$A$1001,customers!$C$1:$C$1001,,0))</f>
        <v>marmisteadeg@blogtalkradio.com</v>
      </c>
      <c r="H522" s="2" t="str">
        <f>_xlfn.XLOOKUP(C522,customers!$A$1:$A$1001,customers!$G$1:$G$1001,,0)</f>
        <v>United States</v>
      </c>
      <c r="I522" t="str">
        <f>INDEX(products!$A$1:$G$49,MATCH(orders!$D522,products!$A$1:$A$49,0),MATCH(orders!I$1,products!$A$1:$G$1,0))</f>
        <v>Lib</v>
      </c>
      <c r="J522" t="str">
        <f>INDEX(products!$A$1:$G$49,MATCH(orders!$D522,products!$A$1:$A$49,0),MATCH(orders!J$1,products!$A$1:$G$1,0))</f>
        <v>D</v>
      </c>
      <c r="K522" s="7">
        <f>INDEX(products!$A$1:$G$49,MATCH(orders!$D522,products!$A$1:$A$49,0),MATCH(orders!K$1,products!$A$1:$G$1,0))</f>
        <v>0.2</v>
      </c>
      <c r="L522" s="4">
        <f>INDEX(products!$A$1:$G$49,MATCH(orders!$D522,products!$A$1:$A$49,0),MATCH(orders!L$1,products!$A$1:$G$1,0))</f>
        <v>3.8849999999999998</v>
      </c>
      <c r="M522" s="4">
        <f t="shared" si="8"/>
        <v>3.8849999999999998</v>
      </c>
      <c r="N522" t="str" cm="1">
        <f t="array" ref="N522">_xlfn.IFS(I522="Rob","Robusta",I522="Exc","Excelsa",I522="Ara","Arabica",I522="Lib","Liberica")</f>
        <v>Liberica</v>
      </c>
      <c r="O522" t="str" cm="1">
        <f t="array" ref="O522">_xlfn.IFS(J522="M","Medium",J522="L","Large",J522="D","Dark")</f>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_xlfn.XLOOKUP(C523,customers!$A$1:$A$1001,customers!$B$1:$B$1001,,0)</f>
        <v>Mag Armistead</v>
      </c>
      <c r="G523" s="2" t="str">
        <f>IF(_xlfn.XLOOKUP(C523,customers!$A$1:$A$1001,customers!$C$1:$C$1001,,0)=0,"",_xlfn.XLOOKUP(C523,customers!$A$1:$A$1001,customers!$C$1:$C$1001,,0))</f>
        <v>marmisteadeg@blogtalkradio.com</v>
      </c>
      <c r="H523" s="2" t="str">
        <f>_xlfn.XLOOKUP(C523,customers!$A$1:$A$1001,customers!$G$1:$G$1001,,0)</f>
        <v>United States</v>
      </c>
      <c r="I523" t="str">
        <f>INDEX(products!$A$1:$G$49,MATCH(orders!$D523,products!$A$1:$A$49,0),MATCH(orders!I$1,products!$A$1:$G$1,0))</f>
        <v>Rob</v>
      </c>
      <c r="J523" t="str">
        <f>INDEX(products!$A$1:$G$49,MATCH(orders!$D523,products!$A$1:$A$49,0),MATCH(orders!J$1,products!$A$1:$G$1,0))</f>
        <v>M</v>
      </c>
      <c r="K523" s="7">
        <f>INDEX(products!$A$1:$G$49,MATCH(orders!$D523,products!$A$1:$A$49,0),MATCH(orders!K$1,products!$A$1:$G$1,0))</f>
        <v>1</v>
      </c>
      <c r="L523" s="4">
        <f>INDEX(products!$A$1:$G$49,MATCH(orders!$D523,products!$A$1:$A$49,0),MATCH(orders!L$1,products!$A$1:$G$1,0))</f>
        <v>9.9499999999999993</v>
      </c>
      <c r="M523" s="4">
        <f t="shared" si="8"/>
        <v>39.799999999999997</v>
      </c>
      <c r="N523" t="str" cm="1">
        <f t="array" ref="N523">_xlfn.IFS(I523="Rob","Robusta",I523="Exc","Excelsa",I523="Ara","Arabica",I523="Lib","Liberica")</f>
        <v>Robusta</v>
      </c>
      <c r="O523" t="str" cm="1">
        <f t="array" ref="O523">_xlfn.IFS(J523="M","Medium",J523="L","Large",J523="D","Dark")</f>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_xlfn.XLOOKUP(C524,customers!$A$1:$A$1001,customers!$B$1:$B$1001,,0)</f>
        <v>Vasili Upstone</v>
      </c>
      <c r="G524" s="2" t="str">
        <f>IF(_xlfn.XLOOKUP(C524,customers!$A$1:$A$1001,customers!$C$1:$C$1001,,0)=0,"",_xlfn.XLOOKUP(C524,customers!$A$1:$A$1001,customers!$C$1:$C$1001,,0))</f>
        <v>vupstoneei@google.pl</v>
      </c>
      <c r="H524" s="2" t="str">
        <f>_xlfn.XLOOKUP(C524,customers!$A$1:$A$1001,customers!$G$1:$G$1001,,0)</f>
        <v>United States</v>
      </c>
      <c r="I524" t="str">
        <f>INDEX(products!$A$1:$G$49,MATCH(orders!$D524,products!$A$1:$A$49,0),MATCH(orders!I$1,products!$A$1:$G$1,0))</f>
        <v>Rob</v>
      </c>
      <c r="J524" t="str">
        <f>INDEX(products!$A$1:$G$49,MATCH(orders!$D524,products!$A$1:$A$49,0),MATCH(orders!J$1,products!$A$1:$G$1,0))</f>
        <v>M</v>
      </c>
      <c r="K524" s="7">
        <f>INDEX(products!$A$1:$G$49,MATCH(orders!$D524,products!$A$1:$A$49,0),MATCH(orders!K$1,products!$A$1:$G$1,0))</f>
        <v>0.5</v>
      </c>
      <c r="L524" s="4">
        <f>INDEX(products!$A$1:$G$49,MATCH(orders!$D524,products!$A$1:$A$49,0),MATCH(orders!L$1,products!$A$1:$G$1,0))</f>
        <v>5.97</v>
      </c>
      <c r="M524" s="4">
        <f t="shared" si="8"/>
        <v>29.849999999999998</v>
      </c>
      <c r="N524" t="str" cm="1">
        <f t="array" ref="N524">_xlfn.IFS(I524="Rob","Robusta",I524="Exc","Excelsa",I524="Ara","Arabica",I524="Lib","Liberica")</f>
        <v>Robusta</v>
      </c>
      <c r="O524" t="str" cm="1">
        <f t="array" ref="O524">_xlfn.IFS(J524="M","Medium",J524="L","Large",J524="D","Dark")</f>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_xlfn.XLOOKUP(C525,customers!$A$1:$A$1001,customers!$B$1:$B$1001,,0)</f>
        <v>Berty Beelby</v>
      </c>
      <c r="G525" s="2" t="str">
        <f>IF(_xlfn.XLOOKUP(C525,customers!$A$1:$A$1001,customers!$C$1:$C$1001,,0)=0,"",_xlfn.XLOOKUP(C525,customers!$A$1:$A$1001,customers!$C$1:$C$1001,,0))</f>
        <v>bbeelbyej@rediff.com</v>
      </c>
      <c r="H525" s="2" t="str">
        <f>_xlfn.XLOOKUP(C525,customers!$A$1:$A$1001,customers!$G$1:$G$1001,,0)</f>
        <v>Ireland</v>
      </c>
      <c r="I525" t="str">
        <f>INDEX(products!$A$1:$G$49,MATCH(orders!$D525,products!$A$1:$A$49,0),MATCH(orders!I$1,products!$A$1:$G$1,0))</f>
        <v>Lib</v>
      </c>
      <c r="J525" t="str">
        <f>INDEX(products!$A$1:$G$49,MATCH(orders!$D525,products!$A$1:$A$49,0),MATCH(orders!J$1,products!$A$1:$G$1,0))</f>
        <v>D</v>
      </c>
      <c r="K525" s="7">
        <f>INDEX(products!$A$1:$G$49,MATCH(orders!$D525,products!$A$1:$A$49,0),MATCH(orders!K$1,products!$A$1:$G$1,0))</f>
        <v>2.5</v>
      </c>
      <c r="L525" s="4">
        <f>INDEX(products!$A$1:$G$49,MATCH(orders!$D525,products!$A$1:$A$49,0),MATCH(orders!L$1,products!$A$1:$G$1,0))</f>
        <v>29.784999999999997</v>
      </c>
      <c r="M525" s="4">
        <f t="shared" si="8"/>
        <v>29.784999999999997</v>
      </c>
      <c r="N525" t="str" cm="1">
        <f t="array" ref="N525">_xlfn.IFS(I525="Rob","Robusta",I525="Exc","Excelsa",I525="Ara","Arabica",I525="Lib","Liberica")</f>
        <v>Liberica</v>
      </c>
      <c r="O525" t="str" cm="1">
        <f t="array" ref="O525">_xlfn.IFS(J525="M","Medium",J525="L","Large",J525="D","Dark")</f>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_xlfn.XLOOKUP(C526,customers!$A$1:$A$1001,customers!$B$1:$B$1001,,0)</f>
        <v>Erny Stenyng</v>
      </c>
      <c r="G526" s="2" t="str">
        <f>IF(_xlfn.XLOOKUP(C526,customers!$A$1:$A$1001,customers!$C$1:$C$1001,,0)=0,"",_xlfn.XLOOKUP(C526,customers!$A$1:$A$1001,customers!$C$1:$C$1001,,0))</f>
        <v/>
      </c>
      <c r="H526" s="2" t="str">
        <f>_xlfn.XLOOKUP(C526,customers!$A$1:$A$1001,customers!$G$1:$G$1001,,0)</f>
        <v>United States</v>
      </c>
      <c r="I526" t="str">
        <f>INDEX(products!$A$1:$G$49,MATCH(orders!$D526,products!$A$1:$A$49,0),MATCH(orders!I$1,products!$A$1:$G$1,0))</f>
        <v>Lib</v>
      </c>
      <c r="J526" t="str">
        <f>INDEX(products!$A$1:$G$49,MATCH(orders!$D526,products!$A$1:$A$49,0),MATCH(orders!J$1,products!$A$1:$G$1,0))</f>
        <v>L</v>
      </c>
      <c r="K526" s="7">
        <f>INDEX(products!$A$1:$G$49,MATCH(orders!$D526,products!$A$1:$A$49,0),MATCH(orders!K$1,products!$A$1:$G$1,0))</f>
        <v>2.5</v>
      </c>
      <c r="L526" s="4">
        <f>INDEX(products!$A$1:$G$49,MATCH(orders!$D526,products!$A$1:$A$49,0),MATCH(orders!L$1,products!$A$1:$G$1,0))</f>
        <v>36.454999999999998</v>
      </c>
      <c r="M526" s="4">
        <f t="shared" si="8"/>
        <v>72.91</v>
      </c>
      <c r="N526" t="str" cm="1">
        <f t="array" ref="N526">_xlfn.IFS(I526="Rob","Robusta",I526="Exc","Excelsa",I526="Ara","Arabica",I526="Lib","Liberica")</f>
        <v>Liberica</v>
      </c>
      <c r="O526" t="str" cm="1">
        <f t="array" ref="O526">_xlfn.IFS(J526="M","Medium",J526="L","Large",J526="D","Dark")</f>
        <v>Large</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_xlfn.XLOOKUP(C527,customers!$A$1:$A$1001,customers!$B$1:$B$1001,,0)</f>
        <v>Edin Yantsurev</v>
      </c>
      <c r="G527" s="2" t="str">
        <f>IF(_xlfn.XLOOKUP(C527,customers!$A$1:$A$1001,customers!$C$1:$C$1001,,0)=0,"",_xlfn.XLOOKUP(C527,customers!$A$1:$A$1001,customers!$C$1:$C$1001,,0))</f>
        <v/>
      </c>
      <c r="H527" s="2" t="str">
        <f>_xlfn.XLOOKUP(C527,customers!$A$1:$A$1001,customers!$G$1:$G$1001,,0)</f>
        <v>United States</v>
      </c>
      <c r="I527" t="str">
        <f>INDEX(products!$A$1:$G$49,MATCH(orders!$D527,products!$A$1:$A$49,0),MATCH(orders!I$1,products!$A$1:$G$1,0))</f>
        <v>Rob</v>
      </c>
      <c r="J527" t="str">
        <f>INDEX(products!$A$1:$G$49,MATCH(orders!$D527,products!$A$1:$A$49,0),MATCH(orders!J$1,products!$A$1:$G$1,0))</f>
        <v>D</v>
      </c>
      <c r="K527" s="7">
        <f>INDEX(products!$A$1:$G$49,MATCH(orders!$D527,products!$A$1:$A$49,0),MATCH(orders!K$1,products!$A$1:$G$1,0))</f>
        <v>0.2</v>
      </c>
      <c r="L527" s="4">
        <f>INDEX(products!$A$1:$G$49,MATCH(orders!$D527,products!$A$1:$A$49,0),MATCH(orders!L$1,products!$A$1:$G$1,0))</f>
        <v>2.6849999999999996</v>
      </c>
      <c r="M527" s="4">
        <f t="shared" si="8"/>
        <v>13.424999999999997</v>
      </c>
      <c r="N527" t="str" cm="1">
        <f t="array" ref="N527">_xlfn.IFS(I527="Rob","Robusta",I527="Exc","Excelsa",I527="Ara","Arabica",I527="Lib","Liberica")</f>
        <v>Robusta</v>
      </c>
      <c r="O527" t="str" cm="1">
        <f t="array" ref="O527">_xlfn.IFS(J527="M","Medium",J527="L","Large",J527="D","Dark")</f>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_xlfn.XLOOKUP(C528,customers!$A$1:$A$1001,customers!$B$1:$B$1001,,0)</f>
        <v>Webb Speechly</v>
      </c>
      <c r="G528" s="2" t="str">
        <f>IF(_xlfn.XLOOKUP(C528,customers!$A$1:$A$1001,customers!$C$1:$C$1001,,0)=0,"",_xlfn.XLOOKUP(C528,customers!$A$1:$A$1001,customers!$C$1:$C$1001,,0))</f>
        <v>wspeechlyem@amazon.com</v>
      </c>
      <c r="H528" s="2" t="str">
        <f>_xlfn.XLOOKUP(C528,customers!$A$1:$A$1001,customers!$G$1:$G$1001,,0)</f>
        <v>United States</v>
      </c>
      <c r="I528" t="str">
        <f>INDEX(products!$A$1:$G$49,MATCH(orders!$D528,products!$A$1:$A$49,0),MATCH(orders!I$1,products!$A$1:$G$1,0))</f>
        <v>Exc</v>
      </c>
      <c r="J528" t="str">
        <f>INDEX(products!$A$1:$G$49,MATCH(orders!$D528,products!$A$1:$A$49,0),MATCH(orders!J$1,products!$A$1:$G$1,0))</f>
        <v>M</v>
      </c>
      <c r="K528" s="7">
        <f>INDEX(products!$A$1:$G$49,MATCH(orders!$D528,products!$A$1:$A$49,0),MATCH(orders!K$1,products!$A$1:$G$1,0))</f>
        <v>2.5</v>
      </c>
      <c r="L528" s="4">
        <f>INDEX(products!$A$1:$G$49,MATCH(orders!$D528,products!$A$1:$A$49,0),MATCH(orders!L$1,products!$A$1:$G$1,0))</f>
        <v>31.624999999999996</v>
      </c>
      <c r="M528" s="4">
        <f t="shared" si="8"/>
        <v>126.49999999999999</v>
      </c>
      <c r="N528" t="str" cm="1">
        <f t="array" ref="N528">_xlfn.IFS(I528="Rob","Robusta",I528="Exc","Excelsa",I528="Ara","Arabica",I528="Lib","Liberica")</f>
        <v>Excelsa</v>
      </c>
      <c r="O528" t="str" cm="1">
        <f t="array" ref="O528">_xlfn.IFS(J528="M","Medium",J528="L","Large",J528="D","Dark")</f>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_xlfn.XLOOKUP(C529,customers!$A$1:$A$1001,customers!$B$1:$B$1001,,0)</f>
        <v>Irvine Phillpot</v>
      </c>
      <c r="G529" s="2" t="str">
        <f>IF(_xlfn.XLOOKUP(C529,customers!$A$1:$A$1001,customers!$C$1:$C$1001,,0)=0,"",_xlfn.XLOOKUP(C529,customers!$A$1:$A$1001,customers!$C$1:$C$1001,,0))</f>
        <v>iphillpoten@buzzfeed.com</v>
      </c>
      <c r="H529" s="2" t="str">
        <f>_xlfn.XLOOKUP(C529,customers!$A$1:$A$1001,customers!$G$1:$G$1001,,0)</f>
        <v>United Kingdom</v>
      </c>
      <c r="I529" t="str">
        <f>INDEX(products!$A$1:$G$49,MATCH(orders!$D529,products!$A$1:$A$49,0),MATCH(orders!I$1,products!$A$1:$G$1,0))</f>
        <v>Exc</v>
      </c>
      <c r="J529" t="str">
        <f>INDEX(products!$A$1:$G$49,MATCH(orders!$D529,products!$A$1:$A$49,0),MATCH(orders!J$1,products!$A$1:$G$1,0))</f>
        <v>M</v>
      </c>
      <c r="K529" s="7">
        <f>INDEX(products!$A$1:$G$49,MATCH(orders!$D529,products!$A$1:$A$49,0),MATCH(orders!K$1,products!$A$1:$G$1,0))</f>
        <v>0.5</v>
      </c>
      <c r="L529" s="4">
        <f>INDEX(products!$A$1:$G$49,MATCH(orders!$D529,products!$A$1:$A$49,0),MATCH(orders!L$1,products!$A$1:$G$1,0))</f>
        <v>8.25</v>
      </c>
      <c r="M529" s="4">
        <f t="shared" si="8"/>
        <v>41.25</v>
      </c>
      <c r="N529" t="str" cm="1">
        <f t="array" ref="N529">_xlfn.IFS(I529="Rob","Robusta",I529="Exc","Excelsa",I529="Ara","Arabica",I529="Lib","Liberica")</f>
        <v>Excelsa</v>
      </c>
      <c r="O529" t="str" cm="1">
        <f t="array" ref="O529">_xlfn.IFS(J529="M","Medium",J529="L","Large",J529="D","Dark")</f>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_xlfn.XLOOKUP(C530,customers!$A$1:$A$1001,customers!$B$1:$B$1001,,0)</f>
        <v>Lem Pennacci</v>
      </c>
      <c r="G530" s="2" t="str">
        <f>IF(_xlfn.XLOOKUP(C530,customers!$A$1:$A$1001,customers!$C$1:$C$1001,,0)=0,"",_xlfn.XLOOKUP(C530,customers!$A$1:$A$1001,customers!$C$1:$C$1001,,0))</f>
        <v>lpennaccieo@statcounter.com</v>
      </c>
      <c r="H530" s="2" t="str">
        <f>_xlfn.XLOOKUP(C530,customers!$A$1:$A$1001,customers!$G$1:$G$1001,,0)</f>
        <v>United States</v>
      </c>
      <c r="I530" t="str">
        <f>INDEX(products!$A$1:$G$49,MATCH(orders!$D530,products!$A$1:$A$49,0),MATCH(orders!I$1,products!$A$1:$G$1,0))</f>
        <v>Exc</v>
      </c>
      <c r="J530" t="str">
        <f>INDEX(products!$A$1:$G$49,MATCH(orders!$D530,products!$A$1:$A$49,0),MATCH(orders!J$1,products!$A$1:$G$1,0))</f>
        <v>L</v>
      </c>
      <c r="K530" s="7">
        <f>INDEX(products!$A$1:$G$49,MATCH(orders!$D530,products!$A$1:$A$49,0),MATCH(orders!K$1,products!$A$1:$G$1,0))</f>
        <v>0.5</v>
      </c>
      <c r="L530" s="4">
        <f>INDEX(products!$A$1:$G$49,MATCH(orders!$D530,products!$A$1:$A$49,0),MATCH(orders!L$1,products!$A$1:$G$1,0))</f>
        <v>8.91</v>
      </c>
      <c r="M530" s="4">
        <f t="shared" si="8"/>
        <v>53.46</v>
      </c>
      <c r="N530" t="str" cm="1">
        <f t="array" ref="N530">_xlfn.IFS(I530="Rob","Robusta",I530="Exc","Excelsa",I530="Ara","Arabica",I530="Lib","Liberica")</f>
        <v>Excelsa</v>
      </c>
      <c r="O530" t="str" cm="1">
        <f t="array" ref="O530">_xlfn.IFS(J530="M","Medium",J530="L","Large",J530="D","Dark")</f>
        <v>Large</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_xlfn.XLOOKUP(C531,customers!$A$1:$A$1001,customers!$B$1:$B$1001,,0)</f>
        <v>Starr Arpin</v>
      </c>
      <c r="G531" s="2" t="str">
        <f>IF(_xlfn.XLOOKUP(C531,customers!$A$1:$A$1001,customers!$C$1:$C$1001,,0)=0,"",_xlfn.XLOOKUP(C531,customers!$A$1:$A$1001,customers!$C$1:$C$1001,,0))</f>
        <v>sarpinep@moonfruit.com</v>
      </c>
      <c r="H531" s="2" t="str">
        <f>_xlfn.XLOOKUP(C531,customers!$A$1:$A$1001,customers!$G$1:$G$1001,,0)</f>
        <v>United States</v>
      </c>
      <c r="I531" t="str">
        <f>INDEX(products!$A$1:$G$49,MATCH(orders!$D531,products!$A$1:$A$49,0),MATCH(orders!I$1,products!$A$1:$G$1,0))</f>
        <v>Rob</v>
      </c>
      <c r="J531" t="str">
        <f>INDEX(products!$A$1:$G$49,MATCH(orders!$D531,products!$A$1:$A$49,0),MATCH(orders!J$1,products!$A$1:$G$1,0))</f>
        <v>M</v>
      </c>
      <c r="K531" s="7">
        <f>INDEX(products!$A$1:$G$49,MATCH(orders!$D531,products!$A$1:$A$49,0),MATCH(orders!K$1,products!$A$1:$G$1,0))</f>
        <v>1</v>
      </c>
      <c r="L531" s="4">
        <f>INDEX(products!$A$1:$G$49,MATCH(orders!$D531,products!$A$1:$A$49,0),MATCH(orders!L$1,products!$A$1:$G$1,0))</f>
        <v>9.9499999999999993</v>
      </c>
      <c r="M531" s="4">
        <f t="shared" si="8"/>
        <v>59.699999999999996</v>
      </c>
      <c r="N531" t="str" cm="1">
        <f t="array" ref="N531">_xlfn.IFS(I531="Rob","Robusta",I531="Exc","Excelsa",I531="Ara","Arabica",I531="Lib","Liberica")</f>
        <v>Robusta</v>
      </c>
      <c r="O531" t="str" cm="1">
        <f t="array" ref="O531">_xlfn.IFS(J531="M","Medium",J531="L","Large",J531="D","Dark")</f>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_xlfn.XLOOKUP(C532,customers!$A$1:$A$1001,customers!$B$1:$B$1001,,0)</f>
        <v>Donny Fries</v>
      </c>
      <c r="G532" s="2" t="str">
        <f>IF(_xlfn.XLOOKUP(C532,customers!$A$1:$A$1001,customers!$C$1:$C$1001,,0)=0,"",_xlfn.XLOOKUP(C532,customers!$A$1:$A$1001,customers!$C$1:$C$1001,,0))</f>
        <v>dfrieseq@cargocollective.com</v>
      </c>
      <c r="H532" s="2" t="str">
        <f>_xlfn.XLOOKUP(C532,customers!$A$1:$A$1001,customers!$G$1:$G$1001,,0)</f>
        <v>United States</v>
      </c>
      <c r="I532" t="str">
        <f>INDEX(products!$A$1:$G$49,MATCH(orders!$D532,products!$A$1:$A$49,0),MATCH(orders!I$1,products!$A$1:$G$1,0))</f>
        <v>Rob</v>
      </c>
      <c r="J532" t="str">
        <f>INDEX(products!$A$1:$G$49,MATCH(orders!$D532,products!$A$1:$A$49,0),MATCH(orders!J$1,products!$A$1:$G$1,0))</f>
        <v>M</v>
      </c>
      <c r="K532" s="7">
        <f>INDEX(products!$A$1:$G$49,MATCH(orders!$D532,products!$A$1:$A$49,0),MATCH(orders!K$1,products!$A$1:$G$1,0))</f>
        <v>1</v>
      </c>
      <c r="L532" s="4">
        <f>INDEX(products!$A$1:$G$49,MATCH(orders!$D532,products!$A$1:$A$49,0),MATCH(orders!L$1,products!$A$1:$G$1,0))</f>
        <v>9.9499999999999993</v>
      </c>
      <c r="M532" s="4">
        <f t="shared" si="8"/>
        <v>59.699999999999996</v>
      </c>
      <c r="N532" t="str" cm="1">
        <f t="array" ref="N532">_xlfn.IFS(I532="Rob","Robusta",I532="Exc","Excelsa",I532="Ara","Arabica",I532="Lib","Liberica")</f>
        <v>Robusta</v>
      </c>
      <c r="O532" t="str" cm="1">
        <f t="array" ref="O532">_xlfn.IFS(J532="M","Medium",J532="L","Large",J532="D","Dark")</f>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_xlfn.XLOOKUP(C533,customers!$A$1:$A$1001,customers!$B$1:$B$1001,,0)</f>
        <v>Rana Sharer</v>
      </c>
      <c r="G533" s="2" t="str">
        <f>IF(_xlfn.XLOOKUP(C533,customers!$A$1:$A$1001,customers!$C$1:$C$1001,,0)=0,"",_xlfn.XLOOKUP(C533,customers!$A$1:$A$1001,customers!$C$1:$C$1001,,0))</f>
        <v>rsharerer@flavors.me</v>
      </c>
      <c r="H533" s="2" t="str">
        <f>_xlfn.XLOOKUP(C533,customers!$A$1:$A$1001,customers!$G$1:$G$1001,,0)</f>
        <v>United States</v>
      </c>
      <c r="I533" t="str">
        <f>INDEX(products!$A$1:$G$49,MATCH(orders!$D533,products!$A$1:$A$49,0),MATCH(orders!I$1,products!$A$1:$G$1,0))</f>
        <v>Rob</v>
      </c>
      <c r="J533" t="str">
        <f>INDEX(products!$A$1:$G$49,MATCH(orders!$D533,products!$A$1:$A$49,0),MATCH(orders!J$1,products!$A$1:$G$1,0))</f>
        <v>D</v>
      </c>
      <c r="K533" s="7">
        <f>INDEX(products!$A$1:$G$49,MATCH(orders!$D533,products!$A$1:$A$49,0),MATCH(orders!K$1,products!$A$1:$G$1,0))</f>
        <v>1</v>
      </c>
      <c r="L533" s="4">
        <f>INDEX(products!$A$1:$G$49,MATCH(orders!$D533,products!$A$1:$A$49,0),MATCH(orders!L$1,products!$A$1:$G$1,0))</f>
        <v>8.9499999999999993</v>
      </c>
      <c r="M533" s="4">
        <f t="shared" si="8"/>
        <v>44.75</v>
      </c>
      <c r="N533" t="str" cm="1">
        <f t="array" ref="N533">_xlfn.IFS(I533="Rob","Robusta",I533="Exc","Excelsa",I533="Ara","Arabica",I533="Lib","Liberica")</f>
        <v>Robusta</v>
      </c>
      <c r="O533" t="str" cm="1">
        <f t="array" ref="O533">_xlfn.IFS(J533="M","Medium",J533="L","Large",J533="D","Dark")</f>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_xlfn.XLOOKUP(C534,customers!$A$1:$A$1001,customers!$B$1:$B$1001,,0)</f>
        <v>Nannie Naseby</v>
      </c>
      <c r="G534" s="2" t="str">
        <f>IF(_xlfn.XLOOKUP(C534,customers!$A$1:$A$1001,customers!$C$1:$C$1001,,0)=0,"",_xlfn.XLOOKUP(C534,customers!$A$1:$A$1001,customers!$C$1:$C$1001,,0))</f>
        <v>nnasebyes@umich.edu</v>
      </c>
      <c r="H534" s="2" t="str">
        <f>_xlfn.XLOOKUP(C534,customers!$A$1:$A$1001,customers!$G$1:$G$1001,,0)</f>
        <v>United States</v>
      </c>
      <c r="I534" t="str">
        <f>INDEX(products!$A$1:$G$49,MATCH(orders!$D534,products!$A$1:$A$49,0),MATCH(orders!I$1,products!$A$1:$G$1,0))</f>
        <v>Exc</v>
      </c>
      <c r="J534" t="str">
        <f>INDEX(products!$A$1:$G$49,MATCH(orders!$D534,products!$A$1:$A$49,0),MATCH(orders!J$1,products!$A$1:$G$1,0))</f>
        <v>M</v>
      </c>
      <c r="K534" s="7">
        <f>INDEX(products!$A$1:$G$49,MATCH(orders!$D534,products!$A$1:$A$49,0),MATCH(orders!K$1,products!$A$1:$G$1,0))</f>
        <v>0.5</v>
      </c>
      <c r="L534" s="4">
        <f>INDEX(products!$A$1:$G$49,MATCH(orders!$D534,products!$A$1:$A$49,0),MATCH(orders!L$1,products!$A$1:$G$1,0))</f>
        <v>8.25</v>
      </c>
      <c r="M534" s="4">
        <f t="shared" si="8"/>
        <v>16.5</v>
      </c>
      <c r="N534" t="str" cm="1">
        <f t="array" ref="N534">_xlfn.IFS(I534="Rob","Robusta",I534="Exc","Excelsa",I534="Ara","Arabica",I534="Lib","Liberica")</f>
        <v>Excelsa</v>
      </c>
      <c r="O534" t="str" cm="1">
        <f t="array" ref="O534">_xlfn.IFS(J534="M","Medium",J534="L","Large",J534="D","Dark")</f>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_xlfn.XLOOKUP(C535,customers!$A$1:$A$1001,customers!$B$1:$B$1001,,0)</f>
        <v>Rea Offell</v>
      </c>
      <c r="G535" s="2" t="str">
        <f>IF(_xlfn.XLOOKUP(C535,customers!$A$1:$A$1001,customers!$C$1:$C$1001,,0)=0,"",_xlfn.XLOOKUP(C535,customers!$A$1:$A$1001,customers!$C$1:$C$1001,,0))</f>
        <v/>
      </c>
      <c r="H535" s="2" t="str">
        <f>_xlfn.XLOOKUP(C535,customers!$A$1:$A$1001,customers!$G$1:$G$1001,,0)</f>
        <v>United States</v>
      </c>
      <c r="I535" t="str">
        <f>INDEX(products!$A$1:$G$49,MATCH(orders!$D535,products!$A$1:$A$49,0),MATCH(orders!I$1,products!$A$1:$G$1,0))</f>
        <v>Rob</v>
      </c>
      <c r="J535" t="str">
        <f>INDEX(products!$A$1:$G$49,MATCH(orders!$D535,products!$A$1:$A$49,0),MATCH(orders!J$1,products!$A$1:$G$1,0))</f>
        <v>D</v>
      </c>
      <c r="K535" s="7">
        <f>INDEX(products!$A$1:$G$49,MATCH(orders!$D535,products!$A$1:$A$49,0),MATCH(orders!K$1,products!$A$1:$G$1,0))</f>
        <v>0.5</v>
      </c>
      <c r="L535" s="4">
        <f>INDEX(products!$A$1:$G$49,MATCH(orders!$D535,products!$A$1:$A$49,0),MATCH(orders!L$1,products!$A$1:$G$1,0))</f>
        <v>5.3699999999999992</v>
      </c>
      <c r="M535" s="4">
        <f t="shared" si="8"/>
        <v>21.479999999999997</v>
      </c>
      <c r="N535" t="str" cm="1">
        <f t="array" ref="N535">_xlfn.IFS(I535="Rob","Robusta",I535="Exc","Excelsa",I535="Ara","Arabica",I535="Lib","Liberica")</f>
        <v>Robusta</v>
      </c>
      <c r="O535" t="str" cm="1">
        <f t="array" ref="O535">_xlfn.IFS(J535="M","Medium",J535="L","Large",J535="D","Dark")</f>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_xlfn.XLOOKUP(C536,customers!$A$1:$A$1001,customers!$B$1:$B$1001,,0)</f>
        <v>Kris O'Cullen</v>
      </c>
      <c r="G536" s="2" t="str">
        <f>IF(_xlfn.XLOOKUP(C536,customers!$A$1:$A$1001,customers!$C$1:$C$1001,,0)=0,"",_xlfn.XLOOKUP(C536,customers!$A$1:$A$1001,customers!$C$1:$C$1001,,0))</f>
        <v>koculleneu@ca.gov</v>
      </c>
      <c r="H536" s="2" t="str">
        <f>_xlfn.XLOOKUP(C536,customers!$A$1:$A$1001,customers!$G$1:$G$1001,,0)</f>
        <v>Ireland</v>
      </c>
      <c r="I536" t="str">
        <f>INDEX(products!$A$1:$G$49,MATCH(orders!$D536,products!$A$1:$A$49,0),MATCH(orders!I$1,products!$A$1:$G$1,0))</f>
        <v>Rob</v>
      </c>
      <c r="J536" t="str">
        <f>INDEX(products!$A$1:$G$49,MATCH(orders!$D536,products!$A$1:$A$49,0),MATCH(orders!J$1,products!$A$1:$G$1,0))</f>
        <v>M</v>
      </c>
      <c r="K536" s="7">
        <f>INDEX(products!$A$1:$G$49,MATCH(orders!$D536,products!$A$1:$A$49,0),MATCH(orders!K$1,products!$A$1:$G$1,0))</f>
        <v>2.5</v>
      </c>
      <c r="L536" s="4">
        <f>INDEX(products!$A$1:$G$49,MATCH(orders!$D536,products!$A$1:$A$49,0),MATCH(orders!L$1,products!$A$1:$G$1,0))</f>
        <v>22.884999999999998</v>
      </c>
      <c r="M536" s="4">
        <f t="shared" si="8"/>
        <v>45.769999999999996</v>
      </c>
      <c r="N536" t="str" cm="1">
        <f t="array" ref="N536">_xlfn.IFS(I536="Rob","Robusta",I536="Exc","Excelsa",I536="Ara","Arabica",I536="Lib","Liberica")</f>
        <v>Robusta</v>
      </c>
      <c r="O536" t="str" cm="1">
        <f t="array" ref="O536">_xlfn.IFS(J536="M","Medium",J536="L","Large",J536="D","Dark")</f>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_xlfn.XLOOKUP(C537,customers!$A$1:$A$1001,customers!$B$1:$B$1001,,0)</f>
        <v>Timoteo Glisane</v>
      </c>
      <c r="G537" s="2" t="str">
        <f>IF(_xlfn.XLOOKUP(C537,customers!$A$1:$A$1001,customers!$C$1:$C$1001,,0)=0,"",_xlfn.XLOOKUP(C537,customers!$A$1:$A$1001,customers!$C$1:$C$1001,,0))</f>
        <v/>
      </c>
      <c r="H537" s="2" t="str">
        <f>_xlfn.XLOOKUP(C537,customers!$A$1:$A$1001,customers!$G$1:$G$1001,,0)</f>
        <v>Ireland</v>
      </c>
      <c r="I537" t="str">
        <f>INDEX(products!$A$1:$G$49,MATCH(orders!$D537,products!$A$1:$A$49,0),MATCH(orders!I$1,products!$A$1:$G$1,0))</f>
        <v>Lib</v>
      </c>
      <c r="J537" t="str">
        <f>INDEX(products!$A$1:$G$49,MATCH(orders!$D537,products!$A$1:$A$49,0),MATCH(orders!J$1,products!$A$1:$G$1,0))</f>
        <v>L</v>
      </c>
      <c r="K537" s="7">
        <f>INDEX(products!$A$1:$G$49,MATCH(orders!$D537,products!$A$1:$A$49,0),MATCH(orders!K$1,products!$A$1:$G$1,0))</f>
        <v>0.2</v>
      </c>
      <c r="L537" s="4">
        <f>INDEX(products!$A$1:$G$49,MATCH(orders!$D537,products!$A$1:$A$49,0),MATCH(orders!L$1,products!$A$1:$G$1,0))</f>
        <v>4.7549999999999999</v>
      </c>
      <c r="M537" s="4">
        <f t="shared" si="8"/>
        <v>9.51</v>
      </c>
      <c r="N537" t="str" cm="1">
        <f t="array" ref="N537">_xlfn.IFS(I537="Rob","Robusta",I537="Exc","Excelsa",I537="Ara","Arabica",I537="Lib","Liberica")</f>
        <v>Liberica</v>
      </c>
      <c r="O537" t="str" cm="1">
        <f t="array" ref="O537">_xlfn.IFS(J537="M","Medium",J537="L","Large",J537="D","Dark")</f>
        <v>Large</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_xlfn.XLOOKUP(C538,customers!$A$1:$A$1001,customers!$B$1:$B$1001,,0)</f>
        <v>Marja Urion</v>
      </c>
      <c r="G538" s="2" t="str">
        <f>IF(_xlfn.XLOOKUP(C538,customers!$A$1:$A$1001,customers!$C$1:$C$1001,,0)=0,"",_xlfn.XLOOKUP(C538,customers!$A$1:$A$1001,customers!$C$1:$C$1001,,0))</f>
        <v>murione5@alexa.com</v>
      </c>
      <c r="H538" s="2" t="str">
        <f>_xlfn.XLOOKUP(C538,customers!$A$1:$A$1001,customers!$G$1:$G$1001,,0)</f>
        <v>Ireland</v>
      </c>
      <c r="I538" t="str">
        <f>INDEX(products!$A$1:$G$49,MATCH(orders!$D538,products!$A$1:$A$49,0),MATCH(orders!I$1,products!$A$1:$G$1,0))</f>
        <v>Rob</v>
      </c>
      <c r="J538" t="str">
        <f>INDEX(products!$A$1:$G$49,MATCH(orders!$D538,products!$A$1:$A$49,0),MATCH(orders!J$1,products!$A$1:$G$1,0))</f>
        <v>D</v>
      </c>
      <c r="K538" s="7">
        <f>INDEX(products!$A$1:$G$49,MATCH(orders!$D538,products!$A$1:$A$49,0),MATCH(orders!K$1,products!$A$1:$G$1,0))</f>
        <v>0.2</v>
      </c>
      <c r="L538" s="4">
        <f>INDEX(products!$A$1:$G$49,MATCH(orders!$D538,products!$A$1:$A$49,0),MATCH(orders!L$1,products!$A$1:$G$1,0))</f>
        <v>2.6849999999999996</v>
      </c>
      <c r="M538" s="4">
        <f t="shared" si="8"/>
        <v>8.0549999999999997</v>
      </c>
      <c r="N538" t="str" cm="1">
        <f t="array" ref="N538">_xlfn.IFS(I538="Rob","Robusta",I538="Exc","Excelsa",I538="Ara","Arabica",I538="Lib","Liberica")</f>
        <v>Robusta</v>
      </c>
      <c r="O538" t="str" cm="1">
        <f t="array" ref="O538">_xlfn.IFS(J538="M","Medium",J538="L","Large",J538="D","Dark")</f>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_xlfn.XLOOKUP(C539,customers!$A$1:$A$1001,customers!$B$1:$B$1001,,0)</f>
        <v>Hildegarde Brangan</v>
      </c>
      <c r="G539" s="2" t="str">
        <f>IF(_xlfn.XLOOKUP(C539,customers!$A$1:$A$1001,customers!$C$1:$C$1001,,0)=0,"",_xlfn.XLOOKUP(C539,customers!$A$1:$A$1001,customers!$C$1:$C$1001,,0))</f>
        <v>hbranganex@woothemes.com</v>
      </c>
      <c r="H539" s="2" t="str">
        <f>_xlfn.XLOOKUP(C539,customers!$A$1:$A$1001,customers!$G$1:$G$1001,,0)</f>
        <v>United States</v>
      </c>
      <c r="I539" t="str">
        <f>INDEX(products!$A$1:$G$49,MATCH(orders!$D539,products!$A$1:$A$49,0),MATCH(orders!I$1,products!$A$1:$G$1,0))</f>
        <v>Exc</v>
      </c>
      <c r="J539" t="str">
        <f>INDEX(products!$A$1:$G$49,MATCH(orders!$D539,products!$A$1:$A$49,0),MATCH(orders!J$1,products!$A$1:$G$1,0))</f>
        <v>D</v>
      </c>
      <c r="K539" s="7">
        <f>INDEX(products!$A$1:$G$49,MATCH(orders!$D539,products!$A$1:$A$49,0),MATCH(orders!K$1,products!$A$1:$G$1,0))</f>
        <v>2.5</v>
      </c>
      <c r="L539" s="4">
        <f>INDEX(products!$A$1:$G$49,MATCH(orders!$D539,products!$A$1:$A$49,0),MATCH(orders!L$1,products!$A$1:$G$1,0))</f>
        <v>27.945</v>
      </c>
      <c r="M539" s="4">
        <f t="shared" si="8"/>
        <v>111.78</v>
      </c>
      <c r="N539" t="str" cm="1">
        <f t="array" ref="N539">_xlfn.IFS(I539="Rob","Robusta",I539="Exc","Excelsa",I539="Ara","Arabica",I539="Lib","Liberica")</f>
        <v>Excelsa</v>
      </c>
      <c r="O539" t="str" cm="1">
        <f t="array" ref="O539">_xlfn.IFS(J539="M","Medium",J539="L","Large",J539="D","Dark")</f>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_xlfn.XLOOKUP(C540,customers!$A$1:$A$1001,customers!$B$1:$B$1001,,0)</f>
        <v>Amii Gallyon</v>
      </c>
      <c r="G540" s="2" t="str">
        <f>IF(_xlfn.XLOOKUP(C540,customers!$A$1:$A$1001,customers!$C$1:$C$1001,,0)=0,"",_xlfn.XLOOKUP(C540,customers!$A$1:$A$1001,customers!$C$1:$C$1001,,0))</f>
        <v>agallyoney@engadget.com</v>
      </c>
      <c r="H540" s="2" t="str">
        <f>_xlfn.XLOOKUP(C540,customers!$A$1:$A$1001,customers!$G$1:$G$1001,,0)</f>
        <v>United States</v>
      </c>
      <c r="I540" t="str">
        <f>INDEX(products!$A$1:$G$49,MATCH(orders!$D540,products!$A$1:$A$49,0),MATCH(orders!I$1,products!$A$1:$G$1,0))</f>
        <v>Rob</v>
      </c>
      <c r="J540" t="str">
        <f>INDEX(products!$A$1:$G$49,MATCH(orders!$D540,products!$A$1:$A$49,0),MATCH(orders!J$1,products!$A$1:$G$1,0))</f>
        <v>D</v>
      </c>
      <c r="K540" s="7">
        <f>INDEX(products!$A$1:$G$49,MATCH(orders!$D540,products!$A$1:$A$49,0),MATCH(orders!K$1,products!$A$1:$G$1,0))</f>
        <v>0.2</v>
      </c>
      <c r="L540" s="4">
        <f>INDEX(products!$A$1:$G$49,MATCH(orders!$D540,products!$A$1:$A$49,0),MATCH(orders!L$1,products!$A$1:$G$1,0))</f>
        <v>2.6849999999999996</v>
      </c>
      <c r="M540" s="4">
        <f t="shared" si="8"/>
        <v>10.739999999999998</v>
      </c>
      <c r="N540" t="str" cm="1">
        <f t="array" ref="N540">_xlfn.IFS(I540="Rob","Robusta",I540="Exc","Excelsa",I540="Ara","Arabica",I540="Lib","Liberica")</f>
        <v>Robusta</v>
      </c>
      <c r="O540" t="str" cm="1">
        <f t="array" ref="O540">_xlfn.IFS(J540="M","Medium",J540="L","Large",J540="D","Dark")</f>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_xlfn.XLOOKUP(C541,customers!$A$1:$A$1001,customers!$B$1:$B$1001,,0)</f>
        <v>Birgit Domange</v>
      </c>
      <c r="G541" s="2" t="str">
        <f>IF(_xlfn.XLOOKUP(C541,customers!$A$1:$A$1001,customers!$C$1:$C$1001,,0)=0,"",_xlfn.XLOOKUP(C541,customers!$A$1:$A$1001,customers!$C$1:$C$1001,,0))</f>
        <v>bdomangeez@yahoo.co.jp</v>
      </c>
      <c r="H541" s="2" t="str">
        <f>_xlfn.XLOOKUP(C541,customers!$A$1:$A$1001,customers!$G$1:$G$1001,,0)</f>
        <v>United States</v>
      </c>
      <c r="I541" t="str">
        <f>INDEX(products!$A$1:$G$49,MATCH(orders!$D541,products!$A$1:$A$49,0),MATCH(orders!I$1,products!$A$1:$G$1,0))</f>
        <v>Rob</v>
      </c>
      <c r="J541" t="str">
        <f>INDEX(products!$A$1:$G$49,MATCH(orders!$D541,products!$A$1:$A$49,0),MATCH(orders!J$1,products!$A$1:$G$1,0))</f>
        <v>D</v>
      </c>
      <c r="K541" s="7">
        <f>INDEX(products!$A$1:$G$49,MATCH(orders!$D541,products!$A$1:$A$49,0),MATCH(orders!K$1,products!$A$1:$G$1,0))</f>
        <v>0.5</v>
      </c>
      <c r="L541" s="4">
        <f>INDEX(products!$A$1:$G$49,MATCH(orders!$D541,products!$A$1:$A$49,0),MATCH(orders!L$1,products!$A$1:$G$1,0))</f>
        <v>5.3699999999999992</v>
      </c>
      <c r="M541" s="4">
        <f t="shared" si="8"/>
        <v>26.849999999999994</v>
      </c>
      <c r="N541" t="str" cm="1">
        <f t="array" ref="N541">_xlfn.IFS(I541="Rob","Robusta",I541="Exc","Excelsa",I541="Ara","Arabica",I541="Lib","Liberica")</f>
        <v>Robusta</v>
      </c>
      <c r="O541" t="str" cm="1">
        <f t="array" ref="O541">_xlfn.IFS(J541="M","Medium",J541="L","Large",J541="D","Dark")</f>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_xlfn.XLOOKUP(C542,customers!$A$1:$A$1001,customers!$B$1:$B$1001,,0)</f>
        <v>Killian Osler</v>
      </c>
      <c r="G542" s="2" t="str">
        <f>IF(_xlfn.XLOOKUP(C542,customers!$A$1:$A$1001,customers!$C$1:$C$1001,,0)=0,"",_xlfn.XLOOKUP(C542,customers!$A$1:$A$1001,customers!$C$1:$C$1001,,0))</f>
        <v>koslerf0@gmpg.org</v>
      </c>
      <c r="H542" s="2" t="str">
        <f>_xlfn.XLOOKUP(C542,customers!$A$1:$A$1001,customers!$G$1:$G$1001,,0)</f>
        <v>United States</v>
      </c>
      <c r="I542" t="str">
        <f>INDEX(products!$A$1:$G$49,MATCH(orders!$D542,products!$A$1:$A$49,0),MATCH(orders!I$1,products!$A$1:$G$1,0))</f>
        <v>Lib</v>
      </c>
      <c r="J542" t="str">
        <f>INDEX(products!$A$1:$G$49,MATCH(orders!$D542,products!$A$1:$A$49,0),MATCH(orders!J$1,products!$A$1:$G$1,0))</f>
        <v>L</v>
      </c>
      <c r="K542" s="7">
        <f>INDEX(products!$A$1:$G$49,MATCH(orders!$D542,products!$A$1:$A$49,0),MATCH(orders!K$1,products!$A$1:$G$1,0))</f>
        <v>1</v>
      </c>
      <c r="L542" s="4">
        <f>INDEX(products!$A$1:$G$49,MATCH(orders!$D542,products!$A$1:$A$49,0),MATCH(orders!L$1,products!$A$1:$G$1,0))</f>
        <v>15.85</v>
      </c>
      <c r="M542" s="4">
        <f t="shared" si="8"/>
        <v>63.4</v>
      </c>
      <c r="N542" t="str" cm="1">
        <f t="array" ref="N542">_xlfn.IFS(I542="Rob","Robusta",I542="Exc","Excelsa",I542="Ara","Arabica",I542="Lib","Liberica")</f>
        <v>Liberica</v>
      </c>
      <c r="O542" t="str" cm="1">
        <f t="array" ref="O542">_xlfn.IFS(J542="M","Medium",J542="L","Large",J542="D","Dark")</f>
        <v>Large</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_xlfn.XLOOKUP(C543,customers!$A$1:$A$1001,customers!$B$1:$B$1001,,0)</f>
        <v>Lora Dukes</v>
      </c>
      <c r="G543" s="2" t="str">
        <f>IF(_xlfn.XLOOKUP(C543,customers!$A$1:$A$1001,customers!$C$1:$C$1001,,0)=0,"",_xlfn.XLOOKUP(C543,customers!$A$1:$A$1001,customers!$C$1:$C$1001,,0))</f>
        <v/>
      </c>
      <c r="H543" s="2" t="str">
        <f>_xlfn.XLOOKUP(C543,customers!$A$1:$A$1001,customers!$G$1:$G$1001,,0)</f>
        <v>Ireland</v>
      </c>
      <c r="I543" t="str">
        <f>INDEX(products!$A$1:$G$49,MATCH(orders!$D543,products!$A$1:$A$49,0),MATCH(orders!I$1,products!$A$1:$G$1,0))</f>
        <v>Ara</v>
      </c>
      <c r="J543" t="str">
        <f>INDEX(products!$A$1:$G$49,MATCH(orders!$D543,products!$A$1:$A$49,0),MATCH(orders!J$1,products!$A$1:$G$1,0))</f>
        <v>D</v>
      </c>
      <c r="K543" s="7">
        <f>INDEX(products!$A$1:$G$49,MATCH(orders!$D543,products!$A$1:$A$49,0),MATCH(orders!K$1,products!$A$1:$G$1,0))</f>
        <v>2.5</v>
      </c>
      <c r="L543" s="4">
        <f>INDEX(products!$A$1:$G$49,MATCH(orders!$D543,products!$A$1:$A$49,0),MATCH(orders!L$1,products!$A$1:$G$1,0))</f>
        <v>22.884999999999998</v>
      </c>
      <c r="M543" s="4">
        <f t="shared" si="8"/>
        <v>22.884999999999998</v>
      </c>
      <c r="N543" t="str" cm="1">
        <f t="array" ref="N543">_xlfn.IFS(I543="Rob","Robusta",I543="Exc","Excelsa",I543="Ara","Arabica",I543="Lib","Liberica")</f>
        <v>Arabica</v>
      </c>
      <c r="O543" t="str" cm="1">
        <f t="array" ref="O543">_xlfn.IFS(J543="M","Medium",J543="L","Large",J543="D","Dark")</f>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_xlfn.XLOOKUP(C544,customers!$A$1:$A$1001,customers!$B$1:$B$1001,,0)</f>
        <v>Zack Pellett</v>
      </c>
      <c r="G544" s="2" t="str">
        <f>IF(_xlfn.XLOOKUP(C544,customers!$A$1:$A$1001,customers!$C$1:$C$1001,,0)=0,"",_xlfn.XLOOKUP(C544,customers!$A$1:$A$1001,customers!$C$1:$C$1001,,0))</f>
        <v>zpellettf2@dailymotion.com</v>
      </c>
      <c r="H544" s="2" t="str">
        <f>_xlfn.XLOOKUP(C544,customers!$A$1:$A$1001,customers!$G$1:$G$1001,,0)</f>
        <v>United States</v>
      </c>
      <c r="I544" t="str">
        <f>INDEX(products!$A$1:$G$49,MATCH(orders!$D544,products!$A$1:$A$49,0),MATCH(orders!I$1,products!$A$1:$G$1,0))</f>
        <v>Ara</v>
      </c>
      <c r="J544" t="str">
        <f>INDEX(products!$A$1:$G$49,MATCH(orders!$D544,products!$A$1:$A$49,0),MATCH(orders!J$1,products!$A$1:$G$1,0))</f>
        <v>M</v>
      </c>
      <c r="K544" s="7">
        <f>INDEX(products!$A$1:$G$49,MATCH(orders!$D544,products!$A$1:$A$49,0),MATCH(orders!K$1,products!$A$1:$G$1,0))</f>
        <v>2.5</v>
      </c>
      <c r="L544" s="4">
        <f>INDEX(products!$A$1:$G$49,MATCH(orders!$D544,products!$A$1:$A$49,0),MATCH(orders!L$1,products!$A$1:$G$1,0))</f>
        <v>25.874999999999996</v>
      </c>
      <c r="M544" s="4">
        <f t="shared" si="8"/>
        <v>103.49999999999999</v>
      </c>
      <c r="N544" t="str" cm="1">
        <f t="array" ref="N544">_xlfn.IFS(I544="Rob","Robusta",I544="Exc","Excelsa",I544="Ara","Arabica",I544="Lib","Liberica")</f>
        <v>Arabica</v>
      </c>
      <c r="O544" t="str" cm="1">
        <f t="array" ref="O544">_xlfn.IFS(J544="M","Medium",J544="L","Large",J544="D","Dark")</f>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_xlfn.XLOOKUP(C545,customers!$A$1:$A$1001,customers!$B$1:$B$1001,,0)</f>
        <v>Ilaire Sprakes</v>
      </c>
      <c r="G545" s="2" t="str">
        <f>IF(_xlfn.XLOOKUP(C545,customers!$A$1:$A$1001,customers!$C$1:$C$1001,,0)=0,"",_xlfn.XLOOKUP(C545,customers!$A$1:$A$1001,customers!$C$1:$C$1001,,0))</f>
        <v>isprakesf3@spiegel.de</v>
      </c>
      <c r="H545" s="2" t="str">
        <f>_xlfn.XLOOKUP(C545,customers!$A$1:$A$1001,customers!$G$1:$G$1001,,0)</f>
        <v>United States</v>
      </c>
      <c r="I545" t="str">
        <f>INDEX(products!$A$1:$G$49,MATCH(orders!$D545,products!$A$1:$A$49,0),MATCH(orders!I$1,products!$A$1:$G$1,0))</f>
        <v>Rob</v>
      </c>
      <c r="J545" t="str">
        <f>INDEX(products!$A$1:$G$49,MATCH(orders!$D545,products!$A$1:$A$49,0),MATCH(orders!J$1,products!$A$1:$G$1,0))</f>
        <v>L</v>
      </c>
      <c r="K545" s="7">
        <f>INDEX(products!$A$1:$G$49,MATCH(orders!$D545,products!$A$1:$A$49,0),MATCH(orders!K$1,products!$A$1:$G$1,0))</f>
        <v>2.5</v>
      </c>
      <c r="L545" s="4">
        <f>INDEX(products!$A$1:$G$49,MATCH(orders!$D545,products!$A$1:$A$49,0),MATCH(orders!L$1,products!$A$1:$G$1,0))</f>
        <v>27.484999999999996</v>
      </c>
      <c r="M545" s="4">
        <f t="shared" si="8"/>
        <v>54.969999999999992</v>
      </c>
      <c r="N545" t="str" cm="1">
        <f t="array" ref="N545">_xlfn.IFS(I545="Rob","Robusta",I545="Exc","Excelsa",I545="Ara","Arabica",I545="Lib","Liberica")</f>
        <v>Robusta</v>
      </c>
      <c r="O545" t="str" cm="1">
        <f t="array" ref="O545">_xlfn.IFS(J545="M","Medium",J545="L","Large",J545="D","Dark")</f>
        <v>Large</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_xlfn.XLOOKUP(C546,customers!$A$1:$A$1001,customers!$B$1:$B$1001,,0)</f>
        <v>Heda Fromant</v>
      </c>
      <c r="G546" s="2" t="str">
        <f>IF(_xlfn.XLOOKUP(C546,customers!$A$1:$A$1001,customers!$C$1:$C$1001,,0)=0,"",_xlfn.XLOOKUP(C546,customers!$A$1:$A$1001,customers!$C$1:$C$1001,,0))</f>
        <v>hfromantf4@ucsd.edu</v>
      </c>
      <c r="H546" s="2" t="str">
        <f>_xlfn.XLOOKUP(C546,customers!$A$1:$A$1001,customers!$G$1:$G$1001,,0)</f>
        <v>United States</v>
      </c>
      <c r="I546" t="str">
        <f>INDEX(products!$A$1:$G$49,MATCH(orders!$D546,products!$A$1:$A$49,0),MATCH(orders!I$1,products!$A$1:$G$1,0))</f>
        <v>Ara</v>
      </c>
      <c r="J546" t="str">
        <f>INDEX(products!$A$1:$G$49,MATCH(orders!$D546,products!$A$1:$A$49,0),MATCH(orders!J$1,products!$A$1:$G$1,0))</f>
        <v>L</v>
      </c>
      <c r="K546" s="7">
        <f>INDEX(products!$A$1:$G$49,MATCH(orders!$D546,products!$A$1:$A$49,0),MATCH(orders!K$1,products!$A$1:$G$1,0))</f>
        <v>0.5</v>
      </c>
      <c r="L546" s="4">
        <f>INDEX(products!$A$1:$G$49,MATCH(orders!$D546,products!$A$1:$A$49,0),MATCH(orders!L$1,products!$A$1:$G$1,0))</f>
        <v>7.77</v>
      </c>
      <c r="M546" s="4">
        <f t="shared" si="8"/>
        <v>15.54</v>
      </c>
      <c r="N546" t="str" cm="1">
        <f t="array" ref="N546">_xlfn.IFS(I546="Rob","Robusta",I546="Exc","Excelsa",I546="Ara","Arabica",I546="Lib","Liberica")</f>
        <v>Arabica</v>
      </c>
      <c r="O546" t="str" cm="1">
        <f t="array" ref="O546">_xlfn.IFS(J546="M","Medium",J546="L","Large",J546="D","Dark")</f>
        <v>Large</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_xlfn.XLOOKUP(C547,customers!$A$1:$A$1001,customers!$B$1:$B$1001,,0)</f>
        <v>Rufus Flear</v>
      </c>
      <c r="G547" s="2" t="str">
        <f>IF(_xlfn.XLOOKUP(C547,customers!$A$1:$A$1001,customers!$C$1:$C$1001,,0)=0,"",_xlfn.XLOOKUP(C547,customers!$A$1:$A$1001,customers!$C$1:$C$1001,,0))</f>
        <v>rflearf5@artisteer.com</v>
      </c>
      <c r="H547" s="2" t="str">
        <f>_xlfn.XLOOKUP(C547,customers!$A$1:$A$1001,customers!$G$1:$G$1001,,0)</f>
        <v>United Kingdom</v>
      </c>
      <c r="I547" t="str">
        <f>INDEX(products!$A$1:$G$49,MATCH(orders!$D547,products!$A$1:$A$49,0),MATCH(orders!I$1,products!$A$1:$G$1,0))</f>
        <v>Lib</v>
      </c>
      <c r="J547" t="str">
        <f>INDEX(products!$A$1:$G$49,MATCH(orders!$D547,products!$A$1:$A$49,0),MATCH(orders!J$1,products!$A$1:$G$1,0))</f>
        <v>D</v>
      </c>
      <c r="K547" s="7">
        <f>INDEX(products!$A$1:$G$49,MATCH(orders!$D547,products!$A$1:$A$49,0),MATCH(orders!K$1,products!$A$1:$G$1,0))</f>
        <v>0.2</v>
      </c>
      <c r="L547" s="4">
        <f>INDEX(products!$A$1:$G$49,MATCH(orders!$D547,products!$A$1:$A$49,0),MATCH(orders!L$1,products!$A$1:$G$1,0))</f>
        <v>3.8849999999999998</v>
      </c>
      <c r="M547" s="4">
        <f t="shared" si="8"/>
        <v>15.54</v>
      </c>
      <c r="N547" t="str" cm="1">
        <f t="array" ref="N547">_xlfn.IFS(I547="Rob","Robusta",I547="Exc","Excelsa",I547="Ara","Arabica",I547="Lib","Liberica")</f>
        <v>Liberica</v>
      </c>
      <c r="O547" t="str" cm="1">
        <f t="array" ref="O547">_xlfn.IFS(J547="M","Medium",J547="L","Large",J547="D","Dark")</f>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_xlfn.XLOOKUP(C548,customers!$A$1:$A$1001,customers!$B$1:$B$1001,,0)</f>
        <v>Dom Milella</v>
      </c>
      <c r="G548" s="2" t="str">
        <f>IF(_xlfn.XLOOKUP(C548,customers!$A$1:$A$1001,customers!$C$1:$C$1001,,0)=0,"",_xlfn.XLOOKUP(C548,customers!$A$1:$A$1001,customers!$C$1:$C$1001,,0))</f>
        <v/>
      </c>
      <c r="H548" s="2" t="str">
        <f>_xlfn.XLOOKUP(C548,customers!$A$1:$A$1001,customers!$G$1:$G$1001,,0)</f>
        <v>Ireland</v>
      </c>
      <c r="I548" t="str">
        <f>INDEX(products!$A$1:$G$49,MATCH(orders!$D548,products!$A$1:$A$49,0),MATCH(orders!I$1,products!$A$1:$G$1,0))</f>
        <v>Exc</v>
      </c>
      <c r="J548" t="str">
        <f>INDEX(products!$A$1:$G$49,MATCH(orders!$D548,products!$A$1:$A$49,0),MATCH(orders!J$1,products!$A$1:$G$1,0))</f>
        <v>D</v>
      </c>
      <c r="K548" s="7">
        <f>INDEX(products!$A$1:$G$49,MATCH(orders!$D548,products!$A$1:$A$49,0),MATCH(orders!K$1,products!$A$1:$G$1,0))</f>
        <v>2.5</v>
      </c>
      <c r="L548" s="4">
        <f>INDEX(products!$A$1:$G$49,MATCH(orders!$D548,products!$A$1:$A$49,0),MATCH(orders!L$1,products!$A$1:$G$1,0))</f>
        <v>27.945</v>
      </c>
      <c r="M548" s="4">
        <f t="shared" si="8"/>
        <v>83.835000000000008</v>
      </c>
      <c r="N548" t="str" cm="1">
        <f t="array" ref="N548">_xlfn.IFS(I548="Rob","Robusta",I548="Exc","Excelsa",I548="Ara","Arabica",I548="Lib","Liberica")</f>
        <v>Excelsa</v>
      </c>
      <c r="O548" t="str" cm="1">
        <f t="array" ref="O548">_xlfn.IFS(J548="M","Medium",J548="L","Large",J548="D","Dark")</f>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_xlfn.XLOOKUP(C549,customers!$A$1:$A$1001,customers!$B$1:$B$1001,,0)</f>
        <v>Wilek Lightollers</v>
      </c>
      <c r="G549" s="2" t="str">
        <f>IF(_xlfn.XLOOKUP(C549,customers!$A$1:$A$1001,customers!$C$1:$C$1001,,0)=0,"",_xlfn.XLOOKUP(C549,customers!$A$1:$A$1001,customers!$C$1:$C$1001,,0))</f>
        <v>wlightollersf9@baidu.com</v>
      </c>
      <c r="H549" s="2" t="str">
        <f>_xlfn.XLOOKUP(C549,customers!$A$1:$A$1001,customers!$G$1:$G$1001,,0)</f>
        <v>United States</v>
      </c>
      <c r="I549" t="str">
        <f>INDEX(products!$A$1:$G$49,MATCH(orders!$D549,products!$A$1:$A$49,0),MATCH(orders!I$1,products!$A$1:$G$1,0))</f>
        <v>Rob</v>
      </c>
      <c r="J549" t="str">
        <f>INDEX(products!$A$1:$G$49,MATCH(orders!$D549,products!$A$1:$A$49,0),MATCH(orders!J$1,products!$A$1:$G$1,0))</f>
        <v>L</v>
      </c>
      <c r="K549" s="7">
        <f>INDEX(products!$A$1:$G$49,MATCH(orders!$D549,products!$A$1:$A$49,0),MATCH(orders!K$1,products!$A$1:$G$1,0))</f>
        <v>0.2</v>
      </c>
      <c r="L549" s="4">
        <f>INDEX(products!$A$1:$G$49,MATCH(orders!$D549,products!$A$1:$A$49,0),MATCH(orders!L$1,products!$A$1:$G$1,0))</f>
        <v>3.5849999999999995</v>
      </c>
      <c r="M549" s="4">
        <f t="shared" si="8"/>
        <v>10.754999999999999</v>
      </c>
      <c r="N549" t="str" cm="1">
        <f t="array" ref="N549">_xlfn.IFS(I549="Rob","Robusta",I549="Exc","Excelsa",I549="Ara","Arabica",I549="Lib","Liberica")</f>
        <v>Robusta</v>
      </c>
      <c r="O549" t="str" cm="1">
        <f t="array" ref="O549">_xlfn.IFS(J549="M","Medium",J549="L","Large",J549="D","Dark")</f>
        <v>Large</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_xlfn.XLOOKUP(C550,customers!$A$1:$A$1001,customers!$B$1:$B$1001,,0)</f>
        <v>Bette-ann Munden</v>
      </c>
      <c r="G550" s="2" t="str">
        <f>IF(_xlfn.XLOOKUP(C550,customers!$A$1:$A$1001,customers!$C$1:$C$1001,,0)=0,"",_xlfn.XLOOKUP(C550,customers!$A$1:$A$1001,customers!$C$1:$C$1001,,0))</f>
        <v>bmundenf8@elpais.com</v>
      </c>
      <c r="H550" s="2" t="str">
        <f>_xlfn.XLOOKUP(C550,customers!$A$1:$A$1001,customers!$G$1:$G$1001,,0)</f>
        <v>United States</v>
      </c>
      <c r="I550" t="str">
        <f>INDEX(products!$A$1:$G$49,MATCH(orders!$D550,products!$A$1:$A$49,0),MATCH(orders!I$1,products!$A$1:$G$1,0))</f>
        <v>Exc</v>
      </c>
      <c r="J550" t="str">
        <f>INDEX(products!$A$1:$G$49,MATCH(orders!$D550,products!$A$1:$A$49,0),MATCH(orders!J$1,products!$A$1:$G$1,0))</f>
        <v>L</v>
      </c>
      <c r="K550" s="7">
        <f>INDEX(products!$A$1:$G$49,MATCH(orders!$D550,products!$A$1:$A$49,0),MATCH(orders!K$1,products!$A$1:$G$1,0))</f>
        <v>0.2</v>
      </c>
      <c r="L550" s="4">
        <f>INDEX(products!$A$1:$G$49,MATCH(orders!$D550,products!$A$1:$A$49,0),MATCH(orders!L$1,products!$A$1:$G$1,0))</f>
        <v>4.4550000000000001</v>
      </c>
      <c r="M550" s="4">
        <f t="shared" si="8"/>
        <v>13.365</v>
      </c>
      <c r="N550" t="str" cm="1">
        <f t="array" ref="N550">_xlfn.IFS(I550="Rob","Robusta",I550="Exc","Excelsa",I550="Ara","Arabica",I550="Lib","Liberica")</f>
        <v>Excelsa</v>
      </c>
      <c r="O550" t="str" cm="1">
        <f t="array" ref="O550">_xlfn.IFS(J550="M","Medium",J550="L","Large",J550="D","Dark")</f>
        <v>Large</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_xlfn.XLOOKUP(C551,customers!$A$1:$A$1001,customers!$B$1:$B$1001,,0)</f>
        <v>Wilek Lightollers</v>
      </c>
      <c r="G551" s="2" t="str">
        <f>IF(_xlfn.XLOOKUP(C551,customers!$A$1:$A$1001,customers!$C$1:$C$1001,,0)=0,"",_xlfn.XLOOKUP(C551,customers!$A$1:$A$1001,customers!$C$1:$C$1001,,0))</f>
        <v>wlightollersf9@baidu.com</v>
      </c>
      <c r="H551" s="2" t="str">
        <f>_xlfn.XLOOKUP(C551,customers!$A$1:$A$1001,customers!$G$1:$G$1001,,0)</f>
        <v>United States</v>
      </c>
      <c r="I551" t="str">
        <f>INDEX(products!$A$1:$G$49,MATCH(orders!$D551,products!$A$1:$A$49,0),MATCH(orders!I$1,products!$A$1:$G$1,0))</f>
        <v>Exc</v>
      </c>
      <c r="J551" t="str">
        <f>INDEX(products!$A$1:$G$49,MATCH(orders!$D551,products!$A$1:$A$49,0),MATCH(orders!J$1,products!$A$1:$G$1,0))</f>
        <v>L</v>
      </c>
      <c r="K551" s="7">
        <f>INDEX(products!$A$1:$G$49,MATCH(orders!$D551,products!$A$1:$A$49,0),MATCH(orders!K$1,products!$A$1:$G$1,0))</f>
        <v>0.2</v>
      </c>
      <c r="L551" s="4">
        <f>INDEX(products!$A$1:$G$49,MATCH(orders!$D551,products!$A$1:$A$49,0),MATCH(orders!L$1,products!$A$1:$G$1,0))</f>
        <v>4.4550000000000001</v>
      </c>
      <c r="M551" s="4">
        <f t="shared" si="8"/>
        <v>17.82</v>
      </c>
      <c r="N551" t="str" cm="1">
        <f t="array" ref="N551">_xlfn.IFS(I551="Rob","Robusta",I551="Exc","Excelsa",I551="Ara","Arabica",I551="Lib","Liberica")</f>
        <v>Excelsa</v>
      </c>
      <c r="O551" t="str" cm="1">
        <f t="array" ref="O551">_xlfn.IFS(J551="M","Medium",J551="L","Large",J551="D","Dark")</f>
        <v>Large</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_xlfn.XLOOKUP(C552,customers!$A$1:$A$1001,customers!$B$1:$B$1001,,0)</f>
        <v>Nick Brakespear</v>
      </c>
      <c r="G552" s="2" t="str">
        <f>IF(_xlfn.XLOOKUP(C552,customers!$A$1:$A$1001,customers!$C$1:$C$1001,,0)=0,"",_xlfn.XLOOKUP(C552,customers!$A$1:$A$1001,customers!$C$1:$C$1001,,0))</f>
        <v>nbrakespearfa@rediff.com</v>
      </c>
      <c r="H552" s="2" t="str">
        <f>_xlfn.XLOOKUP(C552,customers!$A$1:$A$1001,customers!$G$1:$G$1001,,0)</f>
        <v>United States</v>
      </c>
      <c r="I552" t="str">
        <f>INDEX(products!$A$1:$G$49,MATCH(orders!$D552,products!$A$1:$A$49,0),MATCH(orders!I$1,products!$A$1:$G$1,0))</f>
        <v>Lib</v>
      </c>
      <c r="J552" t="str">
        <f>INDEX(products!$A$1:$G$49,MATCH(orders!$D552,products!$A$1:$A$49,0),MATCH(orders!J$1,products!$A$1:$G$1,0))</f>
        <v>D</v>
      </c>
      <c r="K552" s="7">
        <f>INDEX(products!$A$1:$G$49,MATCH(orders!$D552,products!$A$1:$A$49,0),MATCH(orders!K$1,products!$A$1:$G$1,0))</f>
        <v>0.2</v>
      </c>
      <c r="L552" s="4">
        <f>INDEX(products!$A$1:$G$49,MATCH(orders!$D552,products!$A$1:$A$49,0),MATCH(orders!L$1,products!$A$1:$G$1,0))</f>
        <v>3.8849999999999998</v>
      </c>
      <c r="M552" s="4">
        <f t="shared" si="8"/>
        <v>23.31</v>
      </c>
      <c r="N552" t="str" cm="1">
        <f t="array" ref="N552">_xlfn.IFS(I552="Rob","Robusta",I552="Exc","Excelsa",I552="Ara","Arabica",I552="Lib","Liberica")</f>
        <v>Liberica</v>
      </c>
      <c r="O552" t="str" cm="1">
        <f t="array" ref="O552">_xlfn.IFS(J552="M","Medium",J552="L","Large",J552="D","Dark")</f>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_xlfn.XLOOKUP(C553,customers!$A$1:$A$1001,customers!$B$1:$B$1001,,0)</f>
        <v>Malynda Glawsop</v>
      </c>
      <c r="G553" s="2" t="str">
        <f>IF(_xlfn.XLOOKUP(C553,customers!$A$1:$A$1001,customers!$C$1:$C$1001,,0)=0,"",_xlfn.XLOOKUP(C553,customers!$A$1:$A$1001,customers!$C$1:$C$1001,,0))</f>
        <v>mglawsopfb@reverbnation.com</v>
      </c>
      <c r="H553" s="2" t="str">
        <f>_xlfn.XLOOKUP(C553,customers!$A$1:$A$1001,customers!$G$1:$G$1001,,0)</f>
        <v>United States</v>
      </c>
      <c r="I553" t="str">
        <f>INDEX(products!$A$1:$G$49,MATCH(orders!$D553,products!$A$1:$A$49,0),MATCH(orders!I$1,products!$A$1:$G$1,0))</f>
        <v>Exc</v>
      </c>
      <c r="J553" t="str">
        <f>INDEX(products!$A$1:$G$49,MATCH(orders!$D553,products!$A$1:$A$49,0),MATCH(orders!J$1,products!$A$1:$G$1,0))</f>
        <v>D</v>
      </c>
      <c r="K553" s="7">
        <f>INDEX(products!$A$1:$G$49,MATCH(orders!$D553,products!$A$1:$A$49,0),MATCH(orders!K$1,products!$A$1:$G$1,0))</f>
        <v>0.2</v>
      </c>
      <c r="L553" s="4">
        <f>INDEX(products!$A$1:$G$49,MATCH(orders!$D553,products!$A$1:$A$49,0),MATCH(orders!L$1,products!$A$1:$G$1,0))</f>
        <v>3.645</v>
      </c>
      <c r="M553" s="4">
        <f t="shared" si="8"/>
        <v>7.29</v>
      </c>
      <c r="N553" t="str" cm="1">
        <f t="array" ref="N553">_xlfn.IFS(I553="Rob","Robusta",I553="Exc","Excelsa",I553="Ara","Arabica",I553="Lib","Liberica")</f>
        <v>Excelsa</v>
      </c>
      <c r="O553" t="str" cm="1">
        <f t="array" ref="O553">_xlfn.IFS(J553="M","Medium",J553="L","Large",J553="D","Dark")</f>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_xlfn.XLOOKUP(C554,customers!$A$1:$A$1001,customers!$B$1:$B$1001,,0)</f>
        <v>Granville Alberts</v>
      </c>
      <c r="G554" s="2" t="str">
        <f>IF(_xlfn.XLOOKUP(C554,customers!$A$1:$A$1001,customers!$C$1:$C$1001,,0)=0,"",_xlfn.XLOOKUP(C554,customers!$A$1:$A$1001,customers!$C$1:$C$1001,,0))</f>
        <v>galbertsfc@etsy.com</v>
      </c>
      <c r="H554" s="2" t="str">
        <f>_xlfn.XLOOKUP(C554,customers!$A$1:$A$1001,customers!$G$1:$G$1001,,0)</f>
        <v>United Kingdom</v>
      </c>
      <c r="I554" t="str">
        <f>INDEX(products!$A$1:$G$49,MATCH(orders!$D554,products!$A$1:$A$49,0),MATCH(orders!I$1,products!$A$1:$G$1,0))</f>
        <v>Exc</v>
      </c>
      <c r="J554" t="str">
        <f>INDEX(products!$A$1:$G$49,MATCH(orders!$D554,products!$A$1:$A$49,0),MATCH(orders!J$1,products!$A$1:$G$1,0))</f>
        <v>L</v>
      </c>
      <c r="K554" s="7">
        <f>INDEX(products!$A$1:$G$49,MATCH(orders!$D554,products!$A$1:$A$49,0),MATCH(orders!K$1,products!$A$1:$G$1,0))</f>
        <v>0.2</v>
      </c>
      <c r="L554" s="4">
        <f>INDEX(products!$A$1:$G$49,MATCH(orders!$D554,products!$A$1:$A$49,0),MATCH(orders!L$1,products!$A$1:$G$1,0))</f>
        <v>4.4550000000000001</v>
      </c>
      <c r="M554" s="4">
        <f t="shared" si="8"/>
        <v>17.82</v>
      </c>
      <c r="N554" t="str" cm="1">
        <f t="array" ref="N554">_xlfn.IFS(I554="Rob","Robusta",I554="Exc","Excelsa",I554="Ara","Arabica",I554="Lib","Liberica")</f>
        <v>Excelsa</v>
      </c>
      <c r="O554" t="str" cm="1">
        <f t="array" ref="O554">_xlfn.IFS(J554="M","Medium",J554="L","Large",J554="D","Dark")</f>
        <v>Large</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_xlfn.XLOOKUP(C555,customers!$A$1:$A$1001,customers!$B$1:$B$1001,,0)</f>
        <v>Vasily Polglase</v>
      </c>
      <c r="G555" s="2" t="str">
        <f>IF(_xlfn.XLOOKUP(C555,customers!$A$1:$A$1001,customers!$C$1:$C$1001,,0)=0,"",_xlfn.XLOOKUP(C555,customers!$A$1:$A$1001,customers!$C$1:$C$1001,,0))</f>
        <v>vpolglasefd@about.me</v>
      </c>
      <c r="H555" s="2" t="str">
        <f>_xlfn.XLOOKUP(C555,customers!$A$1:$A$1001,customers!$G$1:$G$1001,,0)</f>
        <v>United States</v>
      </c>
      <c r="I555" t="str">
        <f>INDEX(products!$A$1:$G$49,MATCH(orders!$D555,products!$A$1:$A$49,0),MATCH(orders!I$1,products!$A$1:$G$1,0))</f>
        <v>Exc</v>
      </c>
      <c r="J555" t="str">
        <f>INDEX(products!$A$1:$G$49,MATCH(orders!$D555,products!$A$1:$A$49,0),MATCH(orders!J$1,products!$A$1:$G$1,0))</f>
        <v>M</v>
      </c>
      <c r="K555" s="7">
        <f>INDEX(products!$A$1:$G$49,MATCH(orders!$D555,products!$A$1:$A$49,0),MATCH(orders!K$1,products!$A$1:$G$1,0))</f>
        <v>1</v>
      </c>
      <c r="L555" s="4">
        <f>INDEX(products!$A$1:$G$49,MATCH(orders!$D555,products!$A$1:$A$49,0),MATCH(orders!L$1,products!$A$1:$G$1,0))</f>
        <v>13.75</v>
      </c>
      <c r="M555" s="4">
        <f t="shared" si="8"/>
        <v>68.75</v>
      </c>
      <c r="N555" t="str" cm="1">
        <f t="array" ref="N555">_xlfn.IFS(I555="Rob","Robusta",I555="Exc","Excelsa",I555="Ara","Arabica",I555="Lib","Liberica")</f>
        <v>Excelsa</v>
      </c>
      <c r="O555" t="str" cm="1">
        <f t="array" ref="O555">_xlfn.IFS(J555="M","Medium",J555="L","Large",J555="D","Dark")</f>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_xlfn.XLOOKUP(C556,customers!$A$1:$A$1001,customers!$B$1:$B$1001,,0)</f>
        <v>Madelaine Sharples</v>
      </c>
      <c r="G556" s="2" t="str">
        <f>IF(_xlfn.XLOOKUP(C556,customers!$A$1:$A$1001,customers!$C$1:$C$1001,,0)=0,"",_xlfn.XLOOKUP(C556,customers!$A$1:$A$1001,customers!$C$1:$C$1001,,0))</f>
        <v/>
      </c>
      <c r="H556" s="2" t="str">
        <f>_xlfn.XLOOKUP(C556,customers!$A$1:$A$1001,customers!$G$1:$G$1001,,0)</f>
        <v>United Kingdom</v>
      </c>
      <c r="I556" t="str">
        <f>INDEX(products!$A$1:$G$49,MATCH(orders!$D556,products!$A$1:$A$49,0),MATCH(orders!I$1,products!$A$1:$G$1,0))</f>
        <v>Rob</v>
      </c>
      <c r="J556" t="str">
        <f>INDEX(products!$A$1:$G$49,MATCH(orders!$D556,products!$A$1:$A$49,0),MATCH(orders!J$1,products!$A$1:$G$1,0))</f>
        <v>L</v>
      </c>
      <c r="K556" s="7">
        <f>INDEX(products!$A$1:$G$49,MATCH(orders!$D556,products!$A$1:$A$49,0),MATCH(orders!K$1,products!$A$1:$G$1,0))</f>
        <v>2.5</v>
      </c>
      <c r="L556" s="4">
        <f>INDEX(products!$A$1:$G$49,MATCH(orders!$D556,products!$A$1:$A$49,0),MATCH(orders!L$1,products!$A$1:$G$1,0))</f>
        <v>27.484999999999996</v>
      </c>
      <c r="M556" s="4">
        <f t="shared" si="8"/>
        <v>54.969999999999992</v>
      </c>
      <c r="N556" t="str" cm="1">
        <f t="array" ref="N556">_xlfn.IFS(I556="Rob","Robusta",I556="Exc","Excelsa",I556="Ara","Arabica",I556="Lib","Liberica")</f>
        <v>Robusta</v>
      </c>
      <c r="O556" t="str" cm="1">
        <f t="array" ref="O556">_xlfn.IFS(J556="M","Medium",J556="L","Large",J556="D","Dark")</f>
        <v>Large</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_xlfn.XLOOKUP(C557,customers!$A$1:$A$1001,customers!$B$1:$B$1001,,0)</f>
        <v>Sigfrid Busch</v>
      </c>
      <c r="G557" s="2" t="str">
        <f>IF(_xlfn.XLOOKUP(C557,customers!$A$1:$A$1001,customers!$C$1:$C$1001,,0)=0,"",_xlfn.XLOOKUP(C557,customers!$A$1:$A$1001,customers!$C$1:$C$1001,,0))</f>
        <v>sbuschff@so-net.ne.jp</v>
      </c>
      <c r="H557" s="2" t="str">
        <f>_xlfn.XLOOKUP(C557,customers!$A$1:$A$1001,customers!$G$1:$G$1001,,0)</f>
        <v>Ireland</v>
      </c>
      <c r="I557" t="str">
        <f>INDEX(products!$A$1:$G$49,MATCH(orders!$D557,products!$A$1:$A$49,0),MATCH(orders!I$1,products!$A$1:$G$1,0))</f>
        <v>Exc</v>
      </c>
      <c r="J557" t="str">
        <f>INDEX(products!$A$1:$G$49,MATCH(orders!$D557,products!$A$1:$A$49,0),MATCH(orders!J$1,products!$A$1:$G$1,0))</f>
        <v>M</v>
      </c>
      <c r="K557" s="7">
        <f>INDEX(products!$A$1:$G$49,MATCH(orders!$D557,products!$A$1:$A$49,0),MATCH(orders!K$1,products!$A$1:$G$1,0))</f>
        <v>1</v>
      </c>
      <c r="L557" s="4">
        <f>INDEX(products!$A$1:$G$49,MATCH(orders!$D557,products!$A$1:$A$49,0),MATCH(orders!L$1,products!$A$1:$G$1,0))</f>
        <v>13.75</v>
      </c>
      <c r="M557" s="4">
        <f t="shared" si="8"/>
        <v>82.5</v>
      </c>
      <c r="N557" t="str" cm="1">
        <f t="array" ref="N557">_xlfn.IFS(I557="Rob","Robusta",I557="Exc","Excelsa",I557="Ara","Arabica",I557="Lib","Liberica")</f>
        <v>Excelsa</v>
      </c>
      <c r="O557" t="str" cm="1">
        <f t="array" ref="O557">_xlfn.IFS(J557="M","Medium",J557="L","Large",J557="D","Dark")</f>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_xlfn.XLOOKUP(C558,customers!$A$1:$A$1001,customers!$B$1:$B$1001,,0)</f>
        <v>Cissiee Raisbeck</v>
      </c>
      <c r="G558" s="2" t="str">
        <f>IF(_xlfn.XLOOKUP(C558,customers!$A$1:$A$1001,customers!$C$1:$C$1001,,0)=0,"",_xlfn.XLOOKUP(C558,customers!$A$1:$A$1001,customers!$C$1:$C$1001,,0))</f>
        <v>craisbeckfg@webnode.com</v>
      </c>
      <c r="H558" s="2" t="str">
        <f>_xlfn.XLOOKUP(C558,customers!$A$1:$A$1001,customers!$G$1:$G$1001,,0)</f>
        <v>United States</v>
      </c>
      <c r="I558" t="str">
        <f>INDEX(products!$A$1:$G$49,MATCH(orders!$D558,products!$A$1:$A$49,0),MATCH(orders!I$1,products!$A$1:$G$1,0))</f>
        <v>Lib</v>
      </c>
      <c r="J558" t="str">
        <f>INDEX(products!$A$1:$G$49,MATCH(orders!$D558,products!$A$1:$A$49,0),MATCH(orders!J$1,products!$A$1:$G$1,0))</f>
        <v>M</v>
      </c>
      <c r="K558" s="7">
        <f>INDEX(products!$A$1:$G$49,MATCH(orders!$D558,products!$A$1:$A$49,0),MATCH(orders!K$1,products!$A$1:$G$1,0))</f>
        <v>0.2</v>
      </c>
      <c r="L558" s="4">
        <f>INDEX(products!$A$1:$G$49,MATCH(orders!$D558,products!$A$1:$A$49,0),MATCH(orders!L$1,products!$A$1:$G$1,0))</f>
        <v>4.3650000000000002</v>
      </c>
      <c r="M558" s="4">
        <f t="shared" si="8"/>
        <v>8.73</v>
      </c>
      <c r="N558" t="str" cm="1">
        <f t="array" ref="N558">_xlfn.IFS(I558="Rob","Robusta",I558="Exc","Excelsa",I558="Ara","Arabica",I558="Lib","Liberica")</f>
        <v>Liberica</v>
      </c>
      <c r="O558" t="str" cm="1">
        <f t="array" ref="O558">_xlfn.IFS(J558="M","Medium",J558="L","Large",J558="D","Dark")</f>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_xlfn.XLOOKUP(C559,customers!$A$1:$A$1001,customers!$B$1:$B$1001,,0)</f>
        <v>Marja Urion</v>
      </c>
      <c r="G559" s="2" t="str">
        <f>IF(_xlfn.XLOOKUP(C559,customers!$A$1:$A$1001,customers!$C$1:$C$1001,,0)=0,"",_xlfn.XLOOKUP(C559,customers!$A$1:$A$1001,customers!$C$1:$C$1001,,0))</f>
        <v>murione5@alexa.com</v>
      </c>
      <c r="H559" s="2" t="str">
        <f>_xlfn.XLOOKUP(C559,customers!$A$1:$A$1001,customers!$G$1:$G$1001,,0)</f>
        <v>Ireland</v>
      </c>
      <c r="I559" t="str">
        <f>INDEX(products!$A$1:$G$49,MATCH(orders!$D559,products!$A$1:$A$49,0),MATCH(orders!I$1,products!$A$1:$G$1,0))</f>
        <v>Exc</v>
      </c>
      <c r="J559" t="str">
        <f>INDEX(products!$A$1:$G$49,MATCH(orders!$D559,products!$A$1:$A$49,0),MATCH(orders!J$1,products!$A$1:$G$1,0))</f>
        <v>L</v>
      </c>
      <c r="K559" s="7">
        <f>INDEX(products!$A$1:$G$49,MATCH(orders!$D559,products!$A$1:$A$49,0),MATCH(orders!K$1,products!$A$1:$G$1,0))</f>
        <v>1</v>
      </c>
      <c r="L559" s="4">
        <f>INDEX(products!$A$1:$G$49,MATCH(orders!$D559,products!$A$1:$A$49,0),MATCH(orders!L$1,products!$A$1:$G$1,0))</f>
        <v>14.85</v>
      </c>
      <c r="M559" s="4">
        <f t="shared" si="8"/>
        <v>59.4</v>
      </c>
      <c r="N559" t="str" cm="1">
        <f t="array" ref="N559">_xlfn.IFS(I559="Rob","Robusta",I559="Exc","Excelsa",I559="Ara","Arabica",I559="Lib","Liberica")</f>
        <v>Excelsa</v>
      </c>
      <c r="O559" t="str" cm="1">
        <f t="array" ref="O559">_xlfn.IFS(J559="M","Medium",J559="L","Large",J559="D","Dark")</f>
        <v>Large</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_xlfn.XLOOKUP(C560,customers!$A$1:$A$1001,customers!$B$1:$B$1001,,0)</f>
        <v>Kenton Wetherick</v>
      </c>
      <c r="G560" s="2" t="str">
        <f>IF(_xlfn.XLOOKUP(C560,customers!$A$1:$A$1001,customers!$C$1:$C$1001,,0)=0,"",_xlfn.XLOOKUP(C560,customers!$A$1:$A$1001,customers!$C$1:$C$1001,,0))</f>
        <v/>
      </c>
      <c r="H560" s="2" t="str">
        <f>_xlfn.XLOOKUP(C560,customers!$A$1:$A$1001,customers!$G$1:$G$1001,,0)</f>
        <v>United States</v>
      </c>
      <c r="I560" t="str">
        <f>INDEX(products!$A$1:$G$49,MATCH(orders!$D560,products!$A$1:$A$49,0),MATCH(orders!I$1,products!$A$1:$G$1,0))</f>
        <v>Lib</v>
      </c>
      <c r="J560" t="str">
        <f>INDEX(products!$A$1:$G$49,MATCH(orders!$D560,products!$A$1:$A$49,0),MATCH(orders!J$1,products!$A$1:$G$1,0))</f>
        <v>D</v>
      </c>
      <c r="K560" s="7">
        <f>INDEX(products!$A$1:$G$49,MATCH(orders!$D560,products!$A$1:$A$49,0),MATCH(orders!K$1,products!$A$1:$G$1,0))</f>
        <v>0.2</v>
      </c>
      <c r="L560" s="4">
        <f>INDEX(products!$A$1:$G$49,MATCH(orders!$D560,products!$A$1:$A$49,0),MATCH(orders!L$1,products!$A$1:$G$1,0))</f>
        <v>3.8849999999999998</v>
      </c>
      <c r="M560" s="4">
        <f t="shared" si="8"/>
        <v>15.54</v>
      </c>
      <c r="N560" t="str" cm="1">
        <f t="array" ref="N560">_xlfn.IFS(I560="Rob","Robusta",I560="Exc","Excelsa",I560="Ara","Arabica",I560="Lib","Liberica")</f>
        <v>Liberica</v>
      </c>
      <c r="O560" t="str" cm="1">
        <f t="array" ref="O560">_xlfn.IFS(J560="M","Medium",J560="L","Large",J560="D","Dark")</f>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_xlfn.XLOOKUP(C561,customers!$A$1:$A$1001,customers!$B$1:$B$1001,,0)</f>
        <v>Reamonn Aynold</v>
      </c>
      <c r="G561" s="2" t="str">
        <f>IF(_xlfn.XLOOKUP(C561,customers!$A$1:$A$1001,customers!$C$1:$C$1001,,0)=0,"",_xlfn.XLOOKUP(C561,customers!$A$1:$A$1001,customers!$C$1:$C$1001,,0))</f>
        <v>raynoldfj@ustream.tv</v>
      </c>
      <c r="H561" s="2" t="str">
        <f>_xlfn.XLOOKUP(C561,customers!$A$1:$A$1001,customers!$G$1:$G$1001,,0)</f>
        <v>United States</v>
      </c>
      <c r="I561" t="str">
        <f>INDEX(products!$A$1:$G$49,MATCH(orders!$D561,products!$A$1:$A$49,0),MATCH(orders!I$1,products!$A$1:$G$1,0))</f>
        <v>Ara</v>
      </c>
      <c r="J561" t="str">
        <f>INDEX(products!$A$1:$G$49,MATCH(orders!$D561,products!$A$1:$A$49,0),MATCH(orders!J$1,products!$A$1:$G$1,0))</f>
        <v>L</v>
      </c>
      <c r="K561" s="7">
        <f>INDEX(products!$A$1:$G$49,MATCH(orders!$D561,products!$A$1:$A$49,0),MATCH(orders!K$1,products!$A$1:$G$1,0))</f>
        <v>1</v>
      </c>
      <c r="L561" s="4">
        <f>INDEX(products!$A$1:$G$49,MATCH(orders!$D561,products!$A$1:$A$49,0),MATCH(orders!L$1,products!$A$1:$G$1,0))</f>
        <v>12.95</v>
      </c>
      <c r="M561" s="4">
        <f t="shared" si="8"/>
        <v>38.849999999999994</v>
      </c>
      <c r="N561" t="str" cm="1">
        <f t="array" ref="N561">_xlfn.IFS(I561="Rob","Robusta",I561="Exc","Excelsa",I561="Ara","Arabica",I561="Lib","Liberica")</f>
        <v>Arabica</v>
      </c>
      <c r="O561" t="str" cm="1">
        <f t="array" ref="O561">_xlfn.IFS(J561="M","Medium",J561="L","Large",J561="D","Dark")</f>
        <v>Large</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_xlfn.XLOOKUP(C562,customers!$A$1:$A$1001,customers!$B$1:$B$1001,,0)</f>
        <v>Hatty Dovydenas</v>
      </c>
      <c r="G562" s="2" t="str">
        <f>IF(_xlfn.XLOOKUP(C562,customers!$A$1:$A$1001,customers!$C$1:$C$1001,,0)=0,"",_xlfn.XLOOKUP(C562,customers!$A$1:$A$1001,customers!$C$1:$C$1001,,0))</f>
        <v/>
      </c>
      <c r="H562" s="2" t="str">
        <f>_xlfn.XLOOKUP(C562,customers!$A$1:$A$1001,customers!$G$1:$G$1001,,0)</f>
        <v>United States</v>
      </c>
      <c r="I562" t="str">
        <f>INDEX(products!$A$1:$G$49,MATCH(orders!$D562,products!$A$1:$A$49,0),MATCH(orders!I$1,products!$A$1:$G$1,0))</f>
        <v>Exc</v>
      </c>
      <c r="J562" t="str">
        <f>INDEX(products!$A$1:$G$49,MATCH(orders!$D562,products!$A$1:$A$49,0),MATCH(orders!J$1,products!$A$1:$G$1,0))</f>
        <v>M</v>
      </c>
      <c r="K562" s="7">
        <f>INDEX(products!$A$1:$G$49,MATCH(orders!$D562,products!$A$1:$A$49,0),MATCH(orders!K$1,products!$A$1:$G$1,0))</f>
        <v>2.5</v>
      </c>
      <c r="L562" s="4">
        <f>INDEX(products!$A$1:$G$49,MATCH(orders!$D562,products!$A$1:$A$49,0),MATCH(orders!L$1,products!$A$1:$G$1,0))</f>
        <v>31.624999999999996</v>
      </c>
      <c r="M562" s="4">
        <f t="shared" si="8"/>
        <v>189.74999999999997</v>
      </c>
      <c r="N562" t="str" cm="1">
        <f t="array" ref="N562">_xlfn.IFS(I562="Rob","Robusta",I562="Exc","Excelsa",I562="Ara","Arabica",I562="Lib","Liberica")</f>
        <v>Excelsa</v>
      </c>
      <c r="O562" t="str" cm="1">
        <f t="array" ref="O562">_xlfn.IFS(J562="M","Medium",J562="L","Large",J562="D","Dark")</f>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_xlfn.XLOOKUP(C563,customers!$A$1:$A$1001,customers!$B$1:$B$1001,,0)</f>
        <v>Nathaniel Bloxland</v>
      </c>
      <c r="G563" s="2" t="str">
        <f>IF(_xlfn.XLOOKUP(C563,customers!$A$1:$A$1001,customers!$C$1:$C$1001,,0)=0,"",_xlfn.XLOOKUP(C563,customers!$A$1:$A$1001,customers!$C$1:$C$1001,,0))</f>
        <v/>
      </c>
      <c r="H563" s="2" t="str">
        <f>_xlfn.XLOOKUP(C563,customers!$A$1:$A$1001,customers!$G$1:$G$1001,,0)</f>
        <v>Ireland</v>
      </c>
      <c r="I563" t="str">
        <f>INDEX(products!$A$1:$G$49,MATCH(orders!$D563,products!$A$1:$A$49,0),MATCH(orders!I$1,products!$A$1:$G$1,0))</f>
        <v>Ara</v>
      </c>
      <c r="J563" t="str">
        <f>INDEX(products!$A$1:$G$49,MATCH(orders!$D563,products!$A$1:$A$49,0),MATCH(orders!J$1,products!$A$1:$G$1,0))</f>
        <v>D</v>
      </c>
      <c r="K563" s="7">
        <f>INDEX(products!$A$1:$G$49,MATCH(orders!$D563,products!$A$1:$A$49,0),MATCH(orders!K$1,products!$A$1:$G$1,0))</f>
        <v>0.2</v>
      </c>
      <c r="L563" s="4">
        <f>INDEX(products!$A$1:$G$49,MATCH(orders!$D563,products!$A$1:$A$49,0),MATCH(orders!L$1,products!$A$1:$G$1,0))</f>
        <v>2.9849999999999999</v>
      </c>
      <c r="M563" s="4">
        <f t="shared" si="8"/>
        <v>17.91</v>
      </c>
      <c r="N563" t="str" cm="1">
        <f t="array" ref="N563">_xlfn.IFS(I563="Rob","Robusta",I563="Exc","Excelsa",I563="Ara","Arabica",I563="Lib","Liberica")</f>
        <v>Arabica</v>
      </c>
      <c r="O563" t="str" cm="1">
        <f t="array" ref="O563">_xlfn.IFS(J563="M","Medium",J563="L","Large",J563="D","Dark")</f>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_xlfn.XLOOKUP(C564,customers!$A$1:$A$1001,customers!$B$1:$B$1001,,0)</f>
        <v>Brendan Grece</v>
      </c>
      <c r="G564" s="2" t="str">
        <f>IF(_xlfn.XLOOKUP(C564,customers!$A$1:$A$1001,customers!$C$1:$C$1001,,0)=0,"",_xlfn.XLOOKUP(C564,customers!$A$1:$A$1001,customers!$C$1:$C$1001,,0))</f>
        <v>bgrecefm@naver.com</v>
      </c>
      <c r="H564" s="2" t="str">
        <f>_xlfn.XLOOKUP(C564,customers!$A$1:$A$1001,customers!$G$1:$G$1001,,0)</f>
        <v>United Kingdom</v>
      </c>
      <c r="I564" t="str">
        <f>INDEX(products!$A$1:$G$49,MATCH(orders!$D564,products!$A$1:$A$49,0),MATCH(orders!I$1,products!$A$1:$G$1,0))</f>
        <v>Lib</v>
      </c>
      <c r="J564" t="str">
        <f>INDEX(products!$A$1:$G$49,MATCH(orders!$D564,products!$A$1:$A$49,0),MATCH(orders!J$1,products!$A$1:$G$1,0))</f>
        <v>L</v>
      </c>
      <c r="K564" s="7">
        <f>INDEX(products!$A$1:$G$49,MATCH(orders!$D564,products!$A$1:$A$49,0),MATCH(orders!K$1,products!$A$1:$G$1,0))</f>
        <v>0.2</v>
      </c>
      <c r="L564" s="4">
        <f>INDEX(products!$A$1:$G$49,MATCH(orders!$D564,products!$A$1:$A$49,0),MATCH(orders!L$1,products!$A$1:$G$1,0))</f>
        <v>4.7549999999999999</v>
      </c>
      <c r="M564" s="4">
        <f t="shared" si="8"/>
        <v>28.53</v>
      </c>
      <c r="N564" t="str" cm="1">
        <f t="array" ref="N564">_xlfn.IFS(I564="Rob","Robusta",I564="Exc","Excelsa",I564="Ara","Arabica",I564="Lib","Liberica")</f>
        <v>Liberica</v>
      </c>
      <c r="O564" t="str" cm="1">
        <f t="array" ref="O564">_xlfn.IFS(J564="M","Medium",J564="L","Large",J564="D","Dark")</f>
        <v>Large</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_xlfn.XLOOKUP(C565,customers!$A$1:$A$1001,customers!$B$1:$B$1001,,0)</f>
        <v>Don Flintiff</v>
      </c>
      <c r="G565" s="2" t="str">
        <f>IF(_xlfn.XLOOKUP(C565,customers!$A$1:$A$1001,customers!$C$1:$C$1001,,0)=0,"",_xlfn.XLOOKUP(C565,customers!$A$1:$A$1001,customers!$C$1:$C$1001,,0))</f>
        <v>dflintiffg1@e-recht24.de</v>
      </c>
      <c r="H565" s="2" t="str">
        <f>_xlfn.XLOOKUP(C565,customers!$A$1:$A$1001,customers!$G$1:$G$1001,,0)</f>
        <v>United Kingdom</v>
      </c>
      <c r="I565" t="str">
        <f>INDEX(products!$A$1:$G$49,MATCH(orders!$D565,products!$A$1:$A$49,0),MATCH(orders!I$1,products!$A$1:$G$1,0))</f>
        <v>Exc</v>
      </c>
      <c r="J565" t="str">
        <f>INDEX(products!$A$1:$G$49,MATCH(orders!$D565,products!$A$1:$A$49,0),MATCH(orders!J$1,products!$A$1:$G$1,0))</f>
        <v>M</v>
      </c>
      <c r="K565" s="7">
        <f>INDEX(products!$A$1:$G$49,MATCH(orders!$D565,products!$A$1:$A$49,0),MATCH(orders!K$1,products!$A$1:$G$1,0))</f>
        <v>1</v>
      </c>
      <c r="L565" s="4">
        <f>INDEX(products!$A$1:$G$49,MATCH(orders!$D565,products!$A$1:$A$49,0),MATCH(orders!L$1,products!$A$1:$G$1,0))</f>
        <v>13.75</v>
      </c>
      <c r="M565" s="4">
        <f t="shared" si="8"/>
        <v>82.5</v>
      </c>
      <c r="N565" t="str" cm="1">
        <f t="array" ref="N565">_xlfn.IFS(I565="Rob","Robusta",I565="Exc","Excelsa",I565="Ara","Arabica",I565="Lib","Liberica")</f>
        <v>Excelsa</v>
      </c>
      <c r="O565" t="str" cm="1">
        <f t="array" ref="O565">_xlfn.IFS(J565="M","Medium",J565="L","Large",J565="D","Dark")</f>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_xlfn.XLOOKUP(C566,customers!$A$1:$A$1001,customers!$B$1:$B$1001,,0)</f>
        <v>Abbe Thys</v>
      </c>
      <c r="G566" s="2" t="str">
        <f>IF(_xlfn.XLOOKUP(C566,customers!$A$1:$A$1001,customers!$C$1:$C$1001,,0)=0,"",_xlfn.XLOOKUP(C566,customers!$A$1:$A$1001,customers!$C$1:$C$1001,,0))</f>
        <v>athysfo@cdc.gov</v>
      </c>
      <c r="H566" s="2" t="str">
        <f>_xlfn.XLOOKUP(C566,customers!$A$1:$A$1001,customers!$G$1:$G$1001,,0)</f>
        <v>United States</v>
      </c>
      <c r="I566" t="str">
        <f>INDEX(products!$A$1:$G$49,MATCH(orders!$D566,products!$A$1:$A$49,0),MATCH(orders!I$1,products!$A$1:$G$1,0))</f>
        <v>Rob</v>
      </c>
      <c r="J566" t="str">
        <f>INDEX(products!$A$1:$G$49,MATCH(orders!$D566,products!$A$1:$A$49,0),MATCH(orders!J$1,products!$A$1:$G$1,0))</f>
        <v>L</v>
      </c>
      <c r="K566" s="7">
        <f>INDEX(products!$A$1:$G$49,MATCH(orders!$D566,products!$A$1:$A$49,0),MATCH(orders!K$1,products!$A$1:$G$1,0))</f>
        <v>0.5</v>
      </c>
      <c r="L566" s="4">
        <f>INDEX(products!$A$1:$G$49,MATCH(orders!$D566,products!$A$1:$A$49,0),MATCH(orders!L$1,products!$A$1:$G$1,0))</f>
        <v>7.169999999999999</v>
      </c>
      <c r="M566" s="4">
        <f t="shared" si="8"/>
        <v>14.339999999999998</v>
      </c>
      <c r="N566" t="str" cm="1">
        <f t="array" ref="N566">_xlfn.IFS(I566="Rob","Robusta",I566="Exc","Excelsa",I566="Ara","Arabica",I566="Lib","Liberica")</f>
        <v>Robusta</v>
      </c>
      <c r="O566" t="str" cm="1">
        <f t="array" ref="O566">_xlfn.IFS(J566="M","Medium",J566="L","Large",J566="D","Dark")</f>
        <v>Large</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_xlfn.XLOOKUP(C567,customers!$A$1:$A$1001,customers!$B$1:$B$1001,,0)</f>
        <v>Jackquelin Chugg</v>
      </c>
      <c r="G567" s="2" t="str">
        <f>IF(_xlfn.XLOOKUP(C567,customers!$A$1:$A$1001,customers!$C$1:$C$1001,,0)=0,"",_xlfn.XLOOKUP(C567,customers!$A$1:$A$1001,customers!$C$1:$C$1001,,0))</f>
        <v>jchuggfp@about.me</v>
      </c>
      <c r="H567" s="2" t="str">
        <f>_xlfn.XLOOKUP(C567,customers!$A$1:$A$1001,customers!$G$1:$G$1001,,0)</f>
        <v>United States</v>
      </c>
      <c r="I567" t="str">
        <f>INDEX(products!$A$1:$G$49,MATCH(orders!$D567,products!$A$1:$A$49,0),MATCH(orders!I$1,products!$A$1:$G$1,0))</f>
        <v>Rob</v>
      </c>
      <c r="J567" t="str">
        <f>INDEX(products!$A$1:$G$49,MATCH(orders!$D567,products!$A$1:$A$49,0),MATCH(orders!J$1,products!$A$1:$G$1,0))</f>
        <v>D</v>
      </c>
      <c r="K567" s="7">
        <f>INDEX(products!$A$1:$G$49,MATCH(orders!$D567,products!$A$1:$A$49,0),MATCH(orders!K$1,products!$A$1:$G$1,0))</f>
        <v>2.5</v>
      </c>
      <c r="L567" s="4">
        <f>INDEX(products!$A$1:$G$49,MATCH(orders!$D567,products!$A$1:$A$49,0),MATCH(orders!L$1,products!$A$1:$G$1,0))</f>
        <v>20.584999999999997</v>
      </c>
      <c r="M567" s="4">
        <f t="shared" si="8"/>
        <v>82.339999999999989</v>
      </c>
      <c r="N567" t="str" cm="1">
        <f t="array" ref="N567">_xlfn.IFS(I567="Rob","Robusta",I567="Exc","Excelsa",I567="Ara","Arabica",I567="Lib","Liberica")</f>
        <v>Robusta</v>
      </c>
      <c r="O567" t="str" cm="1">
        <f t="array" ref="O567">_xlfn.IFS(J567="M","Medium",J567="L","Large",J567="D","Dark")</f>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_xlfn.XLOOKUP(C568,customers!$A$1:$A$1001,customers!$B$1:$B$1001,,0)</f>
        <v>Audra Kelston</v>
      </c>
      <c r="G568" s="2" t="str">
        <f>IF(_xlfn.XLOOKUP(C568,customers!$A$1:$A$1001,customers!$C$1:$C$1001,,0)=0,"",_xlfn.XLOOKUP(C568,customers!$A$1:$A$1001,customers!$C$1:$C$1001,,0))</f>
        <v>akelstonfq@sakura.ne.jp</v>
      </c>
      <c r="H568" s="2" t="str">
        <f>_xlfn.XLOOKUP(C568,customers!$A$1:$A$1001,customers!$G$1:$G$1001,,0)</f>
        <v>United States</v>
      </c>
      <c r="I568" t="str">
        <f>INDEX(products!$A$1:$G$49,MATCH(orders!$D568,products!$A$1:$A$49,0),MATCH(orders!I$1,products!$A$1:$G$1,0))</f>
        <v>Ara</v>
      </c>
      <c r="J568" t="str">
        <f>INDEX(products!$A$1:$G$49,MATCH(orders!$D568,products!$A$1:$A$49,0),MATCH(orders!J$1,products!$A$1:$G$1,0))</f>
        <v>M</v>
      </c>
      <c r="K568" s="7">
        <f>INDEX(products!$A$1:$G$49,MATCH(orders!$D568,products!$A$1:$A$49,0),MATCH(orders!K$1,products!$A$1:$G$1,0))</f>
        <v>0.2</v>
      </c>
      <c r="L568" s="4">
        <f>INDEX(products!$A$1:$G$49,MATCH(orders!$D568,products!$A$1:$A$49,0),MATCH(orders!L$1,products!$A$1:$G$1,0))</f>
        <v>3.375</v>
      </c>
      <c r="M568" s="4">
        <f t="shared" si="8"/>
        <v>20.25</v>
      </c>
      <c r="N568" t="str" cm="1">
        <f t="array" ref="N568">_xlfn.IFS(I568="Rob","Robusta",I568="Exc","Excelsa",I568="Ara","Arabica",I568="Lib","Liberica")</f>
        <v>Arabica</v>
      </c>
      <c r="O568" t="str" cm="1">
        <f t="array" ref="O568">_xlfn.IFS(J568="M","Medium",J568="L","Large",J568="D","Dark")</f>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_xlfn.XLOOKUP(C569,customers!$A$1:$A$1001,customers!$B$1:$B$1001,,0)</f>
        <v>Elvina Angel</v>
      </c>
      <c r="G569" s="2" t="str">
        <f>IF(_xlfn.XLOOKUP(C569,customers!$A$1:$A$1001,customers!$C$1:$C$1001,,0)=0,"",_xlfn.XLOOKUP(C569,customers!$A$1:$A$1001,customers!$C$1:$C$1001,,0))</f>
        <v/>
      </c>
      <c r="H569" s="2" t="str">
        <f>_xlfn.XLOOKUP(C569,customers!$A$1:$A$1001,customers!$G$1:$G$1001,,0)</f>
        <v>Ireland</v>
      </c>
      <c r="I569" t="str">
        <f>INDEX(products!$A$1:$G$49,MATCH(orders!$D569,products!$A$1:$A$49,0),MATCH(orders!I$1,products!$A$1:$G$1,0))</f>
        <v>Rob</v>
      </c>
      <c r="J569" t="str">
        <f>INDEX(products!$A$1:$G$49,MATCH(orders!$D569,products!$A$1:$A$49,0),MATCH(orders!J$1,products!$A$1:$G$1,0))</f>
        <v>L</v>
      </c>
      <c r="K569" s="7">
        <f>INDEX(products!$A$1:$G$49,MATCH(orders!$D569,products!$A$1:$A$49,0),MATCH(orders!K$1,products!$A$1:$G$1,0))</f>
        <v>2.5</v>
      </c>
      <c r="L569" s="4">
        <f>INDEX(products!$A$1:$G$49,MATCH(orders!$D569,products!$A$1:$A$49,0),MATCH(orders!L$1,products!$A$1:$G$1,0))</f>
        <v>27.484999999999996</v>
      </c>
      <c r="M569" s="4">
        <f t="shared" si="8"/>
        <v>164.90999999999997</v>
      </c>
      <c r="N569" t="str" cm="1">
        <f t="array" ref="N569">_xlfn.IFS(I569="Rob","Robusta",I569="Exc","Excelsa",I569="Ara","Arabica",I569="Lib","Liberica")</f>
        <v>Robusta</v>
      </c>
      <c r="O569" t="str" cm="1">
        <f t="array" ref="O569">_xlfn.IFS(J569="M","Medium",J569="L","Large",J569="D","Dark")</f>
        <v>Large</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_xlfn.XLOOKUP(C570,customers!$A$1:$A$1001,customers!$B$1:$B$1001,,0)</f>
        <v>Claiborne Mottram</v>
      </c>
      <c r="G570" s="2" t="str">
        <f>IF(_xlfn.XLOOKUP(C570,customers!$A$1:$A$1001,customers!$C$1:$C$1001,,0)=0,"",_xlfn.XLOOKUP(C570,customers!$A$1:$A$1001,customers!$C$1:$C$1001,,0))</f>
        <v>cmottramfs@harvard.edu</v>
      </c>
      <c r="H570" s="2" t="str">
        <f>_xlfn.XLOOKUP(C570,customers!$A$1:$A$1001,customers!$G$1:$G$1001,,0)</f>
        <v>United States</v>
      </c>
      <c r="I570" t="str">
        <f>INDEX(products!$A$1:$G$49,MATCH(orders!$D570,products!$A$1:$A$49,0),MATCH(orders!I$1,products!$A$1:$G$1,0))</f>
        <v>Lib</v>
      </c>
      <c r="J570" t="str">
        <f>INDEX(products!$A$1:$G$49,MATCH(orders!$D570,products!$A$1:$A$49,0),MATCH(orders!J$1,products!$A$1:$G$1,0))</f>
        <v>L</v>
      </c>
      <c r="K570" s="7">
        <f>INDEX(products!$A$1:$G$49,MATCH(orders!$D570,products!$A$1:$A$49,0),MATCH(orders!K$1,products!$A$1:$G$1,0))</f>
        <v>0.2</v>
      </c>
      <c r="L570" s="4">
        <f>INDEX(products!$A$1:$G$49,MATCH(orders!$D570,products!$A$1:$A$49,0),MATCH(orders!L$1,products!$A$1:$G$1,0))</f>
        <v>4.7549999999999999</v>
      </c>
      <c r="M570" s="4">
        <f t="shared" si="8"/>
        <v>19.02</v>
      </c>
      <c r="N570" t="str" cm="1">
        <f t="array" ref="N570">_xlfn.IFS(I570="Rob","Robusta",I570="Exc","Excelsa",I570="Ara","Arabica",I570="Lib","Liberica")</f>
        <v>Liberica</v>
      </c>
      <c r="O570" t="str" cm="1">
        <f t="array" ref="O570">_xlfn.IFS(J570="M","Medium",J570="L","Large",J570="D","Dark")</f>
        <v>Large</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_xlfn.XLOOKUP(C571,customers!$A$1:$A$1001,customers!$B$1:$B$1001,,0)</f>
        <v>Don Flintiff</v>
      </c>
      <c r="G571" s="2" t="str">
        <f>IF(_xlfn.XLOOKUP(C571,customers!$A$1:$A$1001,customers!$C$1:$C$1001,,0)=0,"",_xlfn.XLOOKUP(C571,customers!$A$1:$A$1001,customers!$C$1:$C$1001,,0))</f>
        <v>dflintiffg1@e-recht24.de</v>
      </c>
      <c r="H571" s="2" t="str">
        <f>_xlfn.XLOOKUP(C571,customers!$A$1:$A$1001,customers!$G$1:$G$1001,,0)</f>
        <v>United Kingdom</v>
      </c>
      <c r="I571" t="str">
        <f>INDEX(products!$A$1:$G$49,MATCH(orders!$D571,products!$A$1:$A$49,0),MATCH(orders!I$1,products!$A$1:$G$1,0))</f>
        <v>Ara</v>
      </c>
      <c r="J571" t="str">
        <f>INDEX(products!$A$1:$G$49,MATCH(orders!$D571,products!$A$1:$A$49,0),MATCH(orders!J$1,products!$A$1:$G$1,0))</f>
        <v>D</v>
      </c>
      <c r="K571" s="7">
        <f>INDEX(products!$A$1:$G$49,MATCH(orders!$D571,products!$A$1:$A$49,0),MATCH(orders!K$1,products!$A$1:$G$1,0))</f>
        <v>2.5</v>
      </c>
      <c r="L571" s="4">
        <f>INDEX(products!$A$1:$G$49,MATCH(orders!$D571,products!$A$1:$A$49,0),MATCH(orders!L$1,products!$A$1:$G$1,0))</f>
        <v>22.884999999999998</v>
      </c>
      <c r="M571" s="4">
        <f t="shared" si="8"/>
        <v>137.31</v>
      </c>
      <c r="N571" t="str" cm="1">
        <f t="array" ref="N571">_xlfn.IFS(I571="Rob","Robusta",I571="Exc","Excelsa",I571="Ara","Arabica",I571="Lib","Liberica")</f>
        <v>Arabica</v>
      </c>
      <c r="O571" t="str" cm="1">
        <f t="array" ref="O571">_xlfn.IFS(J571="M","Medium",J571="L","Large",J571="D","Dark")</f>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_xlfn.XLOOKUP(C572,customers!$A$1:$A$1001,customers!$B$1:$B$1001,,0)</f>
        <v>Donalt Sangwin</v>
      </c>
      <c r="G572" s="2" t="str">
        <f>IF(_xlfn.XLOOKUP(C572,customers!$A$1:$A$1001,customers!$C$1:$C$1001,,0)=0,"",_xlfn.XLOOKUP(C572,customers!$A$1:$A$1001,customers!$C$1:$C$1001,,0))</f>
        <v>dsangwinfu@weebly.com</v>
      </c>
      <c r="H572" s="2" t="str">
        <f>_xlfn.XLOOKUP(C572,customers!$A$1:$A$1001,customers!$G$1:$G$1001,,0)</f>
        <v>United States</v>
      </c>
      <c r="I572" t="str">
        <f>INDEX(products!$A$1:$G$49,MATCH(orders!$D572,products!$A$1:$A$49,0),MATCH(orders!I$1,products!$A$1:$G$1,0))</f>
        <v>Ara</v>
      </c>
      <c r="J572" t="str">
        <f>INDEX(products!$A$1:$G$49,MATCH(orders!$D572,products!$A$1:$A$49,0),MATCH(orders!J$1,products!$A$1:$G$1,0))</f>
        <v>M</v>
      </c>
      <c r="K572" s="7">
        <f>INDEX(products!$A$1:$G$49,MATCH(orders!$D572,products!$A$1:$A$49,0),MATCH(orders!K$1,products!$A$1:$G$1,0))</f>
        <v>0.5</v>
      </c>
      <c r="L572" s="4">
        <f>INDEX(products!$A$1:$G$49,MATCH(orders!$D572,products!$A$1:$A$49,0),MATCH(orders!L$1,products!$A$1:$G$1,0))</f>
        <v>6.75</v>
      </c>
      <c r="M572" s="4">
        <f t="shared" si="8"/>
        <v>27</v>
      </c>
      <c r="N572" t="str" cm="1">
        <f t="array" ref="N572">_xlfn.IFS(I572="Rob","Robusta",I572="Exc","Excelsa",I572="Ara","Arabica",I572="Lib","Liberica")</f>
        <v>Arabica</v>
      </c>
      <c r="O572" t="str" cm="1">
        <f t="array" ref="O572">_xlfn.IFS(J572="M","Medium",J572="L","Large",J572="D","Dark")</f>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_xlfn.XLOOKUP(C573,customers!$A$1:$A$1001,customers!$B$1:$B$1001,,0)</f>
        <v>Elizabet Aizikowitz</v>
      </c>
      <c r="G573" s="2" t="str">
        <f>IF(_xlfn.XLOOKUP(C573,customers!$A$1:$A$1001,customers!$C$1:$C$1001,,0)=0,"",_xlfn.XLOOKUP(C573,customers!$A$1:$A$1001,customers!$C$1:$C$1001,,0))</f>
        <v>eaizikowitzfv@virginia.edu</v>
      </c>
      <c r="H573" s="2" t="str">
        <f>_xlfn.XLOOKUP(C573,customers!$A$1:$A$1001,customers!$G$1:$G$1001,,0)</f>
        <v>United Kingdom</v>
      </c>
      <c r="I573" t="str">
        <f>INDEX(products!$A$1:$G$49,MATCH(orders!$D573,products!$A$1:$A$49,0),MATCH(orders!I$1,products!$A$1:$G$1,0))</f>
        <v>Exc</v>
      </c>
      <c r="J573" t="str">
        <f>INDEX(products!$A$1:$G$49,MATCH(orders!$D573,products!$A$1:$A$49,0),MATCH(orders!J$1,products!$A$1:$G$1,0))</f>
        <v>L</v>
      </c>
      <c r="K573" s="7">
        <f>INDEX(products!$A$1:$G$49,MATCH(orders!$D573,products!$A$1:$A$49,0),MATCH(orders!K$1,products!$A$1:$G$1,0))</f>
        <v>0.5</v>
      </c>
      <c r="L573" s="4">
        <f>INDEX(products!$A$1:$G$49,MATCH(orders!$D573,products!$A$1:$A$49,0),MATCH(orders!L$1,products!$A$1:$G$1,0))</f>
        <v>8.91</v>
      </c>
      <c r="M573" s="4">
        <f t="shared" si="8"/>
        <v>35.64</v>
      </c>
      <c r="N573" t="str" cm="1">
        <f t="array" ref="N573">_xlfn.IFS(I573="Rob","Robusta",I573="Exc","Excelsa",I573="Ara","Arabica",I573="Lib","Liberica")</f>
        <v>Excelsa</v>
      </c>
      <c r="O573" t="str" cm="1">
        <f t="array" ref="O573">_xlfn.IFS(J573="M","Medium",J573="L","Large",J573="D","Dark")</f>
        <v>Large</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_xlfn.XLOOKUP(C574,customers!$A$1:$A$1001,customers!$B$1:$B$1001,,0)</f>
        <v>Herbie Peppard</v>
      </c>
      <c r="G574" s="2" t="str">
        <f>IF(_xlfn.XLOOKUP(C574,customers!$A$1:$A$1001,customers!$C$1:$C$1001,,0)=0,"",_xlfn.XLOOKUP(C574,customers!$A$1:$A$1001,customers!$C$1:$C$1001,,0))</f>
        <v/>
      </c>
      <c r="H574" s="2" t="str">
        <f>_xlfn.XLOOKUP(C574,customers!$A$1:$A$1001,customers!$G$1:$G$1001,,0)</f>
        <v>United States</v>
      </c>
      <c r="I574" t="str">
        <f>INDEX(products!$A$1:$G$49,MATCH(orders!$D574,products!$A$1:$A$49,0),MATCH(orders!I$1,products!$A$1:$G$1,0))</f>
        <v>Ara</v>
      </c>
      <c r="J574" t="str">
        <f>INDEX(products!$A$1:$G$49,MATCH(orders!$D574,products!$A$1:$A$49,0),MATCH(orders!J$1,products!$A$1:$G$1,0))</f>
        <v>D</v>
      </c>
      <c r="K574" s="7">
        <f>INDEX(products!$A$1:$G$49,MATCH(orders!$D574,products!$A$1:$A$49,0),MATCH(orders!K$1,products!$A$1:$G$1,0))</f>
        <v>0.2</v>
      </c>
      <c r="L574" s="4">
        <f>INDEX(products!$A$1:$G$49,MATCH(orders!$D574,products!$A$1:$A$49,0),MATCH(orders!L$1,products!$A$1:$G$1,0))</f>
        <v>2.9849999999999999</v>
      </c>
      <c r="M574" s="4">
        <f t="shared" si="8"/>
        <v>5.97</v>
      </c>
      <c r="N574" t="str" cm="1">
        <f t="array" ref="N574">_xlfn.IFS(I574="Rob","Robusta",I574="Exc","Excelsa",I574="Ara","Arabica",I574="Lib","Liberica")</f>
        <v>Arabica</v>
      </c>
      <c r="O574" t="str" cm="1">
        <f t="array" ref="O574">_xlfn.IFS(J574="M","Medium",J574="L","Large",J574="D","Dark")</f>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_xlfn.XLOOKUP(C575,customers!$A$1:$A$1001,customers!$B$1:$B$1001,,0)</f>
        <v>Cornie Venour</v>
      </c>
      <c r="G575" s="2" t="str">
        <f>IF(_xlfn.XLOOKUP(C575,customers!$A$1:$A$1001,customers!$C$1:$C$1001,,0)=0,"",_xlfn.XLOOKUP(C575,customers!$A$1:$A$1001,customers!$C$1:$C$1001,,0))</f>
        <v>cvenourfx@ask.com</v>
      </c>
      <c r="H575" s="2" t="str">
        <f>_xlfn.XLOOKUP(C575,customers!$A$1:$A$1001,customers!$G$1:$G$1001,,0)</f>
        <v>United States</v>
      </c>
      <c r="I575" t="str">
        <f>INDEX(products!$A$1:$G$49,MATCH(orders!$D575,products!$A$1:$A$49,0),MATCH(orders!I$1,products!$A$1:$G$1,0))</f>
        <v>Ara</v>
      </c>
      <c r="J575" t="str">
        <f>INDEX(products!$A$1:$G$49,MATCH(orders!$D575,products!$A$1:$A$49,0),MATCH(orders!J$1,products!$A$1:$G$1,0))</f>
        <v>M</v>
      </c>
      <c r="K575" s="7">
        <f>INDEX(products!$A$1:$G$49,MATCH(orders!$D575,products!$A$1:$A$49,0),MATCH(orders!K$1,products!$A$1:$G$1,0))</f>
        <v>1</v>
      </c>
      <c r="L575" s="4">
        <f>INDEX(products!$A$1:$G$49,MATCH(orders!$D575,products!$A$1:$A$49,0),MATCH(orders!L$1,products!$A$1:$G$1,0))</f>
        <v>11.25</v>
      </c>
      <c r="M575" s="4">
        <f t="shared" si="8"/>
        <v>67.5</v>
      </c>
      <c r="N575" t="str" cm="1">
        <f t="array" ref="N575">_xlfn.IFS(I575="Rob","Robusta",I575="Exc","Excelsa",I575="Ara","Arabica",I575="Lib","Liberica")</f>
        <v>Arabica</v>
      </c>
      <c r="O575" t="str" cm="1">
        <f t="array" ref="O575">_xlfn.IFS(J575="M","Medium",J575="L","Large",J575="D","Dark")</f>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_xlfn.XLOOKUP(C576,customers!$A$1:$A$1001,customers!$B$1:$B$1001,,0)</f>
        <v>Maggy Harby</v>
      </c>
      <c r="G576" s="2" t="str">
        <f>IF(_xlfn.XLOOKUP(C576,customers!$A$1:$A$1001,customers!$C$1:$C$1001,,0)=0,"",_xlfn.XLOOKUP(C576,customers!$A$1:$A$1001,customers!$C$1:$C$1001,,0))</f>
        <v>mharbyfy@163.com</v>
      </c>
      <c r="H576" s="2" t="str">
        <f>_xlfn.XLOOKUP(C576,customers!$A$1:$A$1001,customers!$G$1:$G$1001,,0)</f>
        <v>United States</v>
      </c>
      <c r="I576" t="str">
        <f>INDEX(products!$A$1:$G$49,MATCH(orders!$D576,products!$A$1:$A$49,0),MATCH(orders!I$1,products!$A$1:$G$1,0))</f>
        <v>Rob</v>
      </c>
      <c r="J576" t="str">
        <f>INDEX(products!$A$1:$G$49,MATCH(orders!$D576,products!$A$1:$A$49,0),MATCH(orders!J$1,products!$A$1:$G$1,0))</f>
        <v>L</v>
      </c>
      <c r="K576" s="7">
        <f>INDEX(products!$A$1:$G$49,MATCH(orders!$D576,products!$A$1:$A$49,0),MATCH(orders!K$1,products!$A$1:$G$1,0))</f>
        <v>0.2</v>
      </c>
      <c r="L576" s="4">
        <f>INDEX(products!$A$1:$G$49,MATCH(orders!$D576,products!$A$1:$A$49,0),MATCH(orders!L$1,products!$A$1:$G$1,0))</f>
        <v>3.5849999999999995</v>
      </c>
      <c r="M576" s="4">
        <f t="shared" si="8"/>
        <v>21.509999999999998</v>
      </c>
      <c r="N576" t="str" cm="1">
        <f t="array" ref="N576">_xlfn.IFS(I576="Rob","Robusta",I576="Exc","Excelsa",I576="Ara","Arabica",I576="Lib","Liberica")</f>
        <v>Robusta</v>
      </c>
      <c r="O576" t="str" cm="1">
        <f t="array" ref="O576">_xlfn.IFS(J576="M","Medium",J576="L","Large",J576="D","Dark")</f>
        <v>Large</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_xlfn.XLOOKUP(C577,customers!$A$1:$A$1001,customers!$B$1:$B$1001,,0)</f>
        <v>Reggie Thickpenny</v>
      </c>
      <c r="G577" s="2" t="str">
        <f>IF(_xlfn.XLOOKUP(C577,customers!$A$1:$A$1001,customers!$C$1:$C$1001,,0)=0,"",_xlfn.XLOOKUP(C577,customers!$A$1:$A$1001,customers!$C$1:$C$1001,,0))</f>
        <v>rthickpennyfz@cafepress.com</v>
      </c>
      <c r="H577" s="2" t="str">
        <f>_xlfn.XLOOKUP(C577,customers!$A$1:$A$1001,customers!$G$1:$G$1001,,0)</f>
        <v>United States</v>
      </c>
      <c r="I577" t="str">
        <f>INDEX(products!$A$1:$G$49,MATCH(orders!$D577,products!$A$1:$A$49,0),MATCH(orders!I$1,products!$A$1:$G$1,0))</f>
        <v>Lib</v>
      </c>
      <c r="J577" t="str">
        <f>INDEX(products!$A$1:$G$49,MATCH(orders!$D577,products!$A$1:$A$49,0),MATCH(orders!J$1,products!$A$1:$G$1,0))</f>
        <v>M</v>
      </c>
      <c r="K577" s="7">
        <f>INDEX(products!$A$1:$G$49,MATCH(orders!$D577,products!$A$1:$A$49,0),MATCH(orders!K$1,products!$A$1:$G$1,0))</f>
        <v>2.5</v>
      </c>
      <c r="L577" s="4">
        <f>INDEX(products!$A$1:$G$49,MATCH(orders!$D577,products!$A$1:$A$49,0),MATCH(orders!L$1,products!$A$1:$G$1,0))</f>
        <v>33.464999999999996</v>
      </c>
      <c r="M577" s="4">
        <f t="shared" si="8"/>
        <v>66.929999999999993</v>
      </c>
      <c r="N577" t="str" cm="1">
        <f t="array" ref="N577">_xlfn.IFS(I577="Rob","Robusta",I577="Exc","Excelsa",I577="Ara","Arabica",I577="Lib","Liberica")</f>
        <v>Liberica</v>
      </c>
      <c r="O577" t="str" cm="1">
        <f t="array" ref="O577">_xlfn.IFS(J577="M","Medium",J577="L","Large",J577="D","Dark")</f>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_xlfn.XLOOKUP(C578,customers!$A$1:$A$1001,customers!$B$1:$B$1001,,0)</f>
        <v>Phyllys Ormerod</v>
      </c>
      <c r="G578" s="2" t="str">
        <f>IF(_xlfn.XLOOKUP(C578,customers!$A$1:$A$1001,customers!$C$1:$C$1001,,0)=0,"",_xlfn.XLOOKUP(C578,customers!$A$1:$A$1001,customers!$C$1:$C$1001,,0))</f>
        <v>pormerodg0@redcross.org</v>
      </c>
      <c r="H578" s="2" t="str">
        <f>_xlfn.XLOOKUP(C578,customers!$A$1:$A$1001,customers!$G$1:$G$1001,,0)</f>
        <v>United States</v>
      </c>
      <c r="I578" t="str">
        <f>INDEX(products!$A$1:$G$49,MATCH(orders!$D578,products!$A$1:$A$49,0),MATCH(orders!I$1,products!$A$1:$G$1,0))</f>
        <v>Ara</v>
      </c>
      <c r="J578" t="str">
        <f>INDEX(products!$A$1:$G$49,MATCH(orders!$D578,products!$A$1:$A$49,0),MATCH(orders!J$1,products!$A$1:$G$1,0))</f>
        <v>D</v>
      </c>
      <c r="K578" s="7">
        <f>INDEX(products!$A$1:$G$49,MATCH(orders!$D578,products!$A$1:$A$49,0),MATCH(orders!K$1,products!$A$1:$G$1,0))</f>
        <v>0.2</v>
      </c>
      <c r="L578" s="4">
        <f>INDEX(products!$A$1:$G$49,MATCH(orders!$D578,products!$A$1:$A$49,0),MATCH(orders!L$1,products!$A$1:$G$1,0))</f>
        <v>2.9849999999999999</v>
      </c>
      <c r="M578" s="4">
        <f t="shared" si="8"/>
        <v>17.91</v>
      </c>
      <c r="N578" t="str" cm="1">
        <f t="array" ref="N578">_xlfn.IFS(I578="Rob","Robusta",I578="Exc","Excelsa",I578="Ara","Arabica",I578="Lib","Liberica")</f>
        <v>Arabica</v>
      </c>
      <c r="O578" t="str" cm="1">
        <f t="array" ref="O578">_xlfn.IFS(J578="M","Medium",J578="L","Large",J578="D","Dark")</f>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_xlfn.XLOOKUP(C579,customers!$A$1:$A$1001,customers!$B$1:$B$1001,,0)</f>
        <v>Don Flintiff</v>
      </c>
      <c r="G579" s="2" t="str">
        <f>IF(_xlfn.XLOOKUP(C579,customers!$A$1:$A$1001,customers!$C$1:$C$1001,,0)=0,"",_xlfn.XLOOKUP(C579,customers!$A$1:$A$1001,customers!$C$1:$C$1001,,0))</f>
        <v>dflintiffg1@e-recht24.de</v>
      </c>
      <c r="H579" s="2" t="str">
        <f>_xlfn.XLOOKUP(C579,customers!$A$1:$A$1001,customers!$G$1:$G$1001,,0)</f>
        <v>United Kingdom</v>
      </c>
      <c r="I579" t="str">
        <f>INDEX(products!$A$1:$G$49,MATCH(orders!$D579,products!$A$1:$A$49,0),MATCH(orders!I$1,products!$A$1:$G$1,0))</f>
        <v>Lib</v>
      </c>
      <c r="J579" t="str">
        <f>INDEX(products!$A$1:$G$49,MATCH(orders!$D579,products!$A$1:$A$49,0),MATCH(orders!J$1,products!$A$1:$G$1,0))</f>
        <v>M</v>
      </c>
      <c r="K579" s="7">
        <f>INDEX(products!$A$1:$G$49,MATCH(orders!$D579,products!$A$1:$A$49,0),MATCH(orders!K$1,products!$A$1:$G$1,0))</f>
        <v>1</v>
      </c>
      <c r="L579" s="4">
        <f>INDEX(products!$A$1:$G$49,MATCH(orders!$D579,products!$A$1:$A$49,0),MATCH(orders!L$1,products!$A$1:$G$1,0))</f>
        <v>14.55</v>
      </c>
      <c r="M579" s="4">
        <f t="shared" ref="M579:M642" si="9">L579*E579</f>
        <v>58.2</v>
      </c>
      <c r="N579" t="str" cm="1">
        <f t="array" ref="N579">_xlfn.IFS(I579="Rob","Robusta",I579="Exc","Excelsa",I579="Ara","Arabica",I579="Lib","Liberica")</f>
        <v>Liberica</v>
      </c>
      <c r="O579" t="str" cm="1">
        <f t="array" ref="O579">_xlfn.IFS(J579="M","Medium",J579="L","Large",J579="D","Dark")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_xlfn.XLOOKUP(C580,customers!$A$1:$A$1001,customers!$B$1:$B$1001,,0)</f>
        <v>Tymon Zanetti</v>
      </c>
      <c r="G580" s="2" t="str">
        <f>IF(_xlfn.XLOOKUP(C580,customers!$A$1:$A$1001,customers!$C$1:$C$1001,,0)=0,"",_xlfn.XLOOKUP(C580,customers!$A$1:$A$1001,customers!$C$1:$C$1001,,0))</f>
        <v>tzanettig2@gravatar.com</v>
      </c>
      <c r="H580" s="2" t="str">
        <f>_xlfn.XLOOKUP(C580,customers!$A$1:$A$1001,customers!$G$1:$G$1001,,0)</f>
        <v>Ireland</v>
      </c>
      <c r="I580" t="str">
        <f>INDEX(products!$A$1:$G$49,MATCH(orders!$D580,products!$A$1:$A$49,0),MATCH(orders!I$1,products!$A$1:$G$1,0))</f>
        <v>Exc</v>
      </c>
      <c r="J580" t="str">
        <f>INDEX(products!$A$1:$G$49,MATCH(orders!$D580,products!$A$1:$A$49,0),MATCH(orders!J$1,products!$A$1:$G$1,0))</f>
        <v>L</v>
      </c>
      <c r="K580" s="7">
        <f>INDEX(products!$A$1:$G$49,MATCH(orders!$D580,products!$A$1:$A$49,0),MATCH(orders!K$1,products!$A$1:$G$1,0))</f>
        <v>0.2</v>
      </c>
      <c r="L580" s="4">
        <f>INDEX(products!$A$1:$G$49,MATCH(orders!$D580,products!$A$1:$A$49,0),MATCH(orders!L$1,products!$A$1:$G$1,0))</f>
        <v>4.4550000000000001</v>
      </c>
      <c r="M580" s="4">
        <f t="shared" si="9"/>
        <v>13.365</v>
      </c>
      <c r="N580" t="str" cm="1">
        <f t="array" ref="N580">_xlfn.IFS(I580="Rob","Robusta",I580="Exc","Excelsa",I580="Ara","Arabica",I580="Lib","Liberica")</f>
        <v>Excelsa</v>
      </c>
      <c r="O580" t="str" cm="1">
        <f t="array" ref="O580">_xlfn.IFS(J580="M","Medium",J580="L","Large",J580="D","Dark")</f>
        <v>Large</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_xlfn.XLOOKUP(C581,customers!$A$1:$A$1001,customers!$B$1:$B$1001,,0)</f>
        <v>Tymon Zanetti</v>
      </c>
      <c r="G581" s="2" t="str">
        <f>IF(_xlfn.XLOOKUP(C581,customers!$A$1:$A$1001,customers!$C$1:$C$1001,,0)=0,"",_xlfn.XLOOKUP(C581,customers!$A$1:$A$1001,customers!$C$1:$C$1001,,0))</f>
        <v>tzanettig2@gravatar.com</v>
      </c>
      <c r="H581" s="2" t="str">
        <f>_xlfn.XLOOKUP(C581,customers!$A$1:$A$1001,customers!$G$1:$G$1001,,0)</f>
        <v>Ireland</v>
      </c>
      <c r="I581" t="str">
        <f>INDEX(products!$A$1:$G$49,MATCH(orders!$D581,products!$A$1:$A$49,0),MATCH(orders!I$1,products!$A$1:$G$1,0))</f>
        <v>Ara</v>
      </c>
      <c r="J581" t="str">
        <f>INDEX(products!$A$1:$G$49,MATCH(orders!$D581,products!$A$1:$A$49,0),MATCH(orders!J$1,products!$A$1:$G$1,0))</f>
        <v>M</v>
      </c>
      <c r="K581" s="7">
        <f>INDEX(products!$A$1:$G$49,MATCH(orders!$D581,products!$A$1:$A$49,0),MATCH(orders!K$1,products!$A$1:$G$1,0))</f>
        <v>0.5</v>
      </c>
      <c r="L581" s="4">
        <f>INDEX(products!$A$1:$G$49,MATCH(orders!$D581,products!$A$1:$A$49,0),MATCH(orders!L$1,products!$A$1:$G$1,0))</f>
        <v>6.75</v>
      </c>
      <c r="M581" s="4">
        <f t="shared" si="9"/>
        <v>33.75</v>
      </c>
      <c r="N581" t="str" cm="1">
        <f t="array" ref="N581">_xlfn.IFS(I581="Rob","Robusta",I581="Exc","Excelsa",I581="Ara","Arabica",I581="Lib","Liberica")</f>
        <v>Arabica</v>
      </c>
      <c r="O581" t="str" cm="1">
        <f t="array" ref="O581">_xlfn.IFS(J581="M","Medium",J581="L","Large",J581="D","Dark")</f>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_xlfn.XLOOKUP(C582,customers!$A$1:$A$1001,customers!$B$1:$B$1001,,0)</f>
        <v>Reinaldos Kirtley</v>
      </c>
      <c r="G582" s="2" t="str">
        <f>IF(_xlfn.XLOOKUP(C582,customers!$A$1:$A$1001,customers!$C$1:$C$1001,,0)=0,"",_xlfn.XLOOKUP(C582,customers!$A$1:$A$1001,customers!$C$1:$C$1001,,0))</f>
        <v>rkirtleyg4@hatena.ne.jp</v>
      </c>
      <c r="H582" s="2" t="str">
        <f>_xlfn.XLOOKUP(C582,customers!$A$1:$A$1001,customers!$G$1:$G$1001,,0)</f>
        <v>United States</v>
      </c>
      <c r="I582" t="str">
        <f>INDEX(products!$A$1:$G$49,MATCH(orders!$D582,products!$A$1:$A$49,0),MATCH(orders!I$1,products!$A$1:$G$1,0))</f>
        <v>Exc</v>
      </c>
      <c r="J582" t="str">
        <f>INDEX(products!$A$1:$G$49,MATCH(orders!$D582,products!$A$1:$A$49,0),MATCH(orders!J$1,products!$A$1:$G$1,0))</f>
        <v>L</v>
      </c>
      <c r="K582" s="7">
        <f>INDEX(products!$A$1:$G$49,MATCH(orders!$D582,products!$A$1:$A$49,0),MATCH(orders!K$1,products!$A$1:$G$1,0))</f>
        <v>1</v>
      </c>
      <c r="L582" s="4">
        <f>INDEX(products!$A$1:$G$49,MATCH(orders!$D582,products!$A$1:$A$49,0),MATCH(orders!L$1,products!$A$1:$G$1,0))</f>
        <v>14.85</v>
      </c>
      <c r="M582" s="4">
        <f t="shared" si="9"/>
        <v>44.55</v>
      </c>
      <c r="N582" t="str" cm="1">
        <f t="array" ref="N582">_xlfn.IFS(I582="Rob","Robusta",I582="Exc","Excelsa",I582="Ara","Arabica",I582="Lib","Liberica")</f>
        <v>Excelsa</v>
      </c>
      <c r="O582" t="str" cm="1">
        <f t="array" ref="O582">_xlfn.IFS(J582="M","Medium",J582="L","Large",J582="D","Dark")</f>
        <v>Large</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_xlfn.XLOOKUP(C583,customers!$A$1:$A$1001,customers!$B$1:$B$1001,,0)</f>
        <v>Carney Clemencet</v>
      </c>
      <c r="G583" s="2" t="str">
        <f>IF(_xlfn.XLOOKUP(C583,customers!$A$1:$A$1001,customers!$C$1:$C$1001,,0)=0,"",_xlfn.XLOOKUP(C583,customers!$A$1:$A$1001,customers!$C$1:$C$1001,,0))</f>
        <v>cclemencetg5@weather.com</v>
      </c>
      <c r="H583" s="2" t="str">
        <f>_xlfn.XLOOKUP(C583,customers!$A$1:$A$1001,customers!$G$1:$G$1001,,0)</f>
        <v>United Kingdom</v>
      </c>
      <c r="I583" t="str">
        <f>INDEX(products!$A$1:$G$49,MATCH(orders!$D583,products!$A$1:$A$49,0),MATCH(orders!I$1,products!$A$1:$G$1,0))</f>
        <v>Exc</v>
      </c>
      <c r="J583" t="str">
        <f>INDEX(products!$A$1:$G$49,MATCH(orders!$D583,products!$A$1:$A$49,0),MATCH(orders!J$1,products!$A$1:$G$1,0))</f>
        <v>L</v>
      </c>
      <c r="K583" s="7">
        <f>INDEX(products!$A$1:$G$49,MATCH(orders!$D583,products!$A$1:$A$49,0),MATCH(orders!K$1,products!$A$1:$G$1,0))</f>
        <v>0.5</v>
      </c>
      <c r="L583" s="4">
        <f>INDEX(products!$A$1:$G$49,MATCH(orders!$D583,products!$A$1:$A$49,0),MATCH(orders!L$1,products!$A$1:$G$1,0))</f>
        <v>8.91</v>
      </c>
      <c r="M583" s="4">
        <f t="shared" si="9"/>
        <v>44.55</v>
      </c>
      <c r="N583" t="str" cm="1">
        <f t="array" ref="N583">_xlfn.IFS(I583="Rob","Robusta",I583="Exc","Excelsa",I583="Ara","Arabica",I583="Lib","Liberica")</f>
        <v>Excelsa</v>
      </c>
      <c r="O583" t="str" cm="1">
        <f t="array" ref="O583">_xlfn.IFS(J583="M","Medium",J583="L","Large",J583="D","Dark")</f>
        <v>Large</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_xlfn.XLOOKUP(C584,customers!$A$1:$A$1001,customers!$B$1:$B$1001,,0)</f>
        <v>Russell Donet</v>
      </c>
      <c r="G584" s="2" t="str">
        <f>IF(_xlfn.XLOOKUP(C584,customers!$A$1:$A$1001,customers!$C$1:$C$1001,,0)=0,"",_xlfn.XLOOKUP(C584,customers!$A$1:$A$1001,customers!$C$1:$C$1001,,0))</f>
        <v>rdonetg6@oakley.com</v>
      </c>
      <c r="H584" s="2" t="str">
        <f>_xlfn.XLOOKUP(C584,customers!$A$1:$A$1001,customers!$G$1:$G$1001,,0)</f>
        <v>United States</v>
      </c>
      <c r="I584" t="str">
        <f>INDEX(products!$A$1:$G$49,MATCH(orders!$D584,products!$A$1:$A$49,0),MATCH(orders!I$1,products!$A$1:$G$1,0))</f>
        <v>Exc</v>
      </c>
      <c r="J584" t="str">
        <f>INDEX(products!$A$1:$G$49,MATCH(orders!$D584,products!$A$1:$A$49,0),MATCH(orders!J$1,products!$A$1:$G$1,0))</f>
        <v>D</v>
      </c>
      <c r="K584" s="7">
        <f>INDEX(products!$A$1:$G$49,MATCH(orders!$D584,products!$A$1:$A$49,0),MATCH(orders!K$1,products!$A$1:$G$1,0))</f>
        <v>1</v>
      </c>
      <c r="L584" s="4">
        <f>INDEX(products!$A$1:$G$49,MATCH(orders!$D584,products!$A$1:$A$49,0),MATCH(orders!L$1,products!$A$1:$G$1,0))</f>
        <v>12.15</v>
      </c>
      <c r="M584" s="4">
        <f t="shared" si="9"/>
        <v>60.75</v>
      </c>
      <c r="N584" t="str" cm="1">
        <f t="array" ref="N584">_xlfn.IFS(I584="Rob","Robusta",I584="Exc","Excelsa",I584="Ara","Arabica",I584="Lib","Liberica")</f>
        <v>Excelsa</v>
      </c>
      <c r="O584" t="str" cm="1">
        <f t="array" ref="O584">_xlfn.IFS(J584="M","Medium",J584="L","Large",J584="D","Dark")</f>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_xlfn.XLOOKUP(C585,customers!$A$1:$A$1001,customers!$B$1:$B$1001,,0)</f>
        <v>Sidney Gawen</v>
      </c>
      <c r="G585" s="2" t="str">
        <f>IF(_xlfn.XLOOKUP(C585,customers!$A$1:$A$1001,customers!$C$1:$C$1001,,0)=0,"",_xlfn.XLOOKUP(C585,customers!$A$1:$A$1001,customers!$C$1:$C$1001,,0))</f>
        <v>sgaweng7@creativecommons.org</v>
      </c>
      <c r="H585" s="2" t="str">
        <f>_xlfn.XLOOKUP(C585,customers!$A$1:$A$1001,customers!$G$1:$G$1001,,0)</f>
        <v>United States</v>
      </c>
      <c r="I585" t="str">
        <f>INDEX(products!$A$1:$G$49,MATCH(orders!$D585,products!$A$1:$A$49,0),MATCH(orders!I$1,products!$A$1:$G$1,0))</f>
        <v>Rob</v>
      </c>
      <c r="J585" t="str">
        <f>INDEX(products!$A$1:$G$49,MATCH(orders!$D585,products!$A$1:$A$49,0),MATCH(orders!J$1,products!$A$1:$G$1,0))</f>
        <v>L</v>
      </c>
      <c r="K585" s="7">
        <f>INDEX(products!$A$1:$G$49,MATCH(orders!$D585,products!$A$1:$A$49,0),MATCH(orders!K$1,products!$A$1:$G$1,0))</f>
        <v>0.2</v>
      </c>
      <c r="L585" s="4">
        <f>INDEX(products!$A$1:$G$49,MATCH(orders!$D585,products!$A$1:$A$49,0),MATCH(orders!L$1,products!$A$1:$G$1,0))</f>
        <v>3.5849999999999995</v>
      </c>
      <c r="M585" s="4">
        <f t="shared" si="9"/>
        <v>3.5849999999999995</v>
      </c>
      <c r="N585" t="str" cm="1">
        <f t="array" ref="N585">_xlfn.IFS(I585="Rob","Robusta",I585="Exc","Excelsa",I585="Ara","Arabica",I585="Lib","Liberica")</f>
        <v>Robusta</v>
      </c>
      <c r="O585" t="str" cm="1">
        <f t="array" ref="O585">_xlfn.IFS(J585="M","Medium",J585="L","Large",J585="D","Dark")</f>
        <v>Large</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_xlfn.XLOOKUP(C586,customers!$A$1:$A$1001,customers!$B$1:$B$1001,,0)</f>
        <v>Rickey Readie</v>
      </c>
      <c r="G586" s="2" t="str">
        <f>IF(_xlfn.XLOOKUP(C586,customers!$A$1:$A$1001,customers!$C$1:$C$1001,,0)=0,"",_xlfn.XLOOKUP(C586,customers!$A$1:$A$1001,customers!$C$1:$C$1001,,0))</f>
        <v>rreadieg8@guardian.co.uk</v>
      </c>
      <c r="H586" s="2" t="str">
        <f>_xlfn.XLOOKUP(C586,customers!$A$1:$A$1001,customers!$G$1:$G$1001,,0)</f>
        <v>United States</v>
      </c>
      <c r="I586" t="str">
        <f>INDEX(products!$A$1:$G$49,MATCH(orders!$D586,products!$A$1:$A$49,0),MATCH(orders!I$1,products!$A$1:$G$1,0))</f>
        <v>Rob</v>
      </c>
      <c r="J586" t="str">
        <f>INDEX(products!$A$1:$G$49,MATCH(orders!$D586,products!$A$1:$A$49,0),MATCH(orders!J$1,products!$A$1:$G$1,0))</f>
        <v>L</v>
      </c>
      <c r="K586" s="7">
        <f>INDEX(products!$A$1:$G$49,MATCH(orders!$D586,products!$A$1:$A$49,0),MATCH(orders!K$1,products!$A$1:$G$1,0))</f>
        <v>0.2</v>
      </c>
      <c r="L586" s="4">
        <f>INDEX(products!$A$1:$G$49,MATCH(orders!$D586,products!$A$1:$A$49,0),MATCH(orders!L$1,products!$A$1:$G$1,0))</f>
        <v>3.5849999999999995</v>
      </c>
      <c r="M586" s="4">
        <f t="shared" si="9"/>
        <v>21.509999999999998</v>
      </c>
      <c r="N586" t="str" cm="1">
        <f t="array" ref="N586">_xlfn.IFS(I586="Rob","Robusta",I586="Exc","Excelsa",I586="Ara","Arabica",I586="Lib","Liberica")</f>
        <v>Robusta</v>
      </c>
      <c r="O586" t="str" cm="1">
        <f t="array" ref="O586">_xlfn.IFS(J586="M","Medium",J586="L","Large",J586="D","Dark")</f>
        <v>Large</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_xlfn.XLOOKUP(C587,customers!$A$1:$A$1001,customers!$B$1:$B$1001,,0)</f>
        <v>Cody Verissimo</v>
      </c>
      <c r="G587" s="2" t="str">
        <f>IF(_xlfn.XLOOKUP(C587,customers!$A$1:$A$1001,customers!$C$1:$C$1001,,0)=0,"",_xlfn.XLOOKUP(C587,customers!$A$1:$A$1001,customers!$C$1:$C$1001,,0))</f>
        <v>cverissimogh@theglobeandmail.com</v>
      </c>
      <c r="H587" s="2" t="str">
        <f>_xlfn.XLOOKUP(C587,customers!$A$1:$A$1001,customers!$G$1:$G$1001,,0)</f>
        <v>United Kingdom</v>
      </c>
      <c r="I587" t="str">
        <f>INDEX(products!$A$1:$G$49,MATCH(orders!$D587,products!$A$1:$A$49,0),MATCH(orders!I$1,products!$A$1:$G$1,0))</f>
        <v>Exc</v>
      </c>
      <c r="J587" t="str">
        <f>INDEX(products!$A$1:$G$49,MATCH(orders!$D587,products!$A$1:$A$49,0),MATCH(orders!J$1,products!$A$1:$G$1,0))</f>
        <v>M</v>
      </c>
      <c r="K587" s="7">
        <f>INDEX(products!$A$1:$G$49,MATCH(orders!$D587,products!$A$1:$A$49,0),MATCH(orders!K$1,products!$A$1:$G$1,0))</f>
        <v>0.5</v>
      </c>
      <c r="L587" s="4">
        <f>INDEX(products!$A$1:$G$49,MATCH(orders!$D587,products!$A$1:$A$49,0),MATCH(orders!L$1,products!$A$1:$G$1,0))</f>
        <v>8.25</v>
      </c>
      <c r="M587" s="4">
        <f t="shared" si="9"/>
        <v>16.5</v>
      </c>
      <c r="N587" t="str" cm="1">
        <f t="array" ref="N587">_xlfn.IFS(I587="Rob","Robusta",I587="Exc","Excelsa",I587="Ara","Arabica",I587="Lib","Liberica")</f>
        <v>Excelsa</v>
      </c>
      <c r="O587" t="str" cm="1">
        <f t="array" ref="O587">_xlfn.IFS(J587="M","Medium",J587="L","Large",J587="D","Dark")</f>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_xlfn.XLOOKUP(C588,customers!$A$1:$A$1001,customers!$B$1:$B$1001,,0)</f>
        <v>Zilvia Claisse</v>
      </c>
      <c r="G588" s="2" t="str">
        <f>IF(_xlfn.XLOOKUP(C588,customers!$A$1:$A$1001,customers!$C$1:$C$1001,,0)=0,"",_xlfn.XLOOKUP(C588,customers!$A$1:$A$1001,customers!$C$1:$C$1001,,0))</f>
        <v/>
      </c>
      <c r="H588" s="2" t="str">
        <f>_xlfn.XLOOKUP(C588,customers!$A$1:$A$1001,customers!$G$1:$G$1001,,0)</f>
        <v>United States</v>
      </c>
      <c r="I588" t="str">
        <f>INDEX(products!$A$1:$G$49,MATCH(orders!$D588,products!$A$1:$A$49,0),MATCH(orders!I$1,products!$A$1:$G$1,0))</f>
        <v>Rob</v>
      </c>
      <c r="J588" t="str">
        <f>INDEX(products!$A$1:$G$49,MATCH(orders!$D588,products!$A$1:$A$49,0),MATCH(orders!J$1,products!$A$1:$G$1,0))</f>
        <v>L</v>
      </c>
      <c r="K588" s="7">
        <f>INDEX(products!$A$1:$G$49,MATCH(orders!$D588,products!$A$1:$A$49,0),MATCH(orders!K$1,products!$A$1:$G$1,0))</f>
        <v>2.5</v>
      </c>
      <c r="L588" s="4">
        <f>INDEX(products!$A$1:$G$49,MATCH(orders!$D588,products!$A$1:$A$49,0),MATCH(orders!L$1,products!$A$1:$G$1,0))</f>
        <v>27.484999999999996</v>
      </c>
      <c r="M588" s="4">
        <f t="shared" si="9"/>
        <v>82.454999999999984</v>
      </c>
      <c r="N588" t="str" cm="1">
        <f t="array" ref="N588">_xlfn.IFS(I588="Rob","Robusta",I588="Exc","Excelsa",I588="Ara","Arabica",I588="Lib","Liberica")</f>
        <v>Robusta</v>
      </c>
      <c r="O588" t="str" cm="1">
        <f t="array" ref="O588">_xlfn.IFS(J588="M","Medium",J588="L","Large",J588="D","Dark")</f>
        <v>Large</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_xlfn.XLOOKUP(C589,customers!$A$1:$A$1001,customers!$B$1:$B$1001,,0)</f>
        <v>Bar O' Mahony</v>
      </c>
      <c r="G589" s="2" t="str">
        <f>IF(_xlfn.XLOOKUP(C589,customers!$A$1:$A$1001,customers!$C$1:$C$1001,,0)=0,"",_xlfn.XLOOKUP(C589,customers!$A$1:$A$1001,customers!$C$1:$C$1001,,0))</f>
        <v>bogb@elpais.com</v>
      </c>
      <c r="H589" s="2" t="str">
        <f>_xlfn.XLOOKUP(C589,customers!$A$1:$A$1001,customers!$G$1:$G$1001,,0)</f>
        <v>United States</v>
      </c>
      <c r="I589" t="str">
        <f>INDEX(products!$A$1:$G$49,MATCH(orders!$D589,products!$A$1:$A$49,0),MATCH(orders!I$1,products!$A$1:$G$1,0))</f>
        <v>Lib</v>
      </c>
      <c r="J589" t="str">
        <f>INDEX(products!$A$1:$G$49,MATCH(orders!$D589,products!$A$1:$A$49,0),MATCH(orders!J$1,products!$A$1:$G$1,0))</f>
        <v>D</v>
      </c>
      <c r="K589" s="7">
        <f>INDEX(products!$A$1:$G$49,MATCH(orders!$D589,products!$A$1:$A$49,0),MATCH(orders!K$1,products!$A$1:$G$1,0))</f>
        <v>0.5</v>
      </c>
      <c r="L589" s="4">
        <f>INDEX(products!$A$1:$G$49,MATCH(orders!$D589,products!$A$1:$A$49,0),MATCH(orders!L$1,products!$A$1:$G$1,0))</f>
        <v>7.77</v>
      </c>
      <c r="M589" s="4">
        <f t="shared" si="9"/>
        <v>7.77</v>
      </c>
      <c r="N589" t="str" cm="1">
        <f t="array" ref="N589">_xlfn.IFS(I589="Rob","Robusta",I589="Exc","Excelsa",I589="Ara","Arabica",I589="Lib","Liberica")</f>
        <v>Liberica</v>
      </c>
      <c r="O589" t="str" cm="1">
        <f t="array" ref="O589">_xlfn.IFS(J589="M","Medium",J589="L","Large",J589="D","Dark")</f>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_xlfn.XLOOKUP(C590,customers!$A$1:$A$1001,customers!$B$1:$B$1001,,0)</f>
        <v>Valenka Stansbury</v>
      </c>
      <c r="G590" s="2" t="str">
        <f>IF(_xlfn.XLOOKUP(C590,customers!$A$1:$A$1001,customers!$C$1:$C$1001,,0)=0,"",_xlfn.XLOOKUP(C590,customers!$A$1:$A$1001,customers!$C$1:$C$1001,,0))</f>
        <v>vstansburygc@unblog.fr</v>
      </c>
      <c r="H590" s="2" t="str">
        <f>_xlfn.XLOOKUP(C590,customers!$A$1:$A$1001,customers!$G$1:$G$1001,,0)</f>
        <v>United States</v>
      </c>
      <c r="I590" t="str">
        <f>INDEX(products!$A$1:$G$49,MATCH(orders!$D590,products!$A$1:$A$49,0),MATCH(orders!I$1,products!$A$1:$G$1,0))</f>
        <v>Rob</v>
      </c>
      <c r="J590" t="str">
        <f>INDEX(products!$A$1:$G$49,MATCH(orders!$D590,products!$A$1:$A$49,0),MATCH(orders!J$1,products!$A$1:$G$1,0))</f>
        <v>M</v>
      </c>
      <c r="K590" s="7">
        <f>INDEX(products!$A$1:$G$49,MATCH(orders!$D590,products!$A$1:$A$49,0),MATCH(orders!K$1,products!$A$1:$G$1,0))</f>
        <v>0.5</v>
      </c>
      <c r="L590" s="4">
        <f>INDEX(products!$A$1:$G$49,MATCH(orders!$D590,products!$A$1:$A$49,0),MATCH(orders!L$1,products!$A$1:$G$1,0))</f>
        <v>5.97</v>
      </c>
      <c r="M590" s="4">
        <f t="shared" si="9"/>
        <v>11.94</v>
      </c>
      <c r="N590" t="str" cm="1">
        <f t="array" ref="N590">_xlfn.IFS(I590="Rob","Robusta",I590="Exc","Excelsa",I590="Ara","Arabica",I590="Lib","Liberica")</f>
        <v>Robusta</v>
      </c>
      <c r="O590" t="str" cm="1">
        <f t="array" ref="O590">_xlfn.IFS(J590="M","Medium",J590="L","Large",J590="D","Dark")</f>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_xlfn.XLOOKUP(C591,customers!$A$1:$A$1001,customers!$B$1:$B$1001,,0)</f>
        <v>Daniel Heinonen</v>
      </c>
      <c r="G591" s="2" t="str">
        <f>IF(_xlfn.XLOOKUP(C591,customers!$A$1:$A$1001,customers!$C$1:$C$1001,,0)=0,"",_xlfn.XLOOKUP(C591,customers!$A$1:$A$1001,customers!$C$1:$C$1001,,0))</f>
        <v>dheinonengd@printfriendly.com</v>
      </c>
      <c r="H591" s="2" t="str">
        <f>_xlfn.XLOOKUP(C591,customers!$A$1:$A$1001,customers!$G$1:$G$1001,,0)</f>
        <v>United States</v>
      </c>
      <c r="I591" t="str">
        <f>INDEX(products!$A$1:$G$49,MATCH(orders!$D591,products!$A$1:$A$49,0),MATCH(orders!I$1,products!$A$1:$G$1,0))</f>
        <v>Exc</v>
      </c>
      <c r="J591" t="str">
        <f>INDEX(products!$A$1:$G$49,MATCH(orders!$D591,products!$A$1:$A$49,0),MATCH(orders!J$1,products!$A$1:$G$1,0))</f>
        <v>L</v>
      </c>
      <c r="K591" s="7">
        <f>INDEX(products!$A$1:$G$49,MATCH(orders!$D591,products!$A$1:$A$49,0),MATCH(orders!K$1,products!$A$1:$G$1,0))</f>
        <v>2.5</v>
      </c>
      <c r="L591" s="4">
        <f>INDEX(products!$A$1:$G$49,MATCH(orders!$D591,products!$A$1:$A$49,0),MATCH(orders!L$1,products!$A$1:$G$1,0))</f>
        <v>34.154999999999994</v>
      </c>
      <c r="M591" s="4">
        <f t="shared" si="9"/>
        <v>204.92999999999995</v>
      </c>
      <c r="N591" t="str" cm="1">
        <f t="array" ref="N591">_xlfn.IFS(I591="Rob","Robusta",I591="Exc","Excelsa",I591="Ara","Arabica",I591="Lib","Liberica")</f>
        <v>Excelsa</v>
      </c>
      <c r="O591" t="str" cm="1">
        <f t="array" ref="O591">_xlfn.IFS(J591="M","Medium",J591="L","Large",J591="D","Dark")</f>
        <v>Large</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_xlfn.XLOOKUP(C592,customers!$A$1:$A$1001,customers!$B$1:$B$1001,,0)</f>
        <v>Jewelle Shenton</v>
      </c>
      <c r="G592" s="2" t="str">
        <f>IF(_xlfn.XLOOKUP(C592,customers!$A$1:$A$1001,customers!$C$1:$C$1001,,0)=0,"",_xlfn.XLOOKUP(C592,customers!$A$1:$A$1001,customers!$C$1:$C$1001,,0))</f>
        <v>jshentonge@google.com.hk</v>
      </c>
      <c r="H592" s="2" t="str">
        <f>_xlfn.XLOOKUP(C592,customers!$A$1:$A$1001,customers!$G$1:$G$1001,,0)</f>
        <v>United States</v>
      </c>
      <c r="I592" t="str">
        <f>INDEX(products!$A$1:$G$49,MATCH(orders!$D592,products!$A$1:$A$49,0),MATCH(orders!I$1,products!$A$1:$G$1,0))</f>
        <v>Exc</v>
      </c>
      <c r="J592" t="str">
        <f>INDEX(products!$A$1:$G$49,MATCH(orders!$D592,products!$A$1:$A$49,0),MATCH(orders!J$1,products!$A$1:$G$1,0))</f>
        <v>M</v>
      </c>
      <c r="K592" s="7">
        <f>INDEX(products!$A$1:$G$49,MATCH(orders!$D592,products!$A$1:$A$49,0),MATCH(orders!K$1,products!$A$1:$G$1,0))</f>
        <v>2.5</v>
      </c>
      <c r="L592" s="4">
        <f>INDEX(products!$A$1:$G$49,MATCH(orders!$D592,products!$A$1:$A$49,0),MATCH(orders!L$1,products!$A$1:$G$1,0))</f>
        <v>31.624999999999996</v>
      </c>
      <c r="M592" s="4">
        <f t="shared" si="9"/>
        <v>63.249999999999993</v>
      </c>
      <c r="N592" t="str" cm="1">
        <f t="array" ref="N592">_xlfn.IFS(I592="Rob","Robusta",I592="Exc","Excelsa",I592="Ara","Arabica",I592="Lib","Liberica")</f>
        <v>Excelsa</v>
      </c>
      <c r="O592" t="str" cm="1">
        <f t="array" ref="O592">_xlfn.IFS(J592="M","Medium",J592="L","Large",J592="D","Dark")</f>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_xlfn.XLOOKUP(C593,customers!$A$1:$A$1001,customers!$B$1:$B$1001,,0)</f>
        <v>Jennifer Wilkisson</v>
      </c>
      <c r="G593" s="2" t="str">
        <f>IF(_xlfn.XLOOKUP(C593,customers!$A$1:$A$1001,customers!$C$1:$C$1001,,0)=0,"",_xlfn.XLOOKUP(C593,customers!$A$1:$A$1001,customers!$C$1:$C$1001,,0))</f>
        <v>jwilkissongf@nba.com</v>
      </c>
      <c r="H593" s="2" t="str">
        <f>_xlfn.XLOOKUP(C593,customers!$A$1:$A$1001,customers!$G$1:$G$1001,,0)</f>
        <v>United States</v>
      </c>
      <c r="I593" t="str">
        <f>INDEX(products!$A$1:$G$49,MATCH(orders!$D593,products!$A$1:$A$49,0),MATCH(orders!I$1,products!$A$1:$G$1,0))</f>
        <v>Rob</v>
      </c>
      <c r="J593" t="str">
        <f>INDEX(products!$A$1:$G$49,MATCH(orders!$D593,products!$A$1:$A$49,0),MATCH(orders!J$1,products!$A$1:$G$1,0))</f>
        <v>D</v>
      </c>
      <c r="K593" s="7">
        <f>INDEX(products!$A$1:$G$49,MATCH(orders!$D593,products!$A$1:$A$49,0),MATCH(orders!K$1,products!$A$1:$G$1,0))</f>
        <v>0.2</v>
      </c>
      <c r="L593" s="4">
        <f>INDEX(products!$A$1:$G$49,MATCH(orders!$D593,products!$A$1:$A$49,0),MATCH(orders!L$1,products!$A$1:$G$1,0))</f>
        <v>2.6849999999999996</v>
      </c>
      <c r="M593" s="4">
        <f t="shared" si="9"/>
        <v>8.0549999999999997</v>
      </c>
      <c r="N593" t="str" cm="1">
        <f t="array" ref="N593">_xlfn.IFS(I593="Rob","Robusta",I593="Exc","Excelsa",I593="Ara","Arabica",I593="Lib","Liberica")</f>
        <v>Robusta</v>
      </c>
      <c r="O593" t="str" cm="1">
        <f t="array" ref="O593">_xlfn.IFS(J593="M","Medium",J593="L","Large",J593="D","Dark")</f>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_xlfn.XLOOKUP(C594,customers!$A$1:$A$1001,customers!$B$1:$B$1001,,0)</f>
        <v>Kylie Mowat</v>
      </c>
      <c r="G594" s="2" t="str">
        <f>IF(_xlfn.XLOOKUP(C594,customers!$A$1:$A$1001,customers!$C$1:$C$1001,,0)=0,"",_xlfn.XLOOKUP(C594,customers!$A$1:$A$1001,customers!$C$1:$C$1001,,0))</f>
        <v/>
      </c>
      <c r="H594" s="2" t="str">
        <f>_xlfn.XLOOKUP(C594,customers!$A$1:$A$1001,customers!$G$1:$G$1001,,0)</f>
        <v>United States</v>
      </c>
      <c r="I594" t="str">
        <f>INDEX(products!$A$1:$G$49,MATCH(orders!$D594,products!$A$1:$A$49,0),MATCH(orders!I$1,products!$A$1:$G$1,0))</f>
        <v>Ara</v>
      </c>
      <c r="J594" t="str">
        <f>INDEX(products!$A$1:$G$49,MATCH(orders!$D594,products!$A$1:$A$49,0),MATCH(orders!J$1,products!$A$1:$G$1,0))</f>
        <v>M</v>
      </c>
      <c r="K594" s="7">
        <f>INDEX(products!$A$1:$G$49,MATCH(orders!$D594,products!$A$1:$A$49,0),MATCH(orders!K$1,products!$A$1:$G$1,0))</f>
        <v>2.5</v>
      </c>
      <c r="L594" s="4">
        <f>INDEX(products!$A$1:$G$49,MATCH(orders!$D594,products!$A$1:$A$49,0),MATCH(orders!L$1,products!$A$1:$G$1,0))</f>
        <v>25.874999999999996</v>
      </c>
      <c r="M594" s="4">
        <f t="shared" si="9"/>
        <v>51.749999999999993</v>
      </c>
      <c r="N594" t="str" cm="1">
        <f t="array" ref="N594">_xlfn.IFS(I594="Rob","Robusta",I594="Exc","Excelsa",I594="Ara","Arabica",I594="Lib","Liberica")</f>
        <v>Arabica</v>
      </c>
      <c r="O594" t="str" cm="1">
        <f t="array" ref="O594">_xlfn.IFS(J594="M","Medium",J594="L","Large",J594="D","Dark")</f>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_xlfn.XLOOKUP(C595,customers!$A$1:$A$1001,customers!$B$1:$B$1001,,0)</f>
        <v>Cody Verissimo</v>
      </c>
      <c r="G595" s="2" t="str">
        <f>IF(_xlfn.XLOOKUP(C595,customers!$A$1:$A$1001,customers!$C$1:$C$1001,,0)=0,"",_xlfn.XLOOKUP(C595,customers!$A$1:$A$1001,customers!$C$1:$C$1001,,0))</f>
        <v>cverissimogh@theglobeandmail.com</v>
      </c>
      <c r="H595" s="2" t="str">
        <f>_xlfn.XLOOKUP(C595,customers!$A$1:$A$1001,customers!$G$1:$G$1001,,0)</f>
        <v>United Kingdom</v>
      </c>
      <c r="I595" t="str">
        <f>INDEX(products!$A$1:$G$49,MATCH(orders!$D595,products!$A$1:$A$49,0),MATCH(orders!I$1,products!$A$1:$G$1,0))</f>
        <v>Exc</v>
      </c>
      <c r="J595" t="str">
        <f>INDEX(products!$A$1:$G$49,MATCH(orders!$D595,products!$A$1:$A$49,0),MATCH(orders!J$1,products!$A$1:$G$1,0))</f>
        <v>D</v>
      </c>
      <c r="K595" s="7">
        <f>INDEX(products!$A$1:$G$49,MATCH(orders!$D595,products!$A$1:$A$49,0),MATCH(orders!K$1,products!$A$1:$G$1,0))</f>
        <v>2.5</v>
      </c>
      <c r="L595" s="4">
        <f>INDEX(products!$A$1:$G$49,MATCH(orders!$D595,products!$A$1:$A$49,0),MATCH(orders!L$1,products!$A$1:$G$1,0))</f>
        <v>27.945</v>
      </c>
      <c r="M595" s="4">
        <f t="shared" si="9"/>
        <v>27.945</v>
      </c>
      <c r="N595" t="str" cm="1">
        <f t="array" ref="N595">_xlfn.IFS(I595="Rob","Robusta",I595="Exc","Excelsa",I595="Ara","Arabica",I595="Lib","Liberica")</f>
        <v>Excelsa</v>
      </c>
      <c r="O595" t="str" cm="1">
        <f t="array" ref="O595">_xlfn.IFS(J595="M","Medium",J595="L","Large",J595="D","Dark")</f>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_xlfn.XLOOKUP(C596,customers!$A$1:$A$1001,customers!$B$1:$B$1001,,0)</f>
        <v>Gabriel Starcks</v>
      </c>
      <c r="G596" s="2" t="str">
        <f>IF(_xlfn.XLOOKUP(C596,customers!$A$1:$A$1001,customers!$C$1:$C$1001,,0)=0,"",_xlfn.XLOOKUP(C596,customers!$A$1:$A$1001,customers!$C$1:$C$1001,,0))</f>
        <v>gstarcksgi@abc.net.au</v>
      </c>
      <c r="H596" s="2" t="str">
        <f>_xlfn.XLOOKUP(C596,customers!$A$1:$A$1001,customers!$G$1:$G$1001,,0)</f>
        <v>United States</v>
      </c>
      <c r="I596" t="str">
        <f>INDEX(products!$A$1:$G$49,MATCH(orders!$D596,products!$A$1:$A$49,0),MATCH(orders!I$1,products!$A$1:$G$1,0))</f>
        <v>Ara</v>
      </c>
      <c r="J596" t="str">
        <f>INDEX(products!$A$1:$G$49,MATCH(orders!$D596,products!$A$1:$A$49,0),MATCH(orders!J$1,products!$A$1:$G$1,0))</f>
        <v>L</v>
      </c>
      <c r="K596" s="7">
        <f>INDEX(products!$A$1:$G$49,MATCH(orders!$D596,products!$A$1:$A$49,0),MATCH(orders!K$1,products!$A$1:$G$1,0))</f>
        <v>2.5</v>
      </c>
      <c r="L596" s="4">
        <f>INDEX(products!$A$1:$G$49,MATCH(orders!$D596,products!$A$1:$A$49,0),MATCH(orders!L$1,products!$A$1:$G$1,0))</f>
        <v>29.784999999999997</v>
      </c>
      <c r="M596" s="4">
        <f t="shared" si="9"/>
        <v>59.569999999999993</v>
      </c>
      <c r="N596" t="str" cm="1">
        <f t="array" ref="N596">_xlfn.IFS(I596="Rob","Robusta",I596="Exc","Excelsa",I596="Ara","Arabica",I596="Lib","Liberica")</f>
        <v>Arabica</v>
      </c>
      <c r="O596" t="str" cm="1">
        <f t="array" ref="O596">_xlfn.IFS(J596="M","Medium",J596="L","Large",J596="D","Dark")</f>
        <v>Large</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_xlfn.XLOOKUP(C597,customers!$A$1:$A$1001,customers!$B$1:$B$1001,,0)</f>
        <v>Darby Dummer</v>
      </c>
      <c r="G597" s="2" t="str">
        <f>IF(_xlfn.XLOOKUP(C597,customers!$A$1:$A$1001,customers!$C$1:$C$1001,,0)=0,"",_xlfn.XLOOKUP(C597,customers!$A$1:$A$1001,customers!$C$1:$C$1001,,0))</f>
        <v/>
      </c>
      <c r="H597" s="2" t="str">
        <f>_xlfn.XLOOKUP(C597,customers!$A$1:$A$1001,customers!$G$1:$G$1001,,0)</f>
        <v>United Kingdom</v>
      </c>
      <c r="I597" t="str">
        <f>INDEX(products!$A$1:$G$49,MATCH(orders!$D597,products!$A$1:$A$49,0),MATCH(orders!I$1,products!$A$1:$G$1,0))</f>
        <v>Exc</v>
      </c>
      <c r="J597" t="str">
        <f>INDEX(products!$A$1:$G$49,MATCH(orders!$D597,products!$A$1:$A$49,0),MATCH(orders!J$1,products!$A$1:$G$1,0))</f>
        <v>L</v>
      </c>
      <c r="K597" s="7">
        <f>INDEX(products!$A$1:$G$49,MATCH(orders!$D597,products!$A$1:$A$49,0),MATCH(orders!K$1,products!$A$1:$G$1,0))</f>
        <v>1</v>
      </c>
      <c r="L597" s="4">
        <f>INDEX(products!$A$1:$G$49,MATCH(orders!$D597,products!$A$1:$A$49,0),MATCH(orders!L$1,products!$A$1:$G$1,0))</f>
        <v>14.85</v>
      </c>
      <c r="M597" s="4">
        <f t="shared" si="9"/>
        <v>14.85</v>
      </c>
      <c r="N597" t="str" cm="1">
        <f t="array" ref="N597">_xlfn.IFS(I597="Rob","Robusta",I597="Exc","Excelsa",I597="Ara","Arabica",I597="Lib","Liberica")</f>
        <v>Excelsa</v>
      </c>
      <c r="O597" t="str" cm="1">
        <f t="array" ref="O597">_xlfn.IFS(J597="M","Medium",J597="L","Large",J597="D","Dark")</f>
        <v>Large</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_xlfn.XLOOKUP(C598,customers!$A$1:$A$1001,customers!$B$1:$B$1001,,0)</f>
        <v>Kienan Scholard</v>
      </c>
      <c r="G598" s="2" t="str">
        <f>IF(_xlfn.XLOOKUP(C598,customers!$A$1:$A$1001,customers!$C$1:$C$1001,,0)=0,"",_xlfn.XLOOKUP(C598,customers!$A$1:$A$1001,customers!$C$1:$C$1001,,0))</f>
        <v>kscholardgk@sbwire.com</v>
      </c>
      <c r="H598" s="2" t="str">
        <f>_xlfn.XLOOKUP(C598,customers!$A$1:$A$1001,customers!$G$1:$G$1001,,0)</f>
        <v>United States</v>
      </c>
      <c r="I598" t="str">
        <f>INDEX(products!$A$1:$G$49,MATCH(orders!$D598,products!$A$1:$A$49,0),MATCH(orders!I$1,products!$A$1:$G$1,0))</f>
        <v>Ara</v>
      </c>
      <c r="J598" t="str">
        <f>INDEX(products!$A$1:$G$49,MATCH(orders!$D598,products!$A$1:$A$49,0),MATCH(orders!J$1,products!$A$1:$G$1,0))</f>
        <v>M</v>
      </c>
      <c r="K598" s="7">
        <f>INDEX(products!$A$1:$G$49,MATCH(orders!$D598,products!$A$1:$A$49,0),MATCH(orders!K$1,products!$A$1:$G$1,0))</f>
        <v>0.5</v>
      </c>
      <c r="L598" s="4">
        <f>INDEX(products!$A$1:$G$49,MATCH(orders!$D598,products!$A$1:$A$49,0),MATCH(orders!L$1,products!$A$1:$G$1,0))</f>
        <v>6.75</v>
      </c>
      <c r="M598" s="4">
        <f t="shared" si="9"/>
        <v>33.75</v>
      </c>
      <c r="N598" t="str" cm="1">
        <f t="array" ref="N598">_xlfn.IFS(I598="Rob","Robusta",I598="Exc","Excelsa",I598="Ara","Arabica",I598="Lib","Liberica")</f>
        <v>Arabica</v>
      </c>
      <c r="O598" t="str" cm="1">
        <f t="array" ref="O598">_xlfn.IFS(J598="M","Medium",J598="L","Large",J598="D","Dark")</f>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_xlfn.XLOOKUP(C599,customers!$A$1:$A$1001,customers!$B$1:$B$1001,,0)</f>
        <v>Bo Kindley</v>
      </c>
      <c r="G599" s="2" t="str">
        <f>IF(_xlfn.XLOOKUP(C599,customers!$A$1:$A$1001,customers!$C$1:$C$1001,,0)=0,"",_xlfn.XLOOKUP(C599,customers!$A$1:$A$1001,customers!$C$1:$C$1001,,0))</f>
        <v>bkindleygl@wikimedia.org</v>
      </c>
      <c r="H599" s="2" t="str">
        <f>_xlfn.XLOOKUP(C599,customers!$A$1:$A$1001,customers!$G$1:$G$1001,,0)</f>
        <v>United States</v>
      </c>
      <c r="I599" t="str">
        <f>INDEX(products!$A$1:$G$49,MATCH(orders!$D599,products!$A$1:$A$49,0),MATCH(orders!I$1,products!$A$1:$G$1,0))</f>
        <v>Lib</v>
      </c>
      <c r="J599" t="str">
        <f>INDEX(products!$A$1:$G$49,MATCH(orders!$D599,products!$A$1:$A$49,0),MATCH(orders!J$1,products!$A$1:$G$1,0))</f>
        <v>L</v>
      </c>
      <c r="K599" s="7">
        <f>INDEX(products!$A$1:$G$49,MATCH(orders!$D599,products!$A$1:$A$49,0),MATCH(orders!K$1,products!$A$1:$G$1,0))</f>
        <v>2.5</v>
      </c>
      <c r="L599" s="4">
        <f>INDEX(products!$A$1:$G$49,MATCH(orders!$D599,products!$A$1:$A$49,0),MATCH(orders!L$1,products!$A$1:$G$1,0))</f>
        <v>36.454999999999998</v>
      </c>
      <c r="M599" s="4">
        <f t="shared" si="9"/>
        <v>145.82</v>
      </c>
      <c r="N599" t="str" cm="1">
        <f t="array" ref="N599">_xlfn.IFS(I599="Rob","Robusta",I599="Exc","Excelsa",I599="Ara","Arabica",I599="Lib","Liberica")</f>
        <v>Liberica</v>
      </c>
      <c r="O599" t="str" cm="1">
        <f t="array" ref="O599">_xlfn.IFS(J599="M","Medium",J599="L","Large",J599="D","Dark")</f>
        <v>Large</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_xlfn.XLOOKUP(C600,customers!$A$1:$A$1001,customers!$B$1:$B$1001,,0)</f>
        <v>Krissie Hammett</v>
      </c>
      <c r="G600" s="2" t="str">
        <f>IF(_xlfn.XLOOKUP(C600,customers!$A$1:$A$1001,customers!$C$1:$C$1001,,0)=0,"",_xlfn.XLOOKUP(C600,customers!$A$1:$A$1001,customers!$C$1:$C$1001,,0))</f>
        <v>khammettgm@dmoz.org</v>
      </c>
      <c r="H600" s="2" t="str">
        <f>_xlfn.XLOOKUP(C600,customers!$A$1:$A$1001,customers!$G$1:$G$1001,,0)</f>
        <v>United States</v>
      </c>
      <c r="I600" t="str">
        <f>INDEX(products!$A$1:$G$49,MATCH(orders!$D600,products!$A$1:$A$49,0),MATCH(orders!I$1,products!$A$1:$G$1,0))</f>
        <v>Rob</v>
      </c>
      <c r="J600" t="str">
        <f>INDEX(products!$A$1:$G$49,MATCH(orders!$D600,products!$A$1:$A$49,0),MATCH(orders!J$1,products!$A$1:$G$1,0))</f>
        <v>M</v>
      </c>
      <c r="K600" s="7">
        <f>INDEX(products!$A$1:$G$49,MATCH(orders!$D600,products!$A$1:$A$49,0),MATCH(orders!K$1,products!$A$1:$G$1,0))</f>
        <v>0.2</v>
      </c>
      <c r="L600" s="4">
        <f>INDEX(products!$A$1:$G$49,MATCH(orders!$D600,products!$A$1:$A$49,0),MATCH(orders!L$1,products!$A$1:$G$1,0))</f>
        <v>2.9849999999999999</v>
      </c>
      <c r="M600" s="4">
        <f t="shared" si="9"/>
        <v>11.94</v>
      </c>
      <c r="N600" t="str" cm="1">
        <f t="array" ref="N600">_xlfn.IFS(I600="Rob","Robusta",I600="Exc","Excelsa",I600="Ara","Arabica",I600="Lib","Liberica")</f>
        <v>Robusta</v>
      </c>
      <c r="O600" t="str" cm="1">
        <f t="array" ref="O600">_xlfn.IFS(J600="M","Medium",J600="L","Large",J600="D","Dark")</f>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_xlfn.XLOOKUP(C601,customers!$A$1:$A$1001,customers!$B$1:$B$1001,,0)</f>
        <v>Alisha Hulburt</v>
      </c>
      <c r="G601" s="2" t="str">
        <f>IF(_xlfn.XLOOKUP(C601,customers!$A$1:$A$1001,customers!$C$1:$C$1001,,0)=0,"",_xlfn.XLOOKUP(C601,customers!$A$1:$A$1001,customers!$C$1:$C$1001,,0))</f>
        <v>ahulburtgn@fda.gov</v>
      </c>
      <c r="H601" s="2" t="str">
        <f>_xlfn.XLOOKUP(C601,customers!$A$1:$A$1001,customers!$G$1:$G$1001,,0)</f>
        <v>United States</v>
      </c>
      <c r="I601" t="str">
        <f>INDEX(products!$A$1:$G$49,MATCH(orders!$D601,products!$A$1:$A$49,0),MATCH(orders!I$1,products!$A$1:$G$1,0))</f>
        <v>Ara</v>
      </c>
      <c r="J601" t="str">
        <f>INDEX(products!$A$1:$G$49,MATCH(orders!$D601,products!$A$1:$A$49,0),MATCH(orders!J$1,products!$A$1:$G$1,0))</f>
        <v>D</v>
      </c>
      <c r="K601" s="7">
        <f>INDEX(products!$A$1:$G$49,MATCH(orders!$D601,products!$A$1:$A$49,0),MATCH(orders!K$1,products!$A$1:$G$1,0))</f>
        <v>0.2</v>
      </c>
      <c r="L601" s="4">
        <f>INDEX(products!$A$1:$G$49,MATCH(orders!$D601,products!$A$1:$A$49,0),MATCH(orders!L$1,products!$A$1:$G$1,0))</f>
        <v>2.9849999999999999</v>
      </c>
      <c r="M601" s="4">
        <f t="shared" si="9"/>
        <v>11.94</v>
      </c>
      <c r="N601" t="str" cm="1">
        <f t="array" ref="N601">_xlfn.IFS(I601="Rob","Robusta",I601="Exc","Excelsa",I601="Ara","Arabica",I601="Lib","Liberica")</f>
        <v>Arabica</v>
      </c>
      <c r="O601" t="str" cm="1">
        <f t="array" ref="O601">_xlfn.IFS(J601="M","Medium",J601="L","Large",J601="D","Dark")</f>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_xlfn.XLOOKUP(C602,customers!$A$1:$A$1001,customers!$B$1:$B$1001,,0)</f>
        <v>Peyter Lauritzen</v>
      </c>
      <c r="G602" s="2" t="str">
        <f>IF(_xlfn.XLOOKUP(C602,customers!$A$1:$A$1001,customers!$C$1:$C$1001,,0)=0,"",_xlfn.XLOOKUP(C602,customers!$A$1:$A$1001,customers!$C$1:$C$1001,,0))</f>
        <v>plauritzengo@photobucket.com</v>
      </c>
      <c r="H602" s="2" t="str">
        <f>_xlfn.XLOOKUP(C602,customers!$A$1:$A$1001,customers!$G$1:$G$1001,,0)</f>
        <v>United States</v>
      </c>
      <c r="I602" t="str">
        <f>INDEX(products!$A$1:$G$49,MATCH(orders!$D602,products!$A$1:$A$49,0),MATCH(orders!I$1,products!$A$1:$G$1,0))</f>
        <v>Lib</v>
      </c>
      <c r="J602" t="str">
        <f>INDEX(products!$A$1:$G$49,MATCH(orders!$D602,products!$A$1:$A$49,0),MATCH(orders!J$1,products!$A$1:$G$1,0))</f>
        <v>D</v>
      </c>
      <c r="K602" s="7">
        <f>INDEX(products!$A$1:$G$49,MATCH(orders!$D602,products!$A$1:$A$49,0),MATCH(orders!K$1,products!$A$1:$G$1,0))</f>
        <v>0.5</v>
      </c>
      <c r="L602" s="4">
        <f>INDEX(products!$A$1:$G$49,MATCH(orders!$D602,products!$A$1:$A$49,0),MATCH(orders!L$1,products!$A$1:$G$1,0))</f>
        <v>7.77</v>
      </c>
      <c r="M602" s="4">
        <f t="shared" si="9"/>
        <v>7.77</v>
      </c>
      <c r="N602" t="str" cm="1">
        <f t="array" ref="N602">_xlfn.IFS(I602="Rob","Robusta",I602="Exc","Excelsa",I602="Ara","Arabica",I602="Lib","Liberica")</f>
        <v>Liberica</v>
      </c>
      <c r="O602" t="str" cm="1">
        <f t="array" ref="O602">_xlfn.IFS(J602="M","Medium",J602="L","Large",J602="D","Dark")</f>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_xlfn.XLOOKUP(C603,customers!$A$1:$A$1001,customers!$B$1:$B$1001,,0)</f>
        <v>Aurelia Burgwin</v>
      </c>
      <c r="G603" s="2" t="str">
        <f>IF(_xlfn.XLOOKUP(C603,customers!$A$1:$A$1001,customers!$C$1:$C$1001,,0)=0,"",_xlfn.XLOOKUP(C603,customers!$A$1:$A$1001,customers!$C$1:$C$1001,,0))</f>
        <v>aburgwingp@redcross.org</v>
      </c>
      <c r="H603" s="2" t="str">
        <f>_xlfn.XLOOKUP(C603,customers!$A$1:$A$1001,customers!$G$1:$G$1001,,0)</f>
        <v>United States</v>
      </c>
      <c r="I603" t="str">
        <f>INDEX(products!$A$1:$G$49,MATCH(orders!$D603,products!$A$1:$A$49,0),MATCH(orders!I$1,products!$A$1:$G$1,0))</f>
        <v>Rob</v>
      </c>
      <c r="J603" t="str">
        <f>INDEX(products!$A$1:$G$49,MATCH(orders!$D603,products!$A$1:$A$49,0),MATCH(orders!J$1,products!$A$1:$G$1,0))</f>
        <v>L</v>
      </c>
      <c r="K603" s="7">
        <f>INDEX(products!$A$1:$G$49,MATCH(orders!$D603,products!$A$1:$A$49,0),MATCH(orders!K$1,products!$A$1:$G$1,0))</f>
        <v>2.5</v>
      </c>
      <c r="L603" s="4">
        <f>INDEX(products!$A$1:$G$49,MATCH(orders!$D603,products!$A$1:$A$49,0),MATCH(orders!L$1,products!$A$1:$G$1,0))</f>
        <v>27.484999999999996</v>
      </c>
      <c r="M603" s="4">
        <f t="shared" si="9"/>
        <v>109.93999999999998</v>
      </c>
      <c r="N603" t="str" cm="1">
        <f t="array" ref="N603">_xlfn.IFS(I603="Rob","Robusta",I603="Exc","Excelsa",I603="Ara","Arabica",I603="Lib","Liberica")</f>
        <v>Robusta</v>
      </c>
      <c r="O603" t="str" cm="1">
        <f t="array" ref="O603">_xlfn.IFS(J603="M","Medium",J603="L","Large",J603="D","Dark")</f>
        <v>Large</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_xlfn.XLOOKUP(C604,customers!$A$1:$A$1001,customers!$B$1:$B$1001,,0)</f>
        <v>Emalee Rolin</v>
      </c>
      <c r="G604" s="2" t="str">
        <f>IF(_xlfn.XLOOKUP(C604,customers!$A$1:$A$1001,customers!$C$1:$C$1001,,0)=0,"",_xlfn.XLOOKUP(C604,customers!$A$1:$A$1001,customers!$C$1:$C$1001,,0))</f>
        <v>erolingq@google.fr</v>
      </c>
      <c r="H604" s="2" t="str">
        <f>_xlfn.XLOOKUP(C604,customers!$A$1:$A$1001,customers!$G$1:$G$1001,,0)</f>
        <v>United States</v>
      </c>
      <c r="I604" t="str">
        <f>INDEX(products!$A$1:$G$49,MATCH(orders!$D604,products!$A$1:$A$49,0),MATCH(orders!I$1,products!$A$1:$G$1,0))</f>
        <v>Exc</v>
      </c>
      <c r="J604" t="str">
        <f>INDEX(products!$A$1:$G$49,MATCH(orders!$D604,products!$A$1:$A$49,0),MATCH(orders!J$1,products!$A$1:$G$1,0))</f>
        <v>L</v>
      </c>
      <c r="K604" s="7">
        <f>INDEX(products!$A$1:$G$49,MATCH(orders!$D604,products!$A$1:$A$49,0),MATCH(orders!K$1,products!$A$1:$G$1,0))</f>
        <v>0.2</v>
      </c>
      <c r="L604" s="4">
        <f>INDEX(products!$A$1:$G$49,MATCH(orders!$D604,products!$A$1:$A$49,0),MATCH(orders!L$1,products!$A$1:$G$1,0))</f>
        <v>4.4550000000000001</v>
      </c>
      <c r="M604" s="4">
        <f t="shared" si="9"/>
        <v>22.274999999999999</v>
      </c>
      <c r="N604" t="str" cm="1">
        <f t="array" ref="N604">_xlfn.IFS(I604="Rob","Robusta",I604="Exc","Excelsa",I604="Ara","Arabica",I604="Lib","Liberica")</f>
        <v>Excelsa</v>
      </c>
      <c r="O604" t="str" cm="1">
        <f t="array" ref="O604">_xlfn.IFS(J604="M","Medium",J604="L","Large",J604="D","Dark")</f>
        <v>Large</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_xlfn.XLOOKUP(C605,customers!$A$1:$A$1001,customers!$B$1:$B$1001,,0)</f>
        <v>Donavon Fowle</v>
      </c>
      <c r="G605" s="2" t="str">
        <f>IF(_xlfn.XLOOKUP(C605,customers!$A$1:$A$1001,customers!$C$1:$C$1001,,0)=0,"",_xlfn.XLOOKUP(C605,customers!$A$1:$A$1001,customers!$C$1:$C$1001,,0))</f>
        <v>dfowlegr@epa.gov</v>
      </c>
      <c r="H605" s="2" t="str">
        <f>_xlfn.XLOOKUP(C605,customers!$A$1:$A$1001,customers!$G$1:$G$1001,,0)</f>
        <v>United States</v>
      </c>
      <c r="I605" t="str">
        <f>INDEX(products!$A$1:$G$49,MATCH(orders!$D605,products!$A$1:$A$49,0),MATCH(orders!I$1,products!$A$1:$G$1,0))</f>
        <v>Rob</v>
      </c>
      <c r="J605" t="str">
        <f>INDEX(products!$A$1:$G$49,MATCH(orders!$D605,products!$A$1:$A$49,0),MATCH(orders!J$1,products!$A$1:$G$1,0))</f>
        <v>M</v>
      </c>
      <c r="K605" s="7">
        <f>INDEX(products!$A$1:$G$49,MATCH(orders!$D605,products!$A$1:$A$49,0),MATCH(orders!K$1,products!$A$1:$G$1,0))</f>
        <v>0.2</v>
      </c>
      <c r="L605" s="4">
        <f>INDEX(products!$A$1:$G$49,MATCH(orders!$D605,products!$A$1:$A$49,0),MATCH(orders!L$1,products!$A$1:$G$1,0))</f>
        <v>2.9849999999999999</v>
      </c>
      <c r="M605" s="4">
        <f t="shared" si="9"/>
        <v>8.9550000000000001</v>
      </c>
      <c r="N605" t="str" cm="1">
        <f t="array" ref="N605">_xlfn.IFS(I605="Rob","Robusta",I605="Exc","Excelsa",I605="Ara","Arabica",I605="Lib","Liberica")</f>
        <v>Robusta</v>
      </c>
      <c r="O605" t="str" cm="1">
        <f t="array" ref="O605">_xlfn.IFS(J605="M","Medium",J605="L","Large",J605="D","Dark")</f>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_xlfn.XLOOKUP(C606,customers!$A$1:$A$1001,customers!$B$1:$B$1001,,0)</f>
        <v>Jorge Bettison</v>
      </c>
      <c r="G606" s="2" t="str">
        <f>IF(_xlfn.XLOOKUP(C606,customers!$A$1:$A$1001,customers!$C$1:$C$1001,,0)=0,"",_xlfn.XLOOKUP(C606,customers!$A$1:$A$1001,customers!$C$1:$C$1001,,0))</f>
        <v/>
      </c>
      <c r="H606" s="2" t="str">
        <f>_xlfn.XLOOKUP(C606,customers!$A$1:$A$1001,customers!$G$1:$G$1001,,0)</f>
        <v>Ireland</v>
      </c>
      <c r="I606" t="str">
        <f>INDEX(products!$A$1:$G$49,MATCH(orders!$D606,products!$A$1:$A$49,0),MATCH(orders!I$1,products!$A$1:$G$1,0))</f>
        <v>Lib</v>
      </c>
      <c r="J606" t="str">
        <f>INDEX(products!$A$1:$G$49,MATCH(orders!$D606,products!$A$1:$A$49,0),MATCH(orders!J$1,products!$A$1:$G$1,0))</f>
        <v>D</v>
      </c>
      <c r="K606" s="7">
        <f>INDEX(products!$A$1:$G$49,MATCH(orders!$D606,products!$A$1:$A$49,0),MATCH(orders!K$1,products!$A$1:$G$1,0))</f>
        <v>2.5</v>
      </c>
      <c r="L606" s="4">
        <f>INDEX(products!$A$1:$G$49,MATCH(orders!$D606,products!$A$1:$A$49,0),MATCH(orders!L$1,products!$A$1:$G$1,0))</f>
        <v>29.784999999999997</v>
      </c>
      <c r="M606" s="4">
        <f t="shared" si="9"/>
        <v>119.13999999999999</v>
      </c>
      <c r="N606" t="str" cm="1">
        <f t="array" ref="N606">_xlfn.IFS(I606="Rob","Robusta",I606="Exc","Excelsa",I606="Ara","Arabica",I606="Lib","Liberica")</f>
        <v>Liberica</v>
      </c>
      <c r="O606" t="str" cm="1">
        <f t="array" ref="O606">_xlfn.IFS(J606="M","Medium",J606="L","Large",J606="D","Dark")</f>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_xlfn.XLOOKUP(C607,customers!$A$1:$A$1001,customers!$B$1:$B$1001,,0)</f>
        <v>Wang Powlesland</v>
      </c>
      <c r="G607" s="2" t="str">
        <f>IF(_xlfn.XLOOKUP(C607,customers!$A$1:$A$1001,customers!$C$1:$C$1001,,0)=0,"",_xlfn.XLOOKUP(C607,customers!$A$1:$A$1001,customers!$C$1:$C$1001,,0))</f>
        <v>wpowleslandgt@soundcloud.com</v>
      </c>
      <c r="H607" s="2" t="str">
        <f>_xlfn.XLOOKUP(C607,customers!$A$1:$A$1001,customers!$G$1:$G$1001,,0)</f>
        <v>United States</v>
      </c>
      <c r="I607" t="str">
        <f>INDEX(products!$A$1:$G$49,MATCH(orders!$D607,products!$A$1:$A$49,0),MATCH(orders!I$1,products!$A$1:$G$1,0))</f>
        <v>Ara</v>
      </c>
      <c r="J607" t="str">
        <f>INDEX(products!$A$1:$G$49,MATCH(orders!$D607,products!$A$1:$A$49,0),MATCH(orders!J$1,products!$A$1:$G$1,0))</f>
        <v>L</v>
      </c>
      <c r="K607" s="7">
        <f>INDEX(products!$A$1:$G$49,MATCH(orders!$D607,products!$A$1:$A$49,0),MATCH(orders!K$1,products!$A$1:$G$1,0))</f>
        <v>2.5</v>
      </c>
      <c r="L607" s="4">
        <f>INDEX(products!$A$1:$G$49,MATCH(orders!$D607,products!$A$1:$A$49,0),MATCH(orders!L$1,products!$A$1:$G$1,0))</f>
        <v>29.784999999999997</v>
      </c>
      <c r="M607" s="4">
        <f t="shared" si="9"/>
        <v>148.92499999999998</v>
      </c>
      <c r="N607" t="str" cm="1">
        <f t="array" ref="N607">_xlfn.IFS(I607="Rob","Robusta",I607="Exc","Excelsa",I607="Ara","Arabica",I607="Lib","Liberica")</f>
        <v>Arabica</v>
      </c>
      <c r="O607" t="str" cm="1">
        <f t="array" ref="O607">_xlfn.IFS(J607="M","Medium",J607="L","Large",J607="D","Dark")</f>
        <v>Large</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_xlfn.XLOOKUP(C608,customers!$A$1:$A$1001,customers!$B$1:$B$1001,,0)</f>
        <v>Cody Verissimo</v>
      </c>
      <c r="G608" s="2" t="str">
        <f>IF(_xlfn.XLOOKUP(C608,customers!$A$1:$A$1001,customers!$C$1:$C$1001,,0)=0,"",_xlfn.XLOOKUP(C608,customers!$A$1:$A$1001,customers!$C$1:$C$1001,,0))</f>
        <v>cverissimogh@theglobeandmail.com</v>
      </c>
      <c r="H608" s="2" t="str">
        <f>_xlfn.XLOOKUP(C608,customers!$A$1:$A$1001,customers!$G$1:$G$1001,,0)</f>
        <v>United Kingdom</v>
      </c>
      <c r="I608" t="str">
        <f>INDEX(products!$A$1:$G$49,MATCH(orders!$D608,products!$A$1:$A$49,0),MATCH(orders!I$1,products!$A$1:$G$1,0))</f>
        <v>Lib</v>
      </c>
      <c r="J608" t="str">
        <f>INDEX(products!$A$1:$G$49,MATCH(orders!$D608,products!$A$1:$A$49,0),MATCH(orders!J$1,products!$A$1:$G$1,0))</f>
        <v>L</v>
      </c>
      <c r="K608" s="7">
        <f>INDEX(products!$A$1:$G$49,MATCH(orders!$D608,products!$A$1:$A$49,0),MATCH(orders!K$1,products!$A$1:$G$1,0))</f>
        <v>2.5</v>
      </c>
      <c r="L608" s="4">
        <f>INDEX(products!$A$1:$G$49,MATCH(orders!$D608,products!$A$1:$A$49,0),MATCH(orders!L$1,products!$A$1:$G$1,0))</f>
        <v>36.454999999999998</v>
      </c>
      <c r="M608" s="4">
        <f t="shared" si="9"/>
        <v>109.36499999999999</v>
      </c>
      <c r="N608" t="str" cm="1">
        <f t="array" ref="N608">_xlfn.IFS(I608="Rob","Robusta",I608="Exc","Excelsa",I608="Ara","Arabica",I608="Lib","Liberica")</f>
        <v>Liberica</v>
      </c>
      <c r="O608" t="str" cm="1">
        <f t="array" ref="O608">_xlfn.IFS(J608="M","Medium",J608="L","Large",J608="D","Dark")</f>
        <v>Large</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_xlfn.XLOOKUP(C609,customers!$A$1:$A$1001,customers!$B$1:$B$1001,,0)</f>
        <v>Laurence Ellingham</v>
      </c>
      <c r="G609" s="2" t="str">
        <f>IF(_xlfn.XLOOKUP(C609,customers!$A$1:$A$1001,customers!$C$1:$C$1001,,0)=0,"",_xlfn.XLOOKUP(C609,customers!$A$1:$A$1001,customers!$C$1:$C$1001,,0))</f>
        <v>lellinghamgv@sciencedaily.com</v>
      </c>
      <c r="H609" s="2" t="str">
        <f>_xlfn.XLOOKUP(C609,customers!$A$1:$A$1001,customers!$G$1:$G$1001,,0)</f>
        <v>United States</v>
      </c>
      <c r="I609" t="str">
        <f>INDEX(products!$A$1:$G$49,MATCH(orders!$D609,products!$A$1:$A$49,0),MATCH(orders!I$1,products!$A$1:$G$1,0))</f>
        <v>Exc</v>
      </c>
      <c r="J609" t="str">
        <f>INDEX(products!$A$1:$G$49,MATCH(orders!$D609,products!$A$1:$A$49,0),MATCH(orders!J$1,products!$A$1:$G$1,0))</f>
        <v>D</v>
      </c>
      <c r="K609" s="7">
        <f>INDEX(products!$A$1:$G$49,MATCH(orders!$D609,products!$A$1:$A$49,0),MATCH(orders!K$1,products!$A$1:$G$1,0))</f>
        <v>0.2</v>
      </c>
      <c r="L609" s="4">
        <f>INDEX(products!$A$1:$G$49,MATCH(orders!$D609,products!$A$1:$A$49,0),MATCH(orders!L$1,products!$A$1:$G$1,0))</f>
        <v>3.645</v>
      </c>
      <c r="M609" s="4">
        <f t="shared" si="9"/>
        <v>3.645</v>
      </c>
      <c r="N609" t="str" cm="1">
        <f t="array" ref="N609">_xlfn.IFS(I609="Rob","Robusta",I609="Exc","Excelsa",I609="Ara","Arabica",I609="Lib","Liberica")</f>
        <v>Excelsa</v>
      </c>
      <c r="O609" t="str" cm="1">
        <f t="array" ref="O609">_xlfn.IFS(J609="M","Medium",J609="L","Large",J609="D","Dark")</f>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_xlfn.XLOOKUP(C610,customers!$A$1:$A$1001,customers!$B$1:$B$1001,,0)</f>
        <v>Billy Neiland</v>
      </c>
      <c r="G610" s="2" t="str">
        <f>IF(_xlfn.XLOOKUP(C610,customers!$A$1:$A$1001,customers!$C$1:$C$1001,,0)=0,"",_xlfn.XLOOKUP(C610,customers!$A$1:$A$1001,customers!$C$1:$C$1001,,0))</f>
        <v/>
      </c>
      <c r="H610" s="2" t="str">
        <f>_xlfn.XLOOKUP(C610,customers!$A$1:$A$1001,customers!$G$1:$G$1001,,0)</f>
        <v>United States</v>
      </c>
      <c r="I610" t="str">
        <f>INDEX(products!$A$1:$G$49,MATCH(orders!$D610,products!$A$1:$A$49,0),MATCH(orders!I$1,products!$A$1:$G$1,0))</f>
        <v>Exc</v>
      </c>
      <c r="J610" t="str">
        <f>INDEX(products!$A$1:$G$49,MATCH(orders!$D610,products!$A$1:$A$49,0),MATCH(orders!J$1,products!$A$1:$G$1,0))</f>
        <v>D</v>
      </c>
      <c r="K610" s="7">
        <f>INDEX(products!$A$1:$G$49,MATCH(orders!$D610,products!$A$1:$A$49,0),MATCH(orders!K$1,products!$A$1:$G$1,0))</f>
        <v>2.5</v>
      </c>
      <c r="L610" s="4">
        <f>INDEX(products!$A$1:$G$49,MATCH(orders!$D610,products!$A$1:$A$49,0),MATCH(orders!L$1,products!$A$1:$G$1,0))</f>
        <v>27.945</v>
      </c>
      <c r="M610" s="4">
        <f t="shared" si="9"/>
        <v>55.89</v>
      </c>
      <c r="N610" t="str" cm="1">
        <f t="array" ref="N610">_xlfn.IFS(I610="Rob","Robusta",I610="Exc","Excelsa",I610="Ara","Arabica",I610="Lib","Liberica")</f>
        <v>Excelsa</v>
      </c>
      <c r="O610" t="str" cm="1">
        <f t="array" ref="O610">_xlfn.IFS(J610="M","Medium",J610="L","Large",J610="D","Dark")</f>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_xlfn.XLOOKUP(C611,customers!$A$1:$A$1001,customers!$B$1:$B$1001,,0)</f>
        <v>Ancell Fendt</v>
      </c>
      <c r="G611" s="2" t="str">
        <f>IF(_xlfn.XLOOKUP(C611,customers!$A$1:$A$1001,customers!$C$1:$C$1001,,0)=0,"",_xlfn.XLOOKUP(C611,customers!$A$1:$A$1001,customers!$C$1:$C$1001,,0))</f>
        <v>afendtgx@forbes.com</v>
      </c>
      <c r="H611" s="2" t="str">
        <f>_xlfn.XLOOKUP(C611,customers!$A$1:$A$1001,customers!$G$1:$G$1001,,0)</f>
        <v>United States</v>
      </c>
      <c r="I611" t="str">
        <f>INDEX(products!$A$1:$G$49,MATCH(orders!$D611,products!$A$1:$A$49,0),MATCH(orders!I$1,products!$A$1:$G$1,0))</f>
        <v>Lib</v>
      </c>
      <c r="J611" t="str">
        <f>INDEX(products!$A$1:$G$49,MATCH(orders!$D611,products!$A$1:$A$49,0),MATCH(orders!J$1,products!$A$1:$G$1,0))</f>
        <v>M</v>
      </c>
      <c r="K611" s="7">
        <f>INDEX(products!$A$1:$G$49,MATCH(orders!$D611,products!$A$1:$A$49,0),MATCH(orders!K$1,products!$A$1:$G$1,0))</f>
        <v>0.2</v>
      </c>
      <c r="L611" s="4">
        <f>INDEX(products!$A$1:$G$49,MATCH(orders!$D611,products!$A$1:$A$49,0),MATCH(orders!L$1,products!$A$1:$G$1,0))</f>
        <v>4.3650000000000002</v>
      </c>
      <c r="M611" s="4">
        <f t="shared" si="9"/>
        <v>26.19</v>
      </c>
      <c r="N611" t="str" cm="1">
        <f t="array" ref="N611">_xlfn.IFS(I611="Rob","Robusta",I611="Exc","Excelsa",I611="Ara","Arabica",I611="Lib","Liberica")</f>
        <v>Liberica</v>
      </c>
      <c r="O611" t="str" cm="1">
        <f t="array" ref="O611">_xlfn.IFS(J611="M","Medium",J611="L","Large",J611="D","Dark")</f>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_xlfn.XLOOKUP(C612,customers!$A$1:$A$1001,customers!$B$1:$B$1001,,0)</f>
        <v>Angelia Cleyburn</v>
      </c>
      <c r="G612" s="2" t="str">
        <f>IF(_xlfn.XLOOKUP(C612,customers!$A$1:$A$1001,customers!$C$1:$C$1001,,0)=0,"",_xlfn.XLOOKUP(C612,customers!$A$1:$A$1001,customers!$C$1:$C$1001,,0))</f>
        <v>acleyburngy@lycos.com</v>
      </c>
      <c r="H612" s="2" t="str">
        <f>_xlfn.XLOOKUP(C612,customers!$A$1:$A$1001,customers!$G$1:$G$1001,,0)</f>
        <v>United States</v>
      </c>
      <c r="I612" t="str">
        <f>INDEX(products!$A$1:$G$49,MATCH(orders!$D612,products!$A$1:$A$49,0),MATCH(orders!I$1,products!$A$1:$G$1,0))</f>
        <v>Rob</v>
      </c>
      <c r="J612" t="str">
        <f>INDEX(products!$A$1:$G$49,MATCH(orders!$D612,products!$A$1:$A$49,0),MATCH(orders!J$1,products!$A$1:$G$1,0))</f>
        <v>M</v>
      </c>
      <c r="K612" s="7">
        <f>INDEX(products!$A$1:$G$49,MATCH(orders!$D612,products!$A$1:$A$49,0),MATCH(orders!K$1,products!$A$1:$G$1,0))</f>
        <v>1</v>
      </c>
      <c r="L612" s="4">
        <f>INDEX(products!$A$1:$G$49,MATCH(orders!$D612,products!$A$1:$A$49,0),MATCH(orders!L$1,products!$A$1:$G$1,0))</f>
        <v>9.9499999999999993</v>
      </c>
      <c r="M612" s="4">
        <f t="shared" si="9"/>
        <v>39.799999999999997</v>
      </c>
      <c r="N612" t="str" cm="1">
        <f t="array" ref="N612">_xlfn.IFS(I612="Rob","Robusta",I612="Exc","Excelsa",I612="Ara","Arabica",I612="Lib","Liberica")</f>
        <v>Robusta</v>
      </c>
      <c r="O612" t="str" cm="1">
        <f t="array" ref="O612">_xlfn.IFS(J612="M","Medium",J612="L","Large",J612="D","Dark")</f>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_xlfn.XLOOKUP(C613,customers!$A$1:$A$1001,customers!$B$1:$B$1001,,0)</f>
        <v>Temple Castiglione</v>
      </c>
      <c r="G613" s="2" t="str">
        <f>IF(_xlfn.XLOOKUP(C613,customers!$A$1:$A$1001,customers!$C$1:$C$1001,,0)=0,"",_xlfn.XLOOKUP(C613,customers!$A$1:$A$1001,customers!$C$1:$C$1001,,0))</f>
        <v>tcastiglionegz@xing.com</v>
      </c>
      <c r="H613" s="2" t="str">
        <f>_xlfn.XLOOKUP(C613,customers!$A$1:$A$1001,customers!$G$1:$G$1001,,0)</f>
        <v>United States</v>
      </c>
      <c r="I613" t="str">
        <f>INDEX(products!$A$1:$G$49,MATCH(orders!$D613,products!$A$1:$A$49,0),MATCH(orders!I$1,products!$A$1:$G$1,0))</f>
        <v>Exc</v>
      </c>
      <c r="J613" t="str">
        <f>INDEX(products!$A$1:$G$49,MATCH(orders!$D613,products!$A$1:$A$49,0),MATCH(orders!J$1,products!$A$1:$G$1,0))</f>
        <v>L</v>
      </c>
      <c r="K613" s="7">
        <f>INDEX(products!$A$1:$G$49,MATCH(orders!$D613,products!$A$1:$A$49,0),MATCH(orders!K$1,products!$A$1:$G$1,0))</f>
        <v>2.5</v>
      </c>
      <c r="L613" s="4">
        <f>INDEX(products!$A$1:$G$49,MATCH(orders!$D613,products!$A$1:$A$49,0),MATCH(orders!L$1,products!$A$1:$G$1,0))</f>
        <v>34.154999999999994</v>
      </c>
      <c r="M613" s="4">
        <f t="shared" si="9"/>
        <v>68.309999999999988</v>
      </c>
      <c r="N613" t="str" cm="1">
        <f t="array" ref="N613">_xlfn.IFS(I613="Rob","Robusta",I613="Exc","Excelsa",I613="Ara","Arabica",I613="Lib","Liberica")</f>
        <v>Excelsa</v>
      </c>
      <c r="O613" t="str" cm="1">
        <f t="array" ref="O613">_xlfn.IFS(J613="M","Medium",J613="L","Large",J613="D","Dark")</f>
        <v>Large</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_xlfn.XLOOKUP(C614,customers!$A$1:$A$1001,customers!$B$1:$B$1001,,0)</f>
        <v>Betti Lacasa</v>
      </c>
      <c r="G614" s="2" t="str">
        <f>IF(_xlfn.XLOOKUP(C614,customers!$A$1:$A$1001,customers!$C$1:$C$1001,,0)=0,"",_xlfn.XLOOKUP(C614,customers!$A$1:$A$1001,customers!$C$1:$C$1001,,0))</f>
        <v/>
      </c>
      <c r="H614" s="2" t="str">
        <f>_xlfn.XLOOKUP(C614,customers!$A$1:$A$1001,customers!$G$1:$G$1001,,0)</f>
        <v>Ireland</v>
      </c>
      <c r="I614" t="str">
        <f>INDEX(products!$A$1:$G$49,MATCH(orders!$D614,products!$A$1:$A$49,0),MATCH(orders!I$1,products!$A$1:$G$1,0))</f>
        <v>Ara</v>
      </c>
      <c r="J614" t="str">
        <f>INDEX(products!$A$1:$G$49,MATCH(orders!$D614,products!$A$1:$A$49,0),MATCH(orders!J$1,products!$A$1:$G$1,0))</f>
        <v>M</v>
      </c>
      <c r="K614" s="7">
        <f>INDEX(products!$A$1:$G$49,MATCH(orders!$D614,products!$A$1:$A$49,0),MATCH(orders!K$1,products!$A$1:$G$1,0))</f>
        <v>0.2</v>
      </c>
      <c r="L614" s="4">
        <f>INDEX(products!$A$1:$G$49,MATCH(orders!$D614,products!$A$1:$A$49,0),MATCH(orders!L$1,products!$A$1:$G$1,0))</f>
        <v>3.375</v>
      </c>
      <c r="M614" s="4">
        <f t="shared" si="9"/>
        <v>13.5</v>
      </c>
      <c r="N614" t="str" cm="1">
        <f t="array" ref="N614">_xlfn.IFS(I614="Rob","Robusta",I614="Exc","Excelsa",I614="Ara","Arabica",I614="Lib","Liberica")</f>
        <v>Arabica</v>
      </c>
      <c r="O614" t="str" cm="1">
        <f t="array" ref="O614">_xlfn.IFS(J614="M","Medium",J614="L","Large",J614="D","Dark")</f>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_xlfn.XLOOKUP(C615,customers!$A$1:$A$1001,customers!$B$1:$B$1001,,0)</f>
        <v>Gunilla Lynch</v>
      </c>
      <c r="G615" s="2" t="str">
        <f>IF(_xlfn.XLOOKUP(C615,customers!$A$1:$A$1001,customers!$C$1:$C$1001,,0)=0,"",_xlfn.XLOOKUP(C615,customers!$A$1:$A$1001,customers!$C$1:$C$1001,,0))</f>
        <v/>
      </c>
      <c r="H615" s="2" t="str">
        <f>_xlfn.XLOOKUP(C615,customers!$A$1:$A$1001,customers!$G$1:$G$1001,,0)</f>
        <v>United States</v>
      </c>
      <c r="I615" t="str">
        <f>INDEX(products!$A$1:$G$49,MATCH(orders!$D615,products!$A$1:$A$49,0),MATCH(orders!I$1,products!$A$1:$G$1,0))</f>
        <v>Rob</v>
      </c>
      <c r="J615" t="str">
        <f>INDEX(products!$A$1:$G$49,MATCH(orders!$D615,products!$A$1:$A$49,0),MATCH(orders!J$1,products!$A$1:$G$1,0))</f>
        <v>M</v>
      </c>
      <c r="K615" s="7">
        <f>INDEX(products!$A$1:$G$49,MATCH(orders!$D615,products!$A$1:$A$49,0),MATCH(orders!K$1,products!$A$1:$G$1,0))</f>
        <v>0.5</v>
      </c>
      <c r="L615" s="4">
        <f>INDEX(products!$A$1:$G$49,MATCH(orders!$D615,products!$A$1:$A$49,0),MATCH(orders!L$1,products!$A$1:$G$1,0))</f>
        <v>5.97</v>
      </c>
      <c r="M615" s="4">
        <f t="shared" si="9"/>
        <v>5.97</v>
      </c>
      <c r="N615" t="str" cm="1">
        <f t="array" ref="N615">_xlfn.IFS(I615="Rob","Robusta",I615="Exc","Excelsa",I615="Ara","Arabica",I615="Lib","Liberica")</f>
        <v>Robusta</v>
      </c>
      <c r="O615" t="str" cm="1">
        <f t="array" ref="O615">_xlfn.IFS(J615="M","Medium",J615="L","Large",J615="D","Dark")</f>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_xlfn.XLOOKUP(C616,customers!$A$1:$A$1001,customers!$B$1:$B$1001,,0)</f>
        <v>Cody Verissimo</v>
      </c>
      <c r="G616" s="2" t="str">
        <f>IF(_xlfn.XLOOKUP(C616,customers!$A$1:$A$1001,customers!$C$1:$C$1001,,0)=0,"",_xlfn.XLOOKUP(C616,customers!$A$1:$A$1001,customers!$C$1:$C$1001,,0))</f>
        <v>cverissimogh@theglobeandmail.com</v>
      </c>
      <c r="H616" s="2" t="str">
        <f>_xlfn.XLOOKUP(C616,customers!$A$1:$A$1001,customers!$G$1:$G$1001,,0)</f>
        <v>United Kingdom</v>
      </c>
      <c r="I616" t="str">
        <f>INDEX(products!$A$1:$G$49,MATCH(orders!$D616,products!$A$1:$A$49,0),MATCH(orders!I$1,products!$A$1:$G$1,0))</f>
        <v>Rob</v>
      </c>
      <c r="J616" t="str">
        <f>INDEX(products!$A$1:$G$49,MATCH(orders!$D616,products!$A$1:$A$49,0),MATCH(orders!J$1,products!$A$1:$G$1,0))</f>
        <v>M</v>
      </c>
      <c r="K616" s="7">
        <f>INDEX(products!$A$1:$G$49,MATCH(orders!$D616,products!$A$1:$A$49,0),MATCH(orders!K$1,products!$A$1:$G$1,0))</f>
        <v>0.5</v>
      </c>
      <c r="L616" s="4">
        <f>INDEX(products!$A$1:$G$49,MATCH(orders!$D616,products!$A$1:$A$49,0),MATCH(orders!L$1,products!$A$1:$G$1,0))</f>
        <v>5.97</v>
      </c>
      <c r="M616" s="4">
        <f t="shared" si="9"/>
        <v>29.849999999999998</v>
      </c>
      <c r="N616" t="str" cm="1">
        <f t="array" ref="N616">_xlfn.IFS(I616="Rob","Robusta",I616="Exc","Excelsa",I616="Ara","Arabica",I616="Lib","Liberica")</f>
        <v>Robusta</v>
      </c>
      <c r="O616" t="str" cm="1">
        <f t="array" ref="O616">_xlfn.IFS(J616="M","Medium",J616="L","Large",J616="D","Dark")</f>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_xlfn.XLOOKUP(C617,customers!$A$1:$A$1001,customers!$B$1:$B$1001,,0)</f>
        <v>Shay Couronne</v>
      </c>
      <c r="G617" s="2" t="str">
        <f>IF(_xlfn.XLOOKUP(C617,customers!$A$1:$A$1001,customers!$C$1:$C$1001,,0)=0,"",_xlfn.XLOOKUP(C617,customers!$A$1:$A$1001,customers!$C$1:$C$1001,,0))</f>
        <v>scouronneh3@mozilla.org</v>
      </c>
      <c r="H617" s="2" t="str">
        <f>_xlfn.XLOOKUP(C617,customers!$A$1:$A$1001,customers!$G$1:$G$1001,,0)</f>
        <v>United States</v>
      </c>
      <c r="I617" t="str">
        <f>INDEX(products!$A$1:$G$49,MATCH(orders!$D617,products!$A$1:$A$49,0),MATCH(orders!I$1,products!$A$1:$G$1,0))</f>
        <v>Lib</v>
      </c>
      <c r="J617" t="str">
        <f>INDEX(products!$A$1:$G$49,MATCH(orders!$D617,products!$A$1:$A$49,0),MATCH(orders!J$1,products!$A$1:$G$1,0))</f>
        <v>L</v>
      </c>
      <c r="K617" s="7">
        <f>INDEX(products!$A$1:$G$49,MATCH(orders!$D617,products!$A$1:$A$49,0),MATCH(orders!K$1,products!$A$1:$G$1,0))</f>
        <v>2.5</v>
      </c>
      <c r="L617" s="4">
        <f>INDEX(products!$A$1:$G$49,MATCH(orders!$D617,products!$A$1:$A$49,0),MATCH(orders!L$1,products!$A$1:$G$1,0))</f>
        <v>36.454999999999998</v>
      </c>
      <c r="M617" s="4">
        <f t="shared" si="9"/>
        <v>72.91</v>
      </c>
      <c r="N617" t="str" cm="1">
        <f t="array" ref="N617">_xlfn.IFS(I617="Rob","Robusta",I617="Exc","Excelsa",I617="Ara","Arabica",I617="Lib","Liberica")</f>
        <v>Liberica</v>
      </c>
      <c r="O617" t="str" cm="1">
        <f t="array" ref="O617">_xlfn.IFS(J617="M","Medium",J617="L","Large",J617="D","Dark")</f>
        <v>Large</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_xlfn.XLOOKUP(C618,customers!$A$1:$A$1001,customers!$B$1:$B$1001,,0)</f>
        <v>Linus Flippelli</v>
      </c>
      <c r="G618" s="2" t="str">
        <f>IF(_xlfn.XLOOKUP(C618,customers!$A$1:$A$1001,customers!$C$1:$C$1001,,0)=0,"",_xlfn.XLOOKUP(C618,customers!$A$1:$A$1001,customers!$C$1:$C$1001,,0))</f>
        <v>lflippellih4@github.io</v>
      </c>
      <c r="H618" s="2" t="str">
        <f>_xlfn.XLOOKUP(C618,customers!$A$1:$A$1001,customers!$G$1:$G$1001,,0)</f>
        <v>United Kingdom</v>
      </c>
      <c r="I618" t="str">
        <f>INDEX(products!$A$1:$G$49,MATCH(orders!$D618,products!$A$1:$A$49,0),MATCH(orders!I$1,products!$A$1:$G$1,0))</f>
        <v>Exc</v>
      </c>
      <c r="J618" t="str">
        <f>INDEX(products!$A$1:$G$49,MATCH(orders!$D618,products!$A$1:$A$49,0),MATCH(orders!J$1,products!$A$1:$G$1,0))</f>
        <v>M</v>
      </c>
      <c r="K618" s="7">
        <f>INDEX(products!$A$1:$G$49,MATCH(orders!$D618,products!$A$1:$A$49,0),MATCH(orders!K$1,products!$A$1:$G$1,0))</f>
        <v>2.5</v>
      </c>
      <c r="L618" s="4">
        <f>INDEX(products!$A$1:$G$49,MATCH(orders!$D618,products!$A$1:$A$49,0),MATCH(orders!L$1,products!$A$1:$G$1,0))</f>
        <v>31.624999999999996</v>
      </c>
      <c r="M618" s="4">
        <f t="shared" si="9"/>
        <v>126.49999999999999</v>
      </c>
      <c r="N618" t="str" cm="1">
        <f t="array" ref="N618">_xlfn.IFS(I618="Rob","Robusta",I618="Exc","Excelsa",I618="Ara","Arabica",I618="Lib","Liberica")</f>
        <v>Excelsa</v>
      </c>
      <c r="O618" t="str" cm="1">
        <f t="array" ref="O618">_xlfn.IFS(J618="M","Medium",J618="L","Large",J618="D","Dark")</f>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_xlfn.XLOOKUP(C619,customers!$A$1:$A$1001,customers!$B$1:$B$1001,,0)</f>
        <v>Rachelle Elizabeth</v>
      </c>
      <c r="G619" s="2" t="str">
        <f>IF(_xlfn.XLOOKUP(C619,customers!$A$1:$A$1001,customers!$C$1:$C$1001,,0)=0,"",_xlfn.XLOOKUP(C619,customers!$A$1:$A$1001,customers!$C$1:$C$1001,,0))</f>
        <v>relizabethh5@live.com</v>
      </c>
      <c r="H619" s="2" t="str">
        <f>_xlfn.XLOOKUP(C619,customers!$A$1:$A$1001,customers!$G$1:$G$1001,,0)</f>
        <v>United States</v>
      </c>
      <c r="I619" t="str">
        <f>INDEX(products!$A$1:$G$49,MATCH(orders!$D619,products!$A$1:$A$49,0),MATCH(orders!I$1,products!$A$1:$G$1,0))</f>
        <v>Lib</v>
      </c>
      <c r="J619" t="str">
        <f>INDEX(products!$A$1:$G$49,MATCH(orders!$D619,products!$A$1:$A$49,0),MATCH(orders!J$1,products!$A$1:$G$1,0))</f>
        <v>M</v>
      </c>
      <c r="K619" s="7">
        <f>INDEX(products!$A$1:$G$49,MATCH(orders!$D619,products!$A$1:$A$49,0),MATCH(orders!K$1,products!$A$1:$G$1,0))</f>
        <v>2.5</v>
      </c>
      <c r="L619" s="4">
        <f>INDEX(products!$A$1:$G$49,MATCH(orders!$D619,products!$A$1:$A$49,0),MATCH(orders!L$1,products!$A$1:$G$1,0))</f>
        <v>33.464999999999996</v>
      </c>
      <c r="M619" s="4">
        <f t="shared" si="9"/>
        <v>33.464999999999996</v>
      </c>
      <c r="N619" t="str" cm="1">
        <f t="array" ref="N619">_xlfn.IFS(I619="Rob","Robusta",I619="Exc","Excelsa",I619="Ara","Arabica",I619="Lib","Liberica")</f>
        <v>Liberica</v>
      </c>
      <c r="O619" t="str" cm="1">
        <f t="array" ref="O619">_xlfn.IFS(J619="M","Medium",J619="L","Large",J619="D","Dark")</f>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_xlfn.XLOOKUP(C620,customers!$A$1:$A$1001,customers!$B$1:$B$1001,,0)</f>
        <v>Innis Renhard</v>
      </c>
      <c r="G620" s="2" t="str">
        <f>IF(_xlfn.XLOOKUP(C620,customers!$A$1:$A$1001,customers!$C$1:$C$1001,,0)=0,"",_xlfn.XLOOKUP(C620,customers!$A$1:$A$1001,customers!$C$1:$C$1001,,0))</f>
        <v>irenhardh6@i2i.jp</v>
      </c>
      <c r="H620" s="2" t="str">
        <f>_xlfn.XLOOKUP(C620,customers!$A$1:$A$1001,customers!$G$1:$G$1001,,0)</f>
        <v>United States</v>
      </c>
      <c r="I620" t="str">
        <f>INDEX(products!$A$1:$G$49,MATCH(orders!$D620,products!$A$1:$A$49,0),MATCH(orders!I$1,products!$A$1:$G$1,0))</f>
        <v>Exc</v>
      </c>
      <c r="J620" t="str">
        <f>INDEX(products!$A$1:$G$49,MATCH(orders!$D620,products!$A$1:$A$49,0),MATCH(orders!J$1,products!$A$1:$G$1,0))</f>
        <v>D</v>
      </c>
      <c r="K620" s="7">
        <f>INDEX(products!$A$1:$G$49,MATCH(orders!$D620,products!$A$1:$A$49,0),MATCH(orders!K$1,products!$A$1:$G$1,0))</f>
        <v>1</v>
      </c>
      <c r="L620" s="4">
        <f>INDEX(products!$A$1:$G$49,MATCH(orders!$D620,products!$A$1:$A$49,0),MATCH(orders!L$1,products!$A$1:$G$1,0))</f>
        <v>12.15</v>
      </c>
      <c r="M620" s="4">
        <f t="shared" si="9"/>
        <v>72.900000000000006</v>
      </c>
      <c r="N620" t="str" cm="1">
        <f t="array" ref="N620">_xlfn.IFS(I620="Rob","Robusta",I620="Exc","Excelsa",I620="Ara","Arabica",I620="Lib","Liberica")</f>
        <v>Excelsa</v>
      </c>
      <c r="O620" t="str" cm="1">
        <f t="array" ref="O620">_xlfn.IFS(J620="M","Medium",J620="L","Large",J620="D","Dark")</f>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_xlfn.XLOOKUP(C621,customers!$A$1:$A$1001,customers!$B$1:$B$1001,,0)</f>
        <v>Winne Roche</v>
      </c>
      <c r="G621" s="2" t="str">
        <f>IF(_xlfn.XLOOKUP(C621,customers!$A$1:$A$1001,customers!$C$1:$C$1001,,0)=0,"",_xlfn.XLOOKUP(C621,customers!$A$1:$A$1001,customers!$C$1:$C$1001,,0))</f>
        <v>wrocheh7@xinhuanet.com</v>
      </c>
      <c r="H621" s="2" t="str">
        <f>_xlfn.XLOOKUP(C621,customers!$A$1:$A$1001,customers!$G$1:$G$1001,,0)</f>
        <v>United States</v>
      </c>
      <c r="I621" t="str">
        <f>INDEX(products!$A$1:$G$49,MATCH(orders!$D621,products!$A$1:$A$49,0),MATCH(orders!I$1,products!$A$1:$G$1,0))</f>
        <v>Lib</v>
      </c>
      <c r="J621" t="str">
        <f>INDEX(products!$A$1:$G$49,MATCH(orders!$D621,products!$A$1:$A$49,0),MATCH(orders!J$1,products!$A$1:$G$1,0))</f>
        <v>D</v>
      </c>
      <c r="K621" s="7">
        <f>INDEX(products!$A$1:$G$49,MATCH(orders!$D621,products!$A$1:$A$49,0),MATCH(orders!K$1,products!$A$1:$G$1,0))</f>
        <v>0.5</v>
      </c>
      <c r="L621" s="4">
        <f>INDEX(products!$A$1:$G$49,MATCH(orders!$D621,products!$A$1:$A$49,0),MATCH(orders!L$1,products!$A$1:$G$1,0))</f>
        <v>7.77</v>
      </c>
      <c r="M621" s="4">
        <f t="shared" si="9"/>
        <v>15.54</v>
      </c>
      <c r="N621" t="str" cm="1">
        <f t="array" ref="N621">_xlfn.IFS(I621="Rob","Robusta",I621="Exc","Excelsa",I621="Ara","Arabica",I621="Lib","Liberica")</f>
        <v>Liberica</v>
      </c>
      <c r="O621" t="str" cm="1">
        <f t="array" ref="O621">_xlfn.IFS(J621="M","Medium",J621="L","Large",J621="D","Dark")</f>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_xlfn.XLOOKUP(C622,customers!$A$1:$A$1001,customers!$B$1:$B$1001,,0)</f>
        <v>Linn Alaway</v>
      </c>
      <c r="G622" s="2" t="str">
        <f>IF(_xlfn.XLOOKUP(C622,customers!$A$1:$A$1001,customers!$C$1:$C$1001,,0)=0,"",_xlfn.XLOOKUP(C622,customers!$A$1:$A$1001,customers!$C$1:$C$1001,,0))</f>
        <v>lalawayhh@weather.com</v>
      </c>
      <c r="H622" s="2" t="str">
        <f>_xlfn.XLOOKUP(C622,customers!$A$1:$A$1001,customers!$G$1:$G$1001,,0)</f>
        <v>United States</v>
      </c>
      <c r="I622" t="str">
        <f>INDEX(products!$A$1:$G$49,MATCH(orders!$D622,products!$A$1:$A$49,0),MATCH(orders!I$1,products!$A$1:$G$1,0))</f>
        <v>Ara</v>
      </c>
      <c r="J622" t="str">
        <f>INDEX(products!$A$1:$G$49,MATCH(orders!$D622,products!$A$1:$A$49,0),MATCH(orders!J$1,products!$A$1:$G$1,0))</f>
        <v>M</v>
      </c>
      <c r="K622" s="7">
        <f>INDEX(products!$A$1:$G$49,MATCH(orders!$D622,products!$A$1:$A$49,0),MATCH(orders!K$1,products!$A$1:$G$1,0))</f>
        <v>0.2</v>
      </c>
      <c r="L622" s="4">
        <f>INDEX(products!$A$1:$G$49,MATCH(orders!$D622,products!$A$1:$A$49,0),MATCH(orders!L$1,products!$A$1:$G$1,0))</f>
        <v>3.375</v>
      </c>
      <c r="M622" s="4">
        <f t="shared" si="9"/>
        <v>20.25</v>
      </c>
      <c r="N622" t="str" cm="1">
        <f t="array" ref="N622">_xlfn.IFS(I622="Rob","Robusta",I622="Exc","Excelsa",I622="Ara","Arabica",I622="Lib","Liberica")</f>
        <v>Arabica</v>
      </c>
      <c r="O622" t="str" cm="1">
        <f t="array" ref="O622">_xlfn.IFS(J622="M","Medium",J622="L","Large",J622="D","Dark")</f>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_xlfn.XLOOKUP(C623,customers!$A$1:$A$1001,customers!$B$1:$B$1001,,0)</f>
        <v>Cordy Odgaard</v>
      </c>
      <c r="G623" s="2" t="str">
        <f>IF(_xlfn.XLOOKUP(C623,customers!$A$1:$A$1001,customers!$C$1:$C$1001,,0)=0,"",_xlfn.XLOOKUP(C623,customers!$A$1:$A$1001,customers!$C$1:$C$1001,,0))</f>
        <v>codgaardh9@nsw.gov.au</v>
      </c>
      <c r="H623" s="2" t="str">
        <f>_xlfn.XLOOKUP(C623,customers!$A$1:$A$1001,customers!$G$1:$G$1001,,0)</f>
        <v>United States</v>
      </c>
      <c r="I623" t="str">
        <f>INDEX(products!$A$1:$G$49,MATCH(orders!$D623,products!$A$1:$A$49,0),MATCH(orders!I$1,products!$A$1:$G$1,0))</f>
        <v>Ara</v>
      </c>
      <c r="J623" t="str">
        <f>INDEX(products!$A$1:$G$49,MATCH(orders!$D623,products!$A$1:$A$49,0),MATCH(orders!J$1,products!$A$1:$G$1,0))</f>
        <v>L</v>
      </c>
      <c r="K623" s="7">
        <f>INDEX(products!$A$1:$G$49,MATCH(orders!$D623,products!$A$1:$A$49,0),MATCH(orders!K$1,products!$A$1:$G$1,0))</f>
        <v>1</v>
      </c>
      <c r="L623" s="4">
        <f>INDEX(products!$A$1:$G$49,MATCH(orders!$D623,products!$A$1:$A$49,0),MATCH(orders!L$1,products!$A$1:$G$1,0))</f>
        <v>12.95</v>
      </c>
      <c r="M623" s="4">
        <f t="shared" si="9"/>
        <v>77.699999999999989</v>
      </c>
      <c r="N623" t="str" cm="1">
        <f t="array" ref="N623">_xlfn.IFS(I623="Rob","Robusta",I623="Exc","Excelsa",I623="Ara","Arabica",I623="Lib","Liberica")</f>
        <v>Arabica</v>
      </c>
      <c r="O623" t="str" cm="1">
        <f t="array" ref="O623">_xlfn.IFS(J623="M","Medium",J623="L","Large",J623="D","Dark")</f>
        <v>Large</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_xlfn.XLOOKUP(C624,customers!$A$1:$A$1001,customers!$B$1:$B$1001,,0)</f>
        <v>Bertine Byrd</v>
      </c>
      <c r="G624" s="2" t="str">
        <f>IF(_xlfn.XLOOKUP(C624,customers!$A$1:$A$1001,customers!$C$1:$C$1001,,0)=0,"",_xlfn.XLOOKUP(C624,customers!$A$1:$A$1001,customers!$C$1:$C$1001,,0))</f>
        <v>bbyrdha@4shared.com</v>
      </c>
      <c r="H624" s="2" t="str">
        <f>_xlfn.XLOOKUP(C624,customers!$A$1:$A$1001,customers!$G$1:$G$1001,,0)</f>
        <v>United States</v>
      </c>
      <c r="I624" t="str">
        <f>INDEX(products!$A$1:$G$49,MATCH(orders!$D624,products!$A$1:$A$49,0),MATCH(orders!I$1,products!$A$1:$G$1,0))</f>
        <v>Lib</v>
      </c>
      <c r="J624" t="str">
        <f>INDEX(products!$A$1:$G$49,MATCH(orders!$D624,products!$A$1:$A$49,0),MATCH(orders!J$1,products!$A$1:$G$1,0))</f>
        <v>M</v>
      </c>
      <c r="K624" s="7">
        <f>INDEX(products!$A$1:$G$49,MATCH(orders!$D624,products!$A$1:$A$49,0),MATCH(orders!K$1,products!$A$1:$G$1,0))</f>
        <v>2.5</v>
      </c>
      <c r="L624" s="4">
        <f>INDEX(products!$A$1:$G$49,MATCH(orders!$D624,products!$A$1:$A$49,0),MATCH(orders!L$1,products!$A$1:$G$1,0))</f>
        <v>33.464999999999996</v>
      </c>
      <c r="M624" s="4">
        <f t="shared" si="9"/>
        <v>133.85999999999999</v>
      </c>
      <c r="N624" t="str" cm="1">
        <f t="array" ref="N624">_xlfn.IFS(I624="Rob","Robusta",I624="Exc","Excelsa",I624="Ara","Arabica",I624="Lib","Liberica")</f>
        <v>Liberica</v>
      </c>
      <c r="O624" t="str" cm="1">
        <f t="array" ref="O624">_xlfn.IFS(J624="M","Medium",J624="L","Large",J624="D","Dark")</f>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_xlfn.XLOOKUP(C625,customers!$A$1:$A$1001,customers!$B$1:$B$1001,,0)</f>
        <v>Nelie Garnson</v>
      </c>
      <c r="G625" s="2" t="str">
        <f>IF(_xlfn.XLOOKUP(C625,customers!$A$1:$A$1001,customers!$C$1:$C$1001,,0)=0,"",_xlfn.XLOOKUP(C625,customers!$A$1:$A$1001,customers!$C$1:$C$1001,,0))</f>
        <v/>
      </c>
      <c r="H625" s="2" t="str">
        <f>_xlfn.XLOOKUP(C625,customers!$A$1:$A$1001,customers!$G$1:$G$1001,,0)</f>
        <v>United Kingdom</v>
      </c>
      <c r="I625" t="str">
        <f>INDEX(products!$A$1:$G$49,MATCH(orders!$D625,products!$A$1:$A$49,0),MATCH(orders!I$1,products!$A$1:$G$1,0))</f>
        <v>Exc</v>
      </c>
      <c r="J625" t="str">
        <f>INDEX(products!$A$1:$G$49,MATCH(orders!$D625,products!$A$1:$A$49,0),MATCH(orders!J$1,products!$A$1:$G$1,0))</f>
        <v>D</v>
      </c>
      <c r="K625" s="7">
        <f>INDEX(products!$A$1:$G$49,MATCH(orders!$D625,products!$A$1:$A$49,0),MATCH(orders!K$1,products!$A$1:$G$1,0))</f>
        <v>1</v>
      </c>
      <c r="L625" s="4">
        <f>INDEX(products!$A$1:$G$49,MATCH(orders!$D625,products!$A$1:$A$49,0),MATCH(orders!L$1,products!$A$1:$G$1,0))</f>
        <v>12.15</v>
      </c>
      <c r="M625" s="4">
        <f t="shared" si="9"/>
        <v>12.15</v>
      </c>
      <c r="N625" t="str" cm="1">
        <f t="array" ref="N625">_xlfn.IFS(I625="Rob","Robusta",I625="Exc","Excelsa",I625="Ara","Arabica",I625="Lib","Liberica")</f>
        <v>Excelsa</v>
      </c>
      <c r="O625" t="str" cm="1">
        <f t="array" ref="O625">_xlfn.IFS(J625="M","Medium",J625="L","Large",J625="D","Dark")</f>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_xlfn.XLOOKUP(C626,customers!$A$1:$A$1001,customers!$B$1:$B$1001,,0)</f>
        <v>Dianne Chardin</v>
      </c>
      <c r="G626" s="2" t="str">
        <f>IF(_xlfn.XLOOKUP(C626,customers!$A$1:$A$1001,customers!$C$1:$C$1001,,0)=0,"",_xlfn.XLOOKUP(C626,customers!$A$1:$A$1001,customers!$C$1:$C$1001,,0))</f>
        <v>dchardinhc@nhs.uk</v>
      </c>
      <c r="H626" s="2" t="str">
        <f>_xlfn.XLOOKUP(C626,customers!$A$1:$A$1001,customers!$G$1:$G$1001,,0)</f>
        <v>Ireland</v>
      </c>
      <c r="I626" t="str">
        <f>INDEX(products!$A$1:$G$49,MATCH(orders!$D626,products!$A$1:$A$49,0),MATCH(orders!I$1,products!$A$1:$G$1,0))</f>
        <v>Exc</v>
      </c>
      <c r="J626" t="str">
        <f>INDEX(products!$A$1:$G$49,MATCH(orders!$D626,products!$A$1:$A$49,0),MATCH(orders!J$1,products!$A$1:$G$1,0))</f>
        <v>M</v>
      </c>
      <c r="K626" s="7">
        <f>INDEX(products!$A$1:$G$49,MATCH(orders!$D626,products!$A$1:$A$49,0),MATCH(orders!K$1,products!$A$1:$G$1,0))</f>
        <v>2.5</v>
      </c>
      <c r="L626" s="4">
        <f>INDEX(products!$A$1:$G$49,MATCH(orders!$D626,products!$A$1:$A$49,0),MATCH(orders!L$1,products!$A$1:$G$1,0))</f>
        <v>31.624999999999996</v>
      </c>
      <c r="M626" s="4">
        <f t="shared" si="9"/>
        <v>63.249999999999993</v>
      </c>
      <c r="N626" t="str" cm="1">
        <f t="array" ref="N626">_xlfn.IFS(I626="Rob","Robusta",I626="Exc","Excelsa",I626="Ara","Arabica",I626="Lib","Liberica")</f>
        <v>Excelsa</v>
      </c>
      <c r="O626" t="str" cm="1">
        <f t="array" ref="O626">_xlfn.IFS(J626="M","Medium",J626="L","Large",J626="D","Dark")</f>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_xlfn.XLOOKUP(C627,customers!$A$1:$A$1001,customers!$B$1:$B$1001,,0)</f>
        <v>Hailee Radbone</v>
      </c>
      <c r="G627" s="2" t="str">
        <f>IF(_xlfn.XLOOKUP(C627,customers!$A$1:$A$1001,customers!$C$1:$C$1001,,0)=0,"",_xlfn.XLOOKUP(C627,customers!$A$1:$A$1001,customers!$C$1:$C$1001,,0))</f>
        <v>hradbonehd@newsvine.com</v>
      </c>
      <c r="H627" s="2" t="str">
        <f>_xlfn.XLOOKUP(C627,customers!$A$1:$A$1001,customers!$G$1:$G$1001,,0)</f>
        <v>United States</v>
      </c>
      <c r="I627" t="str">
        <f>INDEX(products!$A$1:$G$49,MATCH(orders!$D627,products!$A$1:$A$49,0),MATCH(orders!I$1,products!$A$1:$G$1,0))</f>
        <v>Rob</v>
      </c>
      <c r="J627" t="str">
        <f>INDEX(products!$A$1:$G$49,MATCH(orders!$D627,products!$A$1:$A$49,0),MATCH(orders!J$1,products!$A$1:$G$1,0))</f>
        <v>L</v>
      </c>
      <c r="K627" s="7">
        <f>INDEX(products!$A$1:$G$49,MATCH(orders!$D627,products!$A$1:$A$49,0),MATCH(orders!K$1,products!$A$1:$G$1,0))</f>
        <v>0.5</v>
      </c>
      <c r="L627" s="4">
        <f>INDEX(products!$A$1:$G$49,MATCH(orders!$D627,products!$A$1:$A$49,0),MATCH(orders!L$1,products!$A$1:$G$1,0))</f>
        <v>7.169999999999999</v>
      </c>
      <c r="M627" s="4">
        <f t="shared" si="9"/>
        <v>35.849999999999994</v>
      </c>
      <c r="N627" t="str" cm="1">
        <f t="array" ref="N627">_xlfn.IFS(I627="Rob","Robusta",I627="Exc","Excelsa",I627="Ara","Arabica",I627="Lib","Liberica")</f>
        <v>Robusta</v>
      </c>
      <c r="O627" t="str" cm="1">
        <f t="array" ref="O627">_xlfn.IFS(J627="M","Medium",J627="L","Large",J627="D","Dark")</f>
        <v>Large</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_xlfn.XLOOKUP(C628,customers!$A$1:$A$1001,customers!$B$1:$B$1001,,0)</f>
        <v>Wallis Bernth</v>
      </c>
      <c r="G628" s="2" t="str">
        <f>IF(_xlfn.XLOOKUP(C628,customers!$A$1:$A$1001,customers!$C$1:$C$1001,,0)=0,"",_xlfn.XLOOKUP(C628,customers!$A$1:$A$1001,customers!$C$1:$C$1001,,0))</f>
        <v>wbernthhe@miitbeian.gov.cn</v>
      </c>
      <c r="H628" s="2" t="str">
        <f>_xlfn.XLOOKUP(C628,customers!$A$1:$A$1001,customers!$G$1:$G$1001,,0)</f>
        <v>United States</v>
      </c>
      <c r="I628" t="str">
        <f>INDEX(products!$A$1:$G$49,MATCH(orders!$D628,products!$A$1:$A$49,0),MATCH(orders!I$1,products!$A$1:$G$1,0))</f>
        <v>Ara</v>
      </c>
      <c r="J628" t="str">
        <f>INDEX(products!$A$1:$G$49,MATCH(orders!$D628,products!$A$1:$A$49,0),MATCH(orders!J$1,products!$A$1:$G$1,0))</f>
        <v>M</v>
      </c>
      <c r="K628" s="7">
        <f>INDEX(products!$A$1:$G$49,MATCH(orders!$D628,products!$A$1:$A$49,0),MATCH(orders!K$1,products!$A$1:$G$1,0))</f>
        <v>2.5</v>
      </c>
      <c r="L628" s="4">
        <f>INDEX(products!$A$1:$G$49,MATCH(orders!$D628,products!$A$1:$A$49,0),MATCH(orders!L$1,products!$A$1:$G$1,0))</f>
        <v>25.874999999999996</v>
      </c>
      <c r="M628" s="4">
        <f t="shared" si="9"/>
        <v>77.624999999999986</v>
      </c>
      <c r="N628" t="str" cm="1">
        <f t="array" ref="N628">_xlfn.IFS(I628="Rob","Robusta",I628="Exc","Excelsa",I628="Ara","Arabica",I628="Lib","Liberica")</f>
        <v>Arabica</v>
      </c>
      <c r="O628" t="str" cm="1">
        <f t="array" ref="O628">_xlfn.IFS(J628="M","Medium",J628="L","Large",J628="D","Dark")</f>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_xlfn.XLOOKUP(C629,customers!$A$1:$A$1001,customers!$B$1:$B$1001,,0)</f>
        <v>Byron Acarson</v>
      </c>
      <c r="G629" s="2" t="str">
        <f>IF(_xlfn.XLOOKUP(C629,customers!$A$1:$A$1001,customers!$C$1:$C$1001,,0)=0,"",_xlfn.XLOOKUP(C629,customers!$A$1:$A$1001,customers!$C$1:$C$1001,,0))</f>
        <v>bacarsonhf@cnn.com</v>
      </c>
      <c r="H629" s="2" t="str">
        <f>_xlfn.XLOOKUP(C629,customers!$A$1:$A$1001,customers!$G$1:$G$1001,,0)</f>
        <v>United States</v>
      </c>
      <c r="I629" t="str">
        <f>INDEX(products!$A$1:$G$49,MATCH(orders!$D629,products!$A$1:$A$49,0),MATCH(orders!I$1,products!$A$1:$G$1,0))</f>
        <v>Exc</v>
      </c>
      <c r="J629" t="str">
        <f>INDEX(products!$A$1:$G$49,MATCH(orders!$D629,products!$A$1:$A$49,0),MATCH(orders!J$1,products!$A$1:$G$1,0))</f>
        <v>M</v>
      </c>
      <c r="K629" s="7">
        <f>INDEX(products!$A$1:$G$49,MATCH(orders!$D629,products!$A$1:$A$49,0),MATCH(orders!K$1,products!$A$1:$G$1,0))</f>
        <v>2.5</v>
      </c>
      <c r="L629" s="4">
        <f>INDEX(products!$A$1:$G$49,MATCH(orders!$D629,products!$A$1:$A$49,0),MATCH(orders!L$1,products!$A$1:$G$1,0))</f>
        <v>31.624999999999996</v>
      </c>
      <c r="M629" s="4">
        <f t="shared" si="9"/>
        <v>63.249999999999993</v>
      </c>
      <c r="N629" t="str" cm="1">
        <f t="array" ref="N629">_xlfn.IFS(I629="Rob","Robusta",I629="Exc","Excelsa",I629="Ara","Arabica",I629="Lib","Liberica")</f>
        <v>Excelsa</v>
      </c>
      <c r="O629" t="str" cm="1">
        <f t="array" ref="O629">_xlfn.IFS(J629="M","Medium",J629="L","Large",J629="D","Dark")</f>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_xlfn.XLOOKUP(C630,customers!$A$1:$A$1001,customers!$B$1:$B$1001,,0)</f>
        <v>Faunie Brigham</v>
      </c>
      <c r="G630" s="2" t="str">
        <f>IF(_xlfn.XLOOKUP(C630,customers!$A$1:$A$1001,customers!$C$1:$C$1001,,0)=0,"",_xlfn.XLOOKUP(C630,customers!$A$1:$A$1001,customers!$C$1:$C$1001,,0))</f>
        <v>fbrighamhg@blog.com</v>
      </c>
      <c r="H630" s="2" t="str">
        <f>_xlfn.XLOOKUP(C630,customers!$A$1:$A$1001,customers!$G$1:$G$1001,,0)</f>
        <v>Ireland</v>
      </c>
      <c r="I630" t="str">
        <f>INDEX(products!$A$1:$G$49,MATCH(orders!$D630,products!$A$1:$A$49,0),MATCH(orders!I$1,products!$A$1:$G$1,0))</f>
        <v>Exc</v>
      </c>
      <c r="J630" t="str">
        <f>INDEX(products!$A$1:$G$49,MATCH(orders!$D630,products!$A$1:$A$49,0),MATCH(orders!J$1,products!$A$1:$G$1,0))</f>
        <v>L</v>
      </c>
      <c r="K630" s="7">
        <f>INDEX(products!$A$1:$G$49,MATCH(orders!$D630,products!$A$1:$A$49,0),MATCH(orders!K$1,products!$A$1:$G$1,0))</f>
        <v>0.2</v>
      </c>
      <c r="L630" s="4">
        <f>INDEX(products!$A$1:$G$49,MATCH(orders!$D630,products!$A$1:$A$49,0),MATCH(orders!L$1,products!$A$1:$G$1,0))</f>
        <v>4.4550000000000001</v>
      </c>
      <c r="M630" s="4">
        <f t="shared" si="9"/>
        <v>26.73</v>
      </c>
      <c r="N630" t="str" cm="1">
        <f t="array" ref="N630">_xlfn.IFS(I630="Rob","Robusta",I630="Exc","Excelsa",I630="Ara","Arabica",I630="Lib","Liberica")</f>
        <v>Excelsa</v>
      </c>
      <c r="O630" t="str" cm="1">
        <f t="array" ref="O630">_xlfn.IFS(J630="M","Medium",J630="L","Large",J630="D","Dark")</f>
        <v>Large</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_xlfn.XLOOKUP(C631,customers!$A$1:$A$1001,customers!$B$1:$B$1001,,0)</f>
        <v>Faunie Brigham</v>
      </c>
      <c r="G631" s="2" t="str">
        <f>IF(_xlfn.XLOOKUP(C631,customers!$A$1:$A$1001,customers!$C$1:$C$1001,,0)=0,"",_xlfn.XLOOKUP(C631,customers!$A$1:$A$1001,customers!$C$1:$C$1001,,0))</f>
        <v>fbrighamhg@blog.com</v>
      </c>
      <c r="H631" s="2" t="str">
        <f>_xlfn.XLOOKUP(C631,customers!$A$1:$A$1001,customers!$G$1:$G$1001,,0)</f>
        <v>Ireland</v>
      </c>
      <c r="I631" t="str">
        <f>INDEX(products!$A$1:$G$49,MATCH(orders!$D631,products!$A$1:$A$49,0),MATCH(orders!I$1,products!$A$1:$G$1,0))</f>
        <v>Lib</v>
      </c>
      <c r="J631" t="str">
        <f>INDEX(products!$A$1:$G$49,MATCH(orders!$D631,products!$A$1:$A$49,0),MATCH(orders!J$1,products!$A$1:$G$1,0))</f>
        <v>D</v>
      </c>
      <c r="K631" s="7">
        <f>INDEX(products!$A$1:$G$49,MATCH(orders!$D631,products!$A$1:$A$49,0),MATCH(orders!K$1,products!$A$1:$G$1,0))</f>
        <v>0.5</v>
      </c>
      <c r="L631" s="4">
        <f>INDEX(products!$A$1:$G$49,MATCH(orders!$D631,products!$A$1:$A$49,0),MATCH(orders!L$1,products!$A$1:$G$1,0))</f>
        <v>7.77</v>
      </c>
      <c r="M631" s="4">
        <f t="shared" si="9"/>
        <v>31.08</v>
      </c>
      <c r="N631" t="str" cm="1">
        <f t="array" ref="N631">_xlfn.IFS(I631="Rob","Robusta",I631="Exc","Excelsa",I631="Ara","Arabica",I631="Lib","Liberica")</f>
        <v>Liberica</v>
      </c>
      <c r="O631" t="str" cm="1">
        <f t="array" ref="O631">_xlfn.IFS(J631="M","Medium",J631="L","Large",J631="D","Dark")</f>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_xlfn.XLOOKUP(C632,customers!$A$1:$A$1001,customers!$B$1:$B$1001,,0)</f>
        <v>Faunie Brigham</v>
      </c>
      <c r="G632" s="2" t="str">
        <f>IF(_xlfn.XLOOKUP(C632,customers!$A$1:$A$1001,customers!$C$1:$C$1001,,0)=0,"",_xlfn.XLOOKUP(C632,customers!$A$1:$A$1001,customers!$C$1:$C$1001,,0))</f>
        <v>fbrighamhg@blog.com</v>
      </c>
      <c r="H632" s="2" t="str">
        <f>_xlfn.XLOOKUP(C632,customers!$A$1:$A$1001,customers!$G$1:$G$1001,,0)</f>
        <v>Ireland</v>
      </c>
      <c r="I632" t="str">
        <f>INDEX(products!$A$1:$G$49,MATCH(orders!$D632,products!$A$1:$A$49,0),MATCH(orders!I$1,products!$A$1:$G$1,0))</f>
        <v>Ara</v>
      </c>
      <c r="J632" t="str">
        <f>INDEX(products!$A$1:$G$49,MATCH(orders!$D632,products!$A$1:$A$49,0),MATCH(orders!J$1,products!$A$1:$G$1,0))</f>
        <v>D</v>
      </c>
      <c r="K632" s="7">
        <f>INDEX(products!$A$1:$G$49,MATCH(orders!$D632,products!$A$1:$A$49,0),MATCH(orders!K$1,products!$A$1:$G$1,0))</f>
        <v>0.2</v>
      </c>
      <c r="L632" s="4">
        <f>INDEX(products!$A$1:$G$49,MATCH(orders!$D632,products!$A$1:$A$49,0),MATCH(orders!L$1,products!$A$1:$G$1,0))</f>
        <v>2.9849999999999999</v>
      </c>
      <c r="M632" s="4">
        <f t="shared" si="9"/>
        <v>2.9849999999999999</v>
      </c>
      <c r="N632" t="str" cm="1">
        <f t="array" ref="N632">_xlfn.IFS(I632="Rob","Robusta",I632="Exc","Excelsa",I632="Ara","Arabica",I632="Lib","Liberica")</f>
        <v>Arabica</v>
      </c>
      <c r="O632" t="str" cm="1">
        <f t="array" ref="O632">_xlfn.IFS(J632="M","Medium",J632="L","Large",J632="D","Dark")</f>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_xlfn.XLOOKUP(C633,customers!$A$1:$A$1001,customers!$B$1:$B$1001,,0)</f>
        <v>Faunie Brigham</v>
      </c>
      <c r="G633" s="2" t="str">
        <f>IF(_xlfn.XLOOKUP(C633,customers!$A$1:$A$1001,customers!$C$1:$C$1001,,0)=0,"",_xlfn.XLOOKUP(C633,customers!$A$1:$A$1001,customers!$C$1:$C$1001,,0))</f>
        <v>fbrighamhg@blog.com</v>
      </c>
      <c r="H633" s="2" t="str">
        <f>_xlfn.XLOOKUP(C633,customers!$A$1:$A$1001,customers!$G$1:$G$1001,,0)</f>
        <v>Ireland</v>
      </c>
      <c r="I633" t="str">
        <f>INDEX(products!$A$1:$G$49,MATCH(orders!$D633,products!$A$1:$A$49,0),MATCH(orders!I$1,products!$A$1:$G$1,0))</f>
        <v>Rob</v>
      </c>
      <c r="J633" t="str">
        <f>INDEX(products!$A$1:$G$49,MATCH(orders!$D633,products!$A$1:$A$49,0),MATCH(orders!J$1,products!$A$1:$G$1,0))</f>
        <v>D</v>
      </c>
      <c r="K633" s="7">
        <f>INDEX(products!$A$1:$G$49,MATCH(orders!$D633,products!$A$1:$A$49,0),MATCH(orders!K$1,products!$A$1:$G$1,0))</f>
        <v>2.5</v>
      </c>
      <c r="L633" s="4">
        <f>INDEX(products!$A$1:$G$49,MATCH(orders!$D633,products!$A$1:$A$49,0),MATCH(orders!L$1,products!$A$1:$G$1,0))</f>
        <v>20.584999999999997</v>
      </c>
      <c r="M633" s="4">
        <f t="shared" si="9"/>
        <v>102.92499999999998</v>
      </c>
      <c r="N633" t="str" cm="1">
        <f t="array" ref="N633">_xlfn.IFS(I633="Rob","Robusta",I633="Exc","Excelsa",I633="Ara","Arabica",I633="Lib","Liberica")</f>
        <v>Robusta</v>
      </c>
      <c r="O633" t="str" cm="1">
        <f t="array" ref="O633">_xlfn.IFS(J633="M","Medium",J633="L","Large",J633="D","Dark")</f>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_xlfn.XLOOKUP(C634,customers!$A$1:$A$1001,customers!$B$1:$B$1001,,0)</f>
        <v>Marjorie Yoxen</v>
      </c>
      <c r="G634" s="2" t="str">
        <f>IF(_xlfn.XLOOKUP(C634,customers!$A$1:$A$1001,customers!$C$1:$C$1001,,0)=0,"",_xlfn.XLOOKUP(C634,customers!$A$1:$A$1001,customers!$C$1:$C$1001,,0))</f>
        <v>myoxenhk@google.com</v>
      </c>
      <c r="H634" s="2" t="str">
        <f>_xlfn.XLOOKUP(C634,customers!$A$1:$A$1001,customers!$G$1:$G$1001,,0)</f>
        <v>United States</v>
      </c>
      <c r="I634" t="str">
        <f>INDEX(products!$A$1:$G$49,MATCH(orders!$D634,products!$A$1:$A$49,0),MATCH(orders!I$1,products!$A$1:$G$1,0))</f>
        <v>Exc</v>
      </c>
      <c r="J634" t="str">
        <f>INDEX(products!$A$1:$G$49,MATCH(orders!$D634,products!$A$1:$A$49,0),MATCH(orders!J$1,products!$A$1:$G$1,0))</f>
        <v>L</v>
      </c>
      <c r="K634" s="7">
        <f>INDEX(products!$A$1:$G$49,MATCH(orders!$D634,products!$A$1:$A$49,0),MATCH(orders!K$1,products!$A$1:$G$1,0))</f>
        <v>0.5</v>
      </c>
      <c r="L634" s="4">
        <f>INDEX(products!$A$1:$G$49,MATCH(orders!$D634,products!$A$1:$A$49,0),MATCH(orders!L$1,products!$A$1:$G$1,0))</f>
        <v>8.91</v>
      </c>
      <c r="M634" s="4">
        <f t="shared" si="9"/>
        <v>35.64</v>
      </c>
      <c r="N634" t="str" cm="1">
        <f t="array" ref="N634">_xlfn.IFS(I634="Rob","Robusta",I634="Exc","Excelsa",I634="Ara","Arabica",I634="Lib","Liberica")</f>
        <v>Excelsa</v>
      </c>
      <c r="O634" t="str" cm="1">
        <f t="array" ref="O634">_xlfn.IFS(J634="M","Medium",J634="L","Large",J634="D","Dark")</f>
        <v>Large</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_xlfn.XLOOKUP(C635,customers!$A$1:$A$1001,customers!$B$1:$B$1001,,0)</f>
        <v>Gaspar McGavin</v>
      </c>
      <c r="G635" s="2" t="str">
        <f>IF(_xlfn.XLOOKUP(C635,customers!$A$1:$A$1001,customers!$C$1:$C$1001,,0)=0,"",_xlfn.XLOOKUP(C635,customers!$A$1:$A$1001,customers!$C$1:$C$1001,,0))</f>
        <v>gmcgavinhl@histats.com</v>
      </c>
      <c r="H635" s="2" t="str">
        <f>_xlfn.XLOOKUP(C635,customers!$A$1:$A$1001,customers!$G$1:$G$1001,,0)</f>
        <v>United States</v>
      </c>
      <c r="I635" t="str">
        <f>INDEX(products!$A$1:$G$49,MATCH(orders!$D635,products!$A$1:$A$49,0),MATCH(orders!I$1,products!$A$1:$G$1,0))</f>
        <v>Rob</v>
      </c>
      <c r="J635" t="str">
        <f>INDEX(products!$A$1:$G$49,MATCH(orders!$D635,products!$A$1:$A$49,0),MATCH(orders!J$1,products!$A$1:$G$1,0))</f>
        <v>L</v>
      </c>
      <c r="K635" s="7">
        <f>INDEX(products!$A$1:$G$49,MATCH(orders!$D635,products!$A$1:$A$49,0),MATCH(orders!K$1,products!$A$1:$G$1,0))</f>
        <v>1</v>
      </c>
      <c r="L635" s="4">
        <f>INDEX(products!$A$1:$G$49,MATCH(orders!$D635,products!$A$1:$A$49,0),MATCH(orders!L$1,products!$A$1:$G$1,0))</f>
        <v>11.95</v>
      </c>
      <c r="M635" s="4">
        <f t="shared" si="9"/>
        <v>47.8</v>
      </c>
      <c r="N635" t="str" cm="1">
        <f t="array" ref="N635">_xlfn.IFS(I635="Rob","Robusta",I635="Exc","Excelsa",I635="Ara","Arabica",I635="Lib","Liberica")</f>
        <v>Robusta</v>
      </c>
      <c r="O635" t="str" cm="1">
        <f t="array" ref="O635">_xlfn.IFS(J635="M","Medium",J635="L","Large",J635="D","Dark")</f>
        <v>Large</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_xlfn.XLOOKUP(C636,customers!$A$1:$A$1001,customers!$B$1:$B$1001,,0)</f>
        <v>Lindy Uttermare</v>
      </c>
      <c r="G636" s="2" t="str">
        <f>IF(_xlfn.XLOOKUP(C636,customers!$A$1:$A$1001,customers!$C$1:$C$1001,,0)=0,"",_xlfn.XLOOKUP(C636,customers!$A$1:$A$1001,customers!$C$1:$C$1001,,0))</f>
        <v>luttermarehm@engadget.com</v>
      </c>
      <c r="H636" s="2" t="str">
        <f>_xlfn.XLOOKUP(C636,customers!$A$1:$A$1001,customers!$G$1:$G$1001,,0)</f>
        <v>United States</v>
      </c>
      <c r="I636" t="str">
        <f>INDEX(products!$A$1:$G$49,MATCH(orders!$D636,products!$A$1:$A$49,0),MATCH(orders!I$1,products!$A$1:$G$1,0))</f>
        <v>Lib</v>
      </c>
      <c r="J636" t="str">
        <f>INDEX(products!$A$1:$G$49,MATCH(orders!$D636,products!$A$1:$A$49,0),MATCH(orders!J$1,products!$A$1:$G$1,0))</f>
        <v>M</v>
      </c>
      <c r="K636" s="7">
        <f>INDEX(products!$A$1:$G$49,MATCH(orders!$D636,products!$A$1:$A$49,0),MATCH(orders!K$1,products!$A$1:$G$1,0))</f>
        <v>1</v>
      </c>
      <c r="L636" s="4">
        <f>INDEX(products!$A$1:$G$49,MATCH(orders!$D636,products!$A$1:$A$49,0),MATCH(orders!L$1,products!$A$1:$G$1,0))</f>
        <v>14.55</v>
      </c>
      <c r="M636" s="4">
        <f t="shared" si="9"/>
        <v>43.650000000000006</v>
      </c>
      <c r="N636" t="str" cm="1">
        <f t="array" ref="N636">_xlfn.IFS(I636="Rob","Robusta",I636="Exc","Excelsa",I636="Ara","Arabica",I636="Lib","Liberica")</f>
        <v>Liberica</v>
      </c>
      <c r="O636" t="str" cm="1">
        <f t="array" ref="O636">_xlfn.IFS(J636="M","Medium",J636="L","Large",J636="D","Dark")</f>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_xlfn.XLOOKUP(C637,customers!$A$1:$A$1001,customers!$B$1:$B$1001,,0)</f>
        <v>Eal D'Ambrogio</v>
      </c>
      <c r="G637" s="2" t="str">
        <f>IF(_xlfn.XLOOKUP(C637,customers!$A$1:$A$1001,customers!$C$1:$C$1001,,0)=0,"",_xlfn.XLOOKUP(C637,customers!$A$1:$A$1001,customers!$C$1:$C$1001,,0))</f>
        <v>edambrogiohn@techcrunch.com</v>
      </c>
      <c r="H637" s="2" t="str">
        <f>_xlfn.XLOOKUP(C637,customers!$A$1:$A$1001,customers!$G$1:$G$1001,,0)</f>
        <v>United States</v>
      </c>
      <c r="I637" t="str">
        <f>INDEX(products!$A$1:$G$49,MATCH(orders!$D637,products!$A$1:$A$49,0),MATCH(orders!I$1,products!$A$1:$G$1,0))</f>
        <v>Exc</v>
      </c>
      <c r="J637" t="str">
        <f>INDEX(products!$A$1:$G$49,MATCH(orders!$D637,products!$A$1:$A$49,0),MATCH(orders!J$1,products!$A$1:$G$1,0))</f>
        <v>L</v>
      </c>
      <c r="K637" s="7">
        <f>INDEX(products!$A$1:$G$49,MATCH(orders!$D637,products!$A$1:$A$49,0),MATCH(orders!K$1,products!$A$1:$G$1,0))</f>
        <v>0.5</v>
      </c>
      <c r="L637" s="4">
        <f>INDEX(products!$A$1:$G$49,MATCH(orders!$D637,products!$A$1:$A$49,0),MATCH(orders!L$1,products!$A$1:$G$1,0))</f>
        <v>8.91</v>
      </c>
      <c r="M637" s="4">
        <f t="shared" si="9"/>
        <v>35.64</v>
      </c>
      <c r="N637" t="str" cm="1">
        <f t="array" ref="N637">_xlfn.IFS(I637="Rob","Robusta",I637="Exc","Excelsa",I637="Ara","Arabica",I637="Lib","Liberica")</f>
        <v>Excelsa</v>
      </c>
      <c r="O637" t="str" cm="1">
        <f t="array" ref="O637">_xlfn.IFS(J637="M","Medium",J637="L","Large",J637="D","Dark")</f>
        <v>Large</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_xlfn.XLOOKUP(C638,customers!$A$1:$A$1001,customers!$B$1:$B$1001,,0)</f>
        <v>Carolee Winchcombe</v>
      </c>
      <c r="G638" s="2" t="str">
        <f>IF(_xlfn.XLOOKUP(C638,customers!$A$1:$A$1001,customers!$C$1:$C$1001,,0)=0,"",_xlfn.XLOOKUP(C638,customers!$A$1:$A$1001,customers!$C$1:$C$1001,,0))</f>
        <v>cwinchcombeho@jiathis.com</v>
      </c>
      <c r="H638" s="2" t="str">
        <f>_xlfn.XLOOKUP(C638,customers!$A$1:$A$1001,customers!$G$1:$G$1001,,0)</f>
        <v>United States</v>
      </c>
      <c r="I638" t="str">
        <f>INDEX(products!$A$1:$G$49,MATCH(orders!$D638,products!$A$1:$A$49,0),MATCH(orders!I$1,products!$A$1:$G$1,0))</f>
        <v>Lib</v>
      </c>
      <c r="J638" t="str">
        <f>INDEX(products!$A$1:$G$49,MATCH(orders!$D638,products!$A$1:$A$49,0),MATCH(orders!J$1,products!$A$1:$G$1,0))</f>
        <v>L</v>
      </c>
      <c r="K638" s="7">
        <f>INDEX(products!$A$1:$G$49,MATCH(orders!$D638,products!$A$1:$A$49,0),MATCH(orders!K$1,products!$A$1:$G$1,0))</f>
        <v>1</v>
      </c>
      <c r="L638" s="4">
        <f>INDEX(products!$A$1:$G$49,MATCH(orders!$D638,products!$A$1:$A$49,0),MATCH(orders!L$1,products!$A$1:$G$1,0))</f>
        <v>15.85</v>
      </c>
      <c r="M638" s="4">
        <f t="shared" si="9"/>
        <v>95.1</v>
      </c>
      <c r="N638" t="str" cm="1">
        <f t="array" ref="N638">_xlfn.IFS(I638="Rob","Robusta",I638="Exc","Excelsa",I638="Ara","Arabica",I638="Lib","Liberica")</f>
        <v>Liberica</v>
      </c>
      <c r="O638" t="str" cm="1">
        <f t="array" ref="O638">_xlfn.IFS(J638="M","Medium",J638="L","Large",J638="D","Dark")</f>
        <v>Large</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_xlfn.XLOOKUP(C639,customers!$A$1:$A$1001,customers!$B$1:$B$1001,,0)</f>
        <v>Benedikta Paumier</v>
      </c>
      <c r="G639" s="2" t="str">
        <f>IF(_xlfn.XLOOKUP(C639,customers!$A$1:$A$1001,customers!$C$1:$C$1001,,0)=0,"",_xlfn.XLOOKUP(C639,customers!$A$1:$A$1001,customers!$C$1:$C$1001,,0))</f>
        <v>bpaumierhp@umn.edu</v>
      </c>
      <c r="H639" s="2" t="str">
        <f>_xlfn.XLOOKUP(C639,customers!$A$1:$A$1001,customers!$G$1:$G$1001,,0)</f>
        <v>Ireland</v>
      </c>
      <c r="I639" t="str">
        <f>INDEX(products!$A$1:$G$49,MATCH(orders!$D639,products!$A$1:$A$49,0),MATCH(orders!I$1,products!$A$1:$G$1,0))</f>
        <v>Exc</v>
      </c>
      <c r="J639" t="str">
        <f>INDEX(products!$A$1:$G$49,MATCH(orders!$D639,products!$A$1:$A$49,0),MATCH(orders!J$1,products!$A$1:$G$1,0))</f>
        <v>M</v>
      </c>
      <c r="K639" s="7">
        <f>INDEX(products!$A$1:$G$49,MATCH(orders!$D639,products!$A$1:$A$49,0),MATCH(orders!K$1,products!$A$1:$G$1,0))</f>
        <v>2.5</v>
      </c>
      <c r="L639" s="4">
        <f>INDEX(products!$A$1:$G$49,MATCH(orders!$D639,products!$A$1:$A$49,0),MATCH(orders!L$1,products!$A$1:$G$1,0))</f>
        <v>31.624999999999996</v>
      </c>
      <c r="M639" s="4">
        <f t="shared" si="9"/>
        <v>31.624999999999996</v>
      </c>
      <c r="N639" t="str" cm="1">
        <f t="array" ref="N639">_xlfn.IFS(I639="Rob","Robusta",I639="Exc","Excelsa",I639="Ara","Arabica",I639="Lib","Liberica")</f>
        <v>Excelsa</v>
      </c>
      <c r="O639" t="str" cm="1">
        <f t="array" ref="O639">_xlfn.IFS(J639="M","Medium",J639="L","Large",J639="D","Dark")</f>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_xlfn.XLOOKUP(C640,customers!$A$1:$A$1001,customers!$B$1:$B$1001,,0)</f>
        <v>Neville Piatto</v>
      </c>
      <c r="G640" s="2" t="str">
        <f>IF(_xlfn.XLOOKUP(C640,customers!$A$1:$A$1001,customers!$C$1:$C$1001,,0)=0,"",_xlfn.XLOOKUP(C640,customers!$A$1:$A$1001,customers!$C$1:$C$1001,,0))</f>
        <v/>
      </c>
      <c r="H640" s="2" t="str">
        <f>_xlfn.XLOOKUP(C640,customers!$A$1:$A$1001,customers!$G$1:$G$1001,,0)</f>
        <v>Ireland</v>
      </c>
      <c r="I640" t="str">
        <f>INDEX(products!$A$1:$G$49,MATCH(orders!$D640,products!$A$1:$A$49,0),MATCH(orders!I$1,products!$A$1:$G$1,0))</f>
        <v>Ara</v>
      </c>
      <c r="J640" t="str">
        <f>INDEX(products!$A$1:$G$49,MATCH(orders!$D640,products!$A$1:$A$49,0),MATCH(orders!J$1,products!$A$1:$G$1,0))</f>
        <v>M</v>
      </c>
      <c r="K640" s="7">
        <f>INDEX(products!$A$1:$G$49,MATCH(orders!$D640,products!$A$1:$A$49,0),MATCH(orders!K$1,products!$A$1:$G$1,0))</f>
        <v>2.5</v>
      </c>
      <c r="L640" s="4">
        <f>INDEX(products!$A$1:$G$49,MATCH(orders!$D640,products!$A$1:$A$49,0),MATCH(orders!L$1,products!$A$1:$G$1,0))</f>
        <v>25.874999999999996</v>
      </c>
      <c r="M640" s="4">
        <f t="shared" si="9"/>
        <v>77.624999999999986</v>
      </c>
      <c r="N640" t="str" cm="1">
        <f t="array" ref="N640">_xlfn.IFS(I640="Rob","Robusta",I640="Exc","Excelsa",I640="Ara","Arabica",I640="Lib","Liberica")</f>
        <v>Arabica</v>
      </c>
      <c r="O640" t="str" cm="1">
        <f t="array" ref="O640">_xlfn.IFS(J640="M","Medium",J640="L","Large",J640="D","Dark")</f>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_xlfn.XLOOKUP(C641,customers!$A$1:$A$1001,customers!$B$1:$B$1001,,0)</f>
        <v>Jeno Capey</v>
      </c>
      <c r="G641" s="2" t="str">
        <f>IF(_xlfn.XLOOKUP(C641,customers!$A$1:$A$1001,customers!$C$1:$C$1001,,0)=0,"",_xlfn.XLOOKUP(C641,customers!$A$1:$A$1001,customers!$C$1:$C$1001,,0))</f>
        <v>jcapeyhr@bravesites.com</v>
      </c>
      <c r="H641" s="2" t="str">
        <f>_xlfn.XLOOKUP(C641,customers!$A$1:$A$1001,customers!$G$1:$G$1001,,0)</f>
        <v>United States</v>
      </c>
      <c r="I641" t="str">
        <f>INDEX(products!$A$1:$G$49,MATCH(orders!$D641,products!$A$1:$A$49,0),MATCH(orders!I$1,products!$A$1:$G$1,0))</f>
        <v>Lib</v>
      </c>
      <c r="J641" t="str">
        <f>INDEX(products!$A$1:$G$49,MATCH(orders!$D641,products!$A$1:$A$49,0),MATCH(orders!J$1,products!$A$1:$G$1,0))</f>
        <v>D</v>
      </c>
      <c r="K641" s="7">
        <f>INDEX(products!$A$1:$G$49,MATCH(orders!$D641,products!$A$1:$A$49,0),MATCH(orders!K$1,products!$A$1:$G$1,0))</f>
        <v>0.2</v>
      </c>
      <c r="L641" s="4">
        <f>INDEX(products!$A$1:$G$49,MATCH(orders!$D641,products!$A$1:$A$49,0),MATCH(orders!L$1,products!$A$1:$G$1,0))</f>
        <v>3.8849999999999998</v>
      </c>
      <c r="M641" s="4">
        <f t="shared" si="9"/>
        <v>3.8849999999999998</v>
      </c>
      <c r="N641" t="str" cm="1">
        <f t="array" ref="N641">_xlfn.IFS(I641="Rob","Robusta",I641="Exc","Excelsa",I641="Ara","Arabica",I641="Lib","Liberica")</f>
        <v>Liberica</v>
      </c>
      <c r="O641" t="str" cm="1">
        <f t="array" ref="O641">_xlfn.IFS(J641="M","Medium",J641="L","Large",J641="D","Dark")</f>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_xlfn.XLOOKUP(C642,customers!$A$1:$A$1001,customers!$B$1:$B$1001,,0)</f>
        <v>Tuckie Mathonnet</v>
      </c>
      <c r="G642" s="2" t="str">
        <f>IF(_xlfn.XLOOKUP(C642,customers!$A$1:$A$1001,customers!$C$1:$C$1001,,0)=0,"",_xlfn.XLOOKUP(C642,customers!$A$1:$A$1001,customers!$C$1:$C$1001,,0))</f>
        <v>tmathonneti0@google.co.jp</v>
      </c>
      <c r="H642" s="2" t="str">
        <f>_xlfn.XLOOKUP(C642,customers!$A$1:$A$1001,customers!$G$1:$G$1001,,0)</f>
        <v>United States</v>
      </c>
      <c r="I642" t="str">
        <f>INDEX(products!$A$1:$G$49,MATCH(orders!$D642,products!$A$1:$A$49,0),MATCH(orders!I$1,products!$A$1:$G$1,0))</f>
        <v>Rob</v>
      </c>
      <c r="J642" t="str">
        <f>INDEX(products!$A$1:$G$49,MATCH(orders!$D642,products!$A$1:$A$49,0),MATCH(orders!J$1,products!$A$1:$G$1,0))</f>
        <v>L</v>
      </c>
      <c r="K642" s="7">
        <f>INDEX(products!$A$1:$G$49,MATCH(orders!$D642,products!$A$1:$A$49,0),MATCH(orders!K$1,products!$A$1:$G$1,0))</f>
        <v>2.5</v>
      </c>
      <c r="L642" s="4">
        <f>INDEX(products!$A$1:$G$49,MATCH(orders!$D642,products!$A$1:$A$49,0),MATCH(orders!L$1,products!$A$1:$G$1,0))</f>
        <v>27.484999999999996</v>
      </c>
      <c r="M642" s="4">
        <f t="shared" si="9"/>
        <v>137.42499999999998</v>
      </c>
      <c r="N642" t="str" cm="1">
        <f t="array" ref="N642">_xlfn.IFS(I642="Rob","Robusta",I642="Exc","Excelsa",I642="Ara","Arabica",I642="Lib","Liberica")</f>
        <v>Robusta</v>
      </c>
      <c r="O642" t="str" cm="1">
        <f t="array" ref="O642">_xlfn.IFS(J642="M","Medium",J642="L","Large",J642="D","Dark")</f>
        <v>Large</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_xlfn.XLOOKUP(C643,customers!$A$1:$A$1001,customers!$B$1:$B$1001,,0)</f>
        <v>Yardley Basill</v>
      </c>
      <c r="G643" s="2" t="str">
        <f>IF(_xlfn.XLOOKUP(C643,customers!$A$1:$A$1001,customers!$C$1:$C$1001,,0)=0,"",_xlfn.XLOOKUP(C643,customers!$A$1:$A$1001,customers!$C$1:$C$1001,,0))</f>
        <v>ybasillht@theguardian.com</v>
      </c>
      <c r="H643" s="2" t="str">
        <f>_xlfn.XLOOKUP(C643,customers!$A$1:$A$1001,customers!$G$1:$G$1001,,0)</f>
        <v>United States</v>
      </c>
      <c r="I643" t="str">
        <f>INDEX(products!$A$1:$G$49,MATCH(orders!$D643,products!$A$1:$A$49,0),MATCH(orders!I$1,products!$A$1:$G$1,0))</f>
        <v>Rob</v>
      </c>
      <c r="J643" t="str">
        <f>INDEX(products!$A$1:$G$49,MATCH(orders!$D643,products!$A$1:$A$49,0),MATCH(orders!J$1,products!$A$1:$G$1,0))</f>
        <v>L</v>
      </c>
      <c r="K643" s="7">
        <f>INDEX(products!$A$1:$G$49,MATCH(orders!$D643,products!$A$1:$A$49,0),MATCH(orders!K$1,products!$A$1:$G$1,0))</f>
        <v>1</v>
      </c>
      <c r="L643" s="4">
        <f>INDEX(products!$A$1:$G$49,MATCH(orders!$D643,products!$A$1:$A$49,0),MATCH(orders!L$1,products!$A$1:$G$1,0))</f>
        <v>11.95</v>
      </c>
      <c r="M643" s="4">
        <f t="shared" ref="M643:M706" si="10">L643*E643</f>
        <v>35.849999999999994</v>
      </c>
      <c r="N643" t="str" cm="1">
        <f t="array" ref="N643">_xlfn.IFS(I643="Rob","Robusta",I643="Exc","Excelsa",I643="Ara","Arabica",I643="Lib","Liberica")</f>
        <v>Robusta</v>
      </c>
      <c r="O643" t="str" cm="1">
        <f t="array" ref="O643">_xlfn.IFS(J643="M","Medium",J643="L","Large",J643="D","Dark")</f>
        <v>Large</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_xlfn.XLOOKUP(C644,customers!$A$1:$A$1001,customers!$B$1:$B$1001,,0)</f>
        <v>Maggy Baistow</v>
      </c>
      <c r="G644" s="2" t="str">
        <f>IF(_xlfn.XLOOKUP(C644,customers!$A$1:$A$1001,customers!$C$1:$C$1001,,0)=0,"",_xlfn.XLOOKUP(C644,customers!$A$1:$A$1001,customers!$C$1:$C$1001,,0))</f>
        <v>mbaistowhu@i2i.jp</v>
      </c>
      <c r="H644" s="2" t="str">
        <f>_xlfn.XLOOKUP(C644,customers!$A$1:$A$1001,customers!$G$1:$G$1001,,0)</f>
        <v>United Kingdom</v>
      </c>
      <c r="I644" t="str">
        <f>INDEX(products!$A$1:$G$49,MATCH(orders!$D644,products!$A$1:$A$49,0),MATCH(orders!I$1,products!$A$1:$G$1,0))</f>
        <v>Exc</v>
      </c>
      <c r="J644" t="str">
        <f>INDEX(products!$A$1:$G$49,MATCH(orders!$D644,products!$A$1:$A$49,0),MATCH(orders!J$1,products!$A$1:$G$1,0))</f>
        <v>M</v>
      </c>
      <c r="K644" s="7">
        <f>INDEX(products!$A$1:$G$49,MATCH(orders!$D644,products!$A$1:$A$49,0),MATCH(orders!K$1,products!$A$1:$G$1,0))</f>
        <v>0.2</v>
      </c>
      <c r="L644" s="4">
        <f>INDEX(products!$A$1:$G$49,MATCH(orders!$D644,products!$A$1:$A$49,0),MATCH(orders!L$1,products!$A$1:$G$1,0))</f>
        <v>4.125</v>
      </c>
      <c r="M644" s="4">
        <f t="shared" si="10"/>
        <v>8.25</v>
      </c>
      <c r="N644" t="str" cm="1">
        <f t="array" ref="N644">_xlfn.IFS(I644="Rob","Robusta",I644="Exc","Excelsa",I644="Ara","Arabica",I644="Lib","Liberica")</f>
        <v>Excelsa</v>
      </c>
      <c r="O644" t="str" cm="1">
        <f t="array" ref="O644">_xlfn.IFS(J644="M","Medium",J644="L","Large",J644="D","Dark")</f>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_xlfn.XLOOKUP(C645,customers!$A$1:$A$1001,customers!$B$1:$B$1001,,0)</f>
        <v>Courtney Pallant</v>
      </c>
      <c r="G645" s="2" t="str">
        <f>IF(_xlfn.XLOOKUP(C645,customers!$A$1:$A$1001,customers!$C$1:$C$1001,,0)=0,"",_xlfn.XLOOKUP(C645,customers!$A$1:$A$1001,customers!$C$1:$C$1001,,0))</f>
        <v>cpallanthv@typepad.com</v>
      </c>
      <c r="H645" s="2" t="str">
        <f>_xlfn.XLOOKUP(C645,customers!$A$1:$A$1001,customers!$G$1:$G$1001,,0)</f>
        <v>United States</v>
      </c>
      <c r="I645" t="str">
        <f>INDEX(products!$A$1:$G$49,MATCH(orders!$D645,products!$A$1:$A$49,0),MATCH(orders!I$1,products!$A$1:$G$1,0))</f>
        <v>Exc</v>
      </c>
      <c r="J645" t="str">
        <f>INDEX(products!$A$1:$G$49,MATCH(orders!$D645,products!$A$1:$A$49,0),MATCH(orders!J$1,products!$A$1:$G$1,0))</f>
        <v>L</v>
      </c>
      <c r="K645" s="7">
        <f>INDEX(products!$A$1:$G$49,MATCH(orders!$D645,products!$A$1:$A$49,0),MATCH(orders!K$1,products!$A$1:$G$1,0))</f>
        <v>2.5</v>
      </c>
      <c r="L645" s="4">
        <f>INDEX(products!$A$1:$G$49,MATCH(orders!$D645,products!$A$1:$A$49,0),MATCH(orders!L$1,products!$A$1:$G$1,0))</f>
        <v>34.154999999999994</v>
      </c>
      <c r="M645" s="4">
        <f t="shared" si="10"/>
        <v>102.46499999999997</v>
      </c>
      <c r="N645" t="str" cm="1">
        <f t="array" ref="N645">_xlfn.IFS(I645="Rob","Robusta",I645="Exc","Excelsa",I645="Ara","Arabica",I645="Lib","Liberica")</f>
        <v>Excelsa</v>
      </c>
      <c r="O645" t="str" cm="1">
        <f t="array" ref="O645">_xlfn.IFS(J645="M","Medium",J645="L","Large",J645="D","Dark")</f>
        <v>Large</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_xlfn.XLOOKUP(C646,customers!$A$1:$A$1001,customers!$B$1:$B$1001,,0)</f>
        <v>Marne Mingey</v>
      </c>
      <c r="G646" s="2" t="str">
        <f>IF(_xlfn.XLOOKUP(C646,customers!$A$1:$A$1001,customers!$C$1:$C$1001,,0)=0,"",_xlfn.XLOOKUP(C646,customers!$A$1:$A$1001,customers!$C$1:$C$1001,,0))</f>
        <v/>
      </c>
      <c r="H646" s="2" t="str">
        <f>_xlfn.XLOOKUP(C646,customers!$A$1:$A$1001,customers!$G$1:$G$1001,,0)</f>
        <v>United States</v>
      </c>
      <c r="I646" t="str">
        <f>INDEX(products!$A$1:$G$49,MATCH(orders!$D646,products!$A$1:$A$49,0),MATCH(orders!I$1,products!$A$1:$G$1,0))</f>
        <v>Rob</v>
      </c>
      <c r="J646" t="str">
        <f>INDEX(products!$A$1:$G$49,MATCH(orders!$D646,products!$A$1:$A$49,0),MATCH(orders!J$1,products!$A$1:$G$1,0))</f>
        <v>D</v>
      </c>
      <c r="K646" s="7">
        <f>INDEX(products!$A$1:$G$49,MATCH(orders!$D646,products!$A$1:$A$49,0),MATCH(orders!K$1,products!$A$1:$G$1,0))</f>
        <v>2.5</v>
      </c>
      <c r="L646" s="4">
        <f>INDEX(products!$A$1:$G$49,MATCH(orders!$D646,products!$A$1:$A$49,0),MATCH(orders!L$1,products!$A$1:$G$1,0))</f>
        <v>20.584999999999997</v>
      </c>
      <c r="M646" s="4">
        <f t="shared" si="10"/>
        <v>41.169999999999995</v>
      </c>
      <c r="N646" t="str" cm="1">
        <f t="array" ref="N646">_xlfn.IFS(I646="Rob","Robusta",I646="Exc","Excelsa",I646="Ara","Arabica",I646="Lib","Liberica")</f>
        <v>Robusta</v>
      </c>
      <c r="O646" t="str" cm="1">
        <f t="array" ref="O646">_xlfn.IFS(J646="M","Medium",J646="L","Large",J646="D","Dark")</f>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_xlfn.XLOOKUP(C647,customers!$A$1:$A$1001,customers!$B$1:$B$1001,,0)</f>
        <v>Denny O' Ronan</v>
      </c>
      <c r="G647" s="2" t="str">
        <f>IF(_xlfn.XLOOKUP(C647,customers!$A$1:$A$1001,customers!$C$1:$C$1001,,0)=0,"",_xlfn.XLOOKUP(C647,customers!$A$1:$A$1001,customers!$C$1:$C$1001,,0))</f>
        <v>dohx@redcross.org</v>
      </c>
      <c r="H647" s="2" t="str">
        <f>_xlfn.XLOOKUP(C647,customers!$A$1:$A$1001,customers!$G$1:$G$1001,,0)</f>
        <v>United States</v>
      </c>
      <c r="I647" t="str">
        <f>INDEX(products!$A$1:$G$49,MATCH(orders!$D647,products!$A$1:$A$49,0),MATCH(orders!I$1,products!$A$1:$G$1,0))</f>
        <v>Ara</v>
      </c>
      <c r="J647" t="str">
        <f>INDEX(products!$A$1:$G$49,MATCH(orders!$D647,products!$A$1:$A$49,0),MATCH(orders!J$1,products!$A$1:$G$1,0))</f>
        <v>D</v>
      </c>
      <c r="K647" s="7">
        <f>INDEX(products!$A$1:$G$49,MATCH(orders!$D647,products!$A$1:$A$49,0),MATCH(orders!K$1,products!$A$1:$G$1,0))</f>
        <v>2.5</v>
      </c>
      <c r="L647" s="4">
        <f>INDEX(products!$A$1:$G$49,MATCH(orders!$D647,products!$A$1:$A$49,0),MATCH(orders!L$1,products!$A$1:$G$1,0))</f>
        <v>22.884999999999998</v>
      </c>
      <c r="M647" s="4">
        <f t="shared" si="10"/>
        <v>68.655000000000001</v>
      </c>
      <c r="N647" t="str" cm="1">
        <f t="array" ref="N647">_xlfn.IFS(I647="Rob","Robusta",I647="Exc","Excelsa",I647="Ara","Arabica",I647="Lib","Liberica")</f>
        <v>Arabica</v>
      </c>
      <c r="O647" t="str" cm="1">
        <f t="array" ref="O647">_xlfn.IFS(J647="M","Medium",J647="L","Large",J647="D","Dark")</f>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_xlfn.XLOOKUP(C648,customers!$A$1:$A$1001,customers!$B$1:$B$1001,,0)</f>
        <v>Dottie Rallin</v>
      </c>
      <c r="G648" s="2" t="str">
        <f>IF(_xlfn.XLOOKUP(C648,customers!$A$1:$A$1001,customers!$C$1:$C$1001,,0)=0,"",_xlfn.XLOOKUP(C648,customers!$A$1:$A$1001,customers!$C$1:$C$1001,,0))</f>
        <v>drallinhy@howstuffworks.com</v>
      </c>
      <c r="H648" s="2" t="str">
        <f>_xlfn.XLOOKUP(C648,customers!$A$1:$A$1001,customers!$G$1:$G$1001,,0)</f>
        <v>United States</v>
      </c>
      <c r="I648" t="str">
        <f>INDEX(products!$A$1:$G$49,MATCH(orders!$D648,products!$A$1:$A$49,0),MATCH(orders!I$1,products!$A$1:$G$1,0))</f>
        <v>Ara</v>
      </c>
      <c r="J648" t="str">
        <f>INDEX(products!$A$1:$G$49,MATCH(orders!$D648,products!$A$1:$A$49,0),MATCH(orders!J$1,products!$A$1:$G$1,0))</f>
        <v>D</v>
      </c>
      <c r="K648" s="7">
        <f>INDEX(products!$A$1:$G$49,MATCH(orders!$D648,products!$A$1:$A$49,0),MATCH(orders!K$1,products!$A$1:$G$1,0))</f>
        <v>1</v>
      </c>
      <c r="L648" s="4">
        <f>INDEX(products!$A$1:$G$49,MATCH(orders!$D648,products!$A$1:$A$49,0),MATCH(orders!L$1,products!$A$1:$G$1,0))</f>
        <v>9.9499999999999993</v>
      </c>
      <c r="M648" s="4">
        <f t="shared" si="10"/>
        <v>9.9499999999999993</v>
      </c>
      <c r="N648" t="str" cm="1">
        <f t="array" ref="N648">_xlfn.IFS(I648="Rob","Robusta",I648="Exc","Excelsa",I648="Ara","Arabica",I648="Lib","Liberica")</f>
        <v>Arabica</v>
      </c>
      <c r="O648" t="str" cm="1">
        <f t="array" ref="O648">_xlfn.IFS(J648="M","Medium",J648="L","Large",J648="D","Dark")</f>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_xlfn.XLOOKUP(C649,customers!$A$1:$A$1001,customers!$B$1:$B$1001,,0)</f>
        <v>Ardith Chill</v>
      </c>
      <c r="G649" s="2" t="str">
        <f>IF(_xlfn.XLOOKUP(C649,customers!$A$1:$A$1001,customers!$C$1:$C$1001,,0)=0,"",_xlfn.XLOOKUP(C649,customers!$A$1:$A$1001,customers!$C$1:$C$1001,,0))</f>
        <v>achillhz@epa.gov</v>
      </c>
      <c r="H649" s="2" t="str">
        <f>_xlfn.XLOOKUP(C649,customers!$A$1:$A$1001,customers!$G$1:$G$1001,,0)</f>
        <v>United Kingdom</v>
      </c>
      <c r="I649" t="str">
        <f>INDEX(products!$A$1:$G$49,MATCH(orders!$D649,products!$A$1:$A$49,0),MATCH(orders!I$1,products!$A$1:$G$1,0))</f>
        <v>Lib</v>
      </c>
      <c r="J649" t="str">
        <f>INDEX(products!$A$1:$G$49,MATCH(orders!$D649,products!$A$1:$A$49,0),MATCH(orders!J$1,products!$A$1:$G$1,0))</f>
        <v>L</v>
      </c>
      <c r="K649" s="7">
        <f>INDEX(products!$A$1:$G$49,MATCH(orders!$D649,products!$A$1:$A$49,0),MATCH(orders!K$1,products!$A$1:$G$1,0))</f>
        <v>0.5</v>
      </c>
      <c r="L649" s="4">
        <f>INDEX(products!$A$1:$G$49,MATCH(orders!$D649,products!$A$1:$A$49,0),MATCH(orders!L$1,products!$A$1:$G$1,0))</f>
        <v>9.51</v>
      </c>
      <c r="M649" s="4">
        <f t="shared" si="10"/>
        <v>28.53</v>
      </c>
      <c r="N649" t="str" cm="1">
        <f t="array" ref="N649">_xlfn.IFS(I649="Rob","Robusta",I649="Exc","Excelsa",I649="Ara","Arabica",I649="Lib","Liberica")</f>
        <v>Liberica</v>
      </c>
      <c r="O649" t="str" cm="1">
        <f t="array" ref="O649">_xlfn.IFS(J649="M","Medium",J649="L","Large",J649="D","Dark")</f>
        <v>Large</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_xlfn.XLOOKUP(C650,customers!$A$1:$A$1001,customers!$B$1:$B$1001,,0)</f>
        <v>Tuckie Mathonnet</v>
      </c>
      <c r="G650" s="2" t="str">
        <f>IF(_xlfn.XLOOKUP(C650,customers!$A$1:$A$1001,customers!$C$1:$C$1001,,0)=0,"",_xlfn.XLOOKUP(C650,customers!$A$1:$A$1001,customers!$C$1:$C$1001,,0))</f>
        <v>tmathonneti0@google.co.jp</v>
      </c>
      <c r="H650" s="2" t="str">
        <f>_xlfn.XLOOKUP(C650,customers!$A$1:$A$1001,customers!$G$1:$G$1001,,0)</f>
        <v>United States</v>
      </c>
      <c r="I650" t="str">
        <f>INDEX(products!$A$1:$G$49,MATCH(orders!$D650,products!$A$1:$A$49,0),MATCH(orders!I$1,products!$A$1:$G$1,0))</f>
        <v>Rob</v>
      </c>
      <c r="J650" t="str">
        <f>INDEX(products!$A$1:$G$49,MATCH(orders!$D650,products!$A$1:$A$49,0),MATCH(orders!J$1,products!$A$1:$G$1,0))</f>
        <v>D</v>
      </c>
      <c r="K650" s="7">
        <f>INDEX(products!$A$1:$G$49,MATCH(orders!$D650,products!$A$1:$A$49,0),MATCH(orders!K$1,products!$A$1:$G$1,0))</f>
        <v>0.2</v>
      </c>
      <c r="L650" s="4">
        <f>INDEX(products!$A$1:$G$49,MATCH(orders!$D650,products!$A$1:$A$49,0),MATCH(orders!L$1,products!$A$1:$G$1,0))</f>
        <v>2.6849999999999996</v>
      </c>
      <c r="M650" s="4">
        <f t="shared" si="10"/>
        <v>16.11</v>
      </c>
      <c r="N650" t="str" cm="1">
        <f t="array" ref="N650">_xlfn.IFS(I650="Rob","Robusta",I650="Exc","Excelsa",I650="Ara","Arabica",I650="Lib","Liberica")</f>
        <v>Robusta</v>
      </c>
      <c r="O650" t="str" cm="1">
        <f t="array" ref="O650">_xlfn.IFS(J650="M","Medium",J650="L","Large",J650="D","Dark")</f>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_xlfn.XLOOKUP(C651,customers!$A$1:$A$1001,customers!$B$1:$B$1001,,0)</f>
        <v>Charmane Denys</v>
      </c>
      <c r="G651" s="2" t="str">
        <f>IF(_xlfn.XLOOKUP(C651,customers!$A$1:$A$1001,customers!$C$1:$C$1001,,0)=0,"",_xlfn.XLOOKUP(C651,customers!$A$1:$A$1001,customers!$C$1:$C$1001,,0))</f>
        <v>cdenysi1@is.gd</v>
      </c>
      <c r="H651" s="2" t="str">
        <f>_xlfn.XLOOKUP(C651,customers!$A$1:$A$1001,customers!$G$1:$G$1001,,0)</f>
        <v>United Kingdom</v>
      </c>
      <c r="I651" t="str">
        <f>INDEX(products!$A$1:$G$49,MATCH(orders!$D651,products!$A$1:$A$49,0),MATCH(orders!I$1,products!$A$1:$G$1,0))</f>
        <v>Lib</v>
      </c>
      <c r="J651" t="str">
        <f>INDEX(products!$A$1:$G$49,MATCH(orders!$D651,products!$A$1:$A$49,0),MATCH(orders!J$1,products!$A$1:$G$1,0))</f>
        <v>L</v>
      </c>
      <c r="K651" s="7">
        <f>INDEX(products!$A$1:$G$49,MATCH(orders!$D651,products!$A$1:$A$49,0),MATCH(orders!K$1,products!$A$1:$G$1,0))</f>
        <v>1</v>
      </c>
      <c r="L651" s="4">
        <f>INDEX(products!$A$1:$G$49,MATCH(orders!$D651,products!$A$1:$A$49,0),MATCH(orders!L$1,products!$A$1:$G$1,0))</f>
        <v>15.85</v>
      </c>
      <c r="M651" s="4">
        <f t="shared" si="10"/>
        <v>95.1</v>
      </c>
      <c r="N651" t="str" cm="1">
        <f t="array" ref="N651">_xlfn.IFS(I651="Rob","Robusta",I651="Exc","Excelsa",I651="Ara","Arabica",I651="Lib","Liberica")</f>
        <v>Liberica</v>
      </c>
      <c r="O651" t="str" cm="1">
        <f t="array" ref="O651">_xlfn.IFS(J651="M","Medium",J651="L","Large",J651="D","Dark")</f>
        <v>Large</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_xlfn.XLOOKUP(C652,customers!$A$1:$A$1001,customers!$B$1:$B$1001,,0)</f>
        <v>Cecily Stebbings</v>
      </c>
      <c r="G652" s="2" t="str">
        <f>IF(_xlfn.XLOOKUP(C652,customers!$A$1:$A$1001,customers!$C$1:$C$1001,,0)=0,"",_xlfn.XLOOKUP(C652,customers!$A$1:$A$1001,customers!$C$1:$C$1001,,0))</f>
        <v>cstebbingsi2@drupal.org</v>
      </c>
      <c r="H652" s="2" t="str">
        <f>_xlfn.XLOOKUP(C652,customers!$A$1:$A$1001,customers!$G$1:$G$1001,,0)</f>
        <v>United States</v>
      </c>
      <c r="I652" t="str">
        <f>INDEX(products!$A$1:$G$49,MATCH(orders!$D652,products!$A$1:$A$49,0),MATCH(orders!I$1,products!$A$1:$G$1,0))</f>
        <v>Rob</v>
      </c>
      <c r="J652" t="str">
        <f>INDEX(products!$A$1:$G$49,MATCH(orders!$D652,products!$A$1:$A$49,0),MATCH(orders!J$1,products!$A$1:$G$1,0))</f>
        <v>D</v>
      </c>
      <c r="K652" s="7">
        <f>INDEX(products!$A$1:$G$49,MATCH(orders!$D652,products!$A$1:$A$49,0),MATCH(orders!K$1,products!$A$1:$G$1,0))</f>
        <v>0.5</v>
      </c>
      <c r="L652" s="4">
        <f>INDEX(products!$A$1:$G$49,MATCH(orders!$D652,products!$A$1:$A$49,0),MATCH(orders!L$1,products!$A$1:$G$1,0))</f>
        <v>5.3699999999999992</v>
      </c>
      <c r="M652" s="4">
        <f t="shared" si="10"/>
        <v>5.3699999999999992</v>
      </c>
      <c r="N652" t="str" cm="1">
        <f t="array" ref="N652">_xlfn.IFS(I652="Rob","Robusta",I652="Exc","Excelsa",I652="Ara","Arabica",I652="Lib","Liberica")</f>
        <v>Robusta</v>
      </c>
      <c r="O652" t="str" cm="1">
        <f t="array" ref="O652">_xlfn.IFS(J652="M","Medium",J652="L","Large",J652="D","Dark")</f>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_xlfn.XLOOKUP(C653,customers!$A$1:$A$1001,customers!$B$1:$B$1001,,0)</f>
        <v>Giana Tonnesen</v>
      </c>
      <c r="G653" s="2" t="str">
        <f>IF(_xlfn.XLOOKUP(C653,customers!$A$1:$A$1001,customers!$C$1:$C$1001,,0)=0,"",_xlfn.XLOOKUP(C653,customers!$A$1:$A$1001,customers!$C$1:$C$1001,,0))</f>
        <v/>
      </c>
      <c r="H653" s="2" t="str">
        <f>_xlfn.XLOOKUP(C653,customers!$A$1:$A$1001,customers!$G$1:$G$1001,,0)</f>
        <v>United States</v>
      </c>
      <c r="I653" t="str">
        <f>INDEX(products!$A$1:$G$49,MATCH(orders!$D653,products!$A$1:$A$49,0),MATCH(orders!I$1,products!$A$1:$G$1,0))</f>
        <v>Rob</v>
      </c>
      <c r="J653" t="str">
        <f>INDEX(products!$A$1:$G$49,MATCH(orders!$D653,products!$A$1:$A$49,0),MATCH(orders!J$1,products!$A$1:$G$1,0))</f>
        <v>L</v>
      </c>
      <c r="K653" s="7">
        <f>INDEX(products!$A$1:$G$49,MATCH(orders!$D653,products!$A$1:$A$49,0),MATCH(orders!K$1,products!$A$1:$G$1,0))</f>
        <v>1</v>
      </c>
      <c r="L653" s="4">
        <f>INDEX(products!$A$1:$G$49,MATCH(orders!$D653,products!$A$1:$A$49,0),MATCH(orders!L$1,products!$A$1:$G$1,0))</f>
        <v>11.95</v>
      </c>
      <c r="M653" s="4">
        <f t="shared" si="10"/>
        <v>47.8</v>
      </c>
      <c r="N653" t="str" cm="1">
        <f t="array" ref="N653">_xlfn.IFS(I653="Rob","Robusta",I653="Exc","Excelsa",I653="Ara","Arabica",I653="Lib","Liberica")</f>
        <v>Robusta</v>
      </c>
      <c r="O653" t="str" cm="1">
        <f t="array" ref="O653">_xlfn.IFS(J653="M","Medium",J653="L","Large",J653="D","Dark")</f>
        <v>Large</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_xlfn.XLOOKUP(C654,customers!$A$1:$A$1001,customers!$B$1:$B$1001,,0)</f>
        <v>Rhetta Zywicki</v>
      </c>
      <c r="G654" s="2" t="str">
        <f>IF(_xlfn.XLOOKUP(C654,customers!$A$1:$A$1001,customers!$C$1:$C$1001,,0)=0,"",_xlfn.XLOOKUP(C654,customers!$A$1:$A$1001,customers!$C$1:$C$1001,,0))</f>
        <v>rzywickii4@ifeng.com</v>
      </c>
      <c r="H654" s="2" t="str">
        <f>_xlfn.XLOOKUP(C654,customers!$A$1:$A$1001,customers!$G$1:$G$1001,,0)</f>
        <v>Ireland</v>
      </c>
      <c r="I654" t="str">
        <f>INDEX(products!$A$1:$G$49,MATCH(orders!$D654,products!$A$1:$A$49,0),MATCH(orders!I$1,products!$A$1:$G$1,0))</f>
        <v>Lib</v>
      </c>
      <c r="J654" t="str">
        <f>INDEX(products!$A$1:$G$49,MATCH(orders!$D654,products!$A$1:$A$49,0),MATCH(orders!J$1,products!$A$1:$G$1,0))</f>
        <v>L</v>
      </c>
      <c r="K654" s="7">
        <f>INDEX(products!$A$1:$G$49,MATCH(orders!$D654,products!$A$1:$A$49,0),MATCH(orders!K$1,products!$A$1:$G$1,0))</f>
        <v>1</v>
      </c>
      <c r="L654" s="4">
        <f>INDEX(products!$A$1:$G$49,MATCH(orders!$D654,products!$A$1:$A$49,0),MATCH(orders!L$1,products!$A$1:$G$1,0))</f>
        <v>15.85</v>
      </c>
      <c r="M654" s="4">
        <f t="shared" si="10"/>
        <v>63.4</v>
      </c>
      <c r="N654" t="str" cm="1">
        <f t="array" ref="N654">_xlfn.IFS(I654="Rob","Robusta",I654="Exc","Excelsa",I654="Ara","Arabica",I654="Lib","Liberica")</f>
        <v>Liberica</v>
      </c>
      <c r="O654" t="str" cm="1">
        <f t="array" ref="O654">_xlfn.IFS(J654="M","Medium",J654="L","Large",J654="D","Dark")</f>
        <v>Large</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_xlfn.XLOOKUP(C655,customers!$A$1:$A$1001,customers!$B$1:$B$1001,,0)</f>
        <v>Almeria Burgett</v>
      </c>
      <c r="G655" s="2" t="str">
        <f>IF(_xlfn.XLOOKUP(C655,customers!$A$1:$A$1001,customers!$C$1:$C$1001,,0)=0,"",_xlfn.XLOOKUP(C655,customers!$A$1:$A$1001,customers!$C$1:$C$1001,,0))</f>
        <v>aburgetti5@moonfruit.com</v>
      </c>
      <c r="H655" s="2" t="str">
        <f>_xlfn.XLOOKUP(C655,customers!$A$1:$A$1001,customers!$G$1:$G$1001,,0)</f>
        <v>United States</v>
      </c>
      <c r="I655" t="str">
        <f>INDEX(products!$A$1:$G$49,MATCH(orders!$D655,products!$A$1:$A$49,0),MATCH(orders!I$1,products!$A$1:$G$1,0))</f>
        <v>Ara</v>
      </c>
      <c r="J655" t="str">
        <f>INDEX(products!$A$1:$G$49,MATCH(orders!$D655,products!$A$1:$A$49,0),MATCH(orders!J$1,products!$A$1:$G$1,0))</f>
        <v>M</v>
      </c>
      <c r="K655" s="7">
        <f>INDEX(products!$A$1:$G$49,MATCH(orders!$D655,products!$A$1:$A$49,0),MATCH(orders!K$1,products!$A$1:$G$1,0))</f>
        <v>2.5</v>
      </c>
      <c r="L655" s="4">
        <f>INDEX(products!$A$1:$G$49,MATCH(orders!$D655,products!$A$1:$A$49,0),MATCH(orders!L$1,products!$A$1:$G$1,0))</f>
        <v>25.874999999999996</v>
      </c>
      <c r="M655" s="4">
        <f t="shared" si="10"/>
        <v>103.49999999999999</v>
      </c>
      <c r="N655" t="str" cm="1">
        <f t="array" ref="N655">_xlfn.IFS(I655="Rob","Robusta",I655="Exc","Excelsa",I655="Ara","Arabica",I655="Lib","Liberica")</f>
        <v>Arabica</v>
      </c>
      <c r="O655" t="str" cm="1">
        <f t="array" ref="O655">_xlfn.IFS(J655="M","Medium",J655="L","Large",J655="D","Dark")</f>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_xlfn.XLOOKUP(C656,customers!$A$1:$A$1001,customers!$B$1:$B$1001,,0)</f>
        <v>Marvin Malloy</v>
      </c>
      <c r="G656" s="2" t="str">
        <f>IF(_xlfn.XLOOKUP(C656,customers!$A$1:$A$1001,customers!$C$1:$C$1001,,0)=0,"",_xlfn.XLOOKUP(C656,customers!$A$1:$A$1001,customers!$C$1:$C$1001,,0))</f>
        <v>mmalloyi6@seattletimes.com</v>
      </c>
      <c r="H656" s="2" t="str">
        <f>_xlfn.XLOOKUP(C656,customers!$A$1:$A$1001,customers!$G$1:$G$1001,,0)</f>
        <v>United States</v>
      </c>
      <c r="I656" t="str">
        <f>INDEX(products!$A$1:$G$49,MATCH(orders!$D656,products!$A$1:$A$49,0),MATCH(orders!I$1,products!$A$1:$G$1,0))</f>
        <v>Ara</v>
      </c>
      <c r="J656" t="str">
        <f>INDEX(products!$A$1:$G$49,MATCH(orders!$D656,products!$A$1:$A$49,0),MATCH(orders!J$1,products!$A$1:$G$1,0))</f>
        <v>D</v>
      </c>
      <c r="K656" s="7">
        <f>INDEX(products!$A$1:$G$49,MATCH(orders!$D656,products!$A$1:$A$49,0),MATCH(orders!K$1,products!$A$1:$G$1,0))</f>
        <v>2.5</v>
      </c>
      <c r="L656" s="4">
        <f>INDEX(products!$A$1:$G$49,MATCH(orders!$D656,products!$A$1:$A$49,0),MATCH(orders!L$1,products!$A$1:$G$1,0))</f>
        <v>22.884999999999998</v>
      </c>
      <c r="M656" s="4">
        <f t="shared" si="10"/>
        <v>68.655000000000001</v>
      </c>
      <c r="N656" t="str" cm="1">
        <f t="array" ref="N656">_xlfn.IFS(I656="Rob","Robusta",I656="Exc","Excelsa",I656="Ara","Arabica",I656="Lib","Liberica")</f>
        <v>Arabica</v>
      </c>
      <c r="O656" t="str" cm="1">
        <f t="array" ref="O656">_xlfn.IFS(J656="M","Medium",J656="L","Large",J656="D","Dark")</f>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_xlfn.XLOOKUP(C657,customers!$A$1:$A$1001,customers!$B$1:$B$1001,,0)</f>
        <v>Maxim McParland</v>
      </c>
      <c r="G657" s="2" t="str">
        <f>IF(_xlfn.XLOOKUP(C657,customers!$A$1:$A$1001,customers!$C$1:$C$1001,,0)=0,"",_xlfn.XLOOKUP(C657,customers!$A$1:$A$1001,customers!$C$1:$C$1001,,0))</f>
        <v>mmcparlandi7@w3.org</v>
      </c>
      <c r="H657" s="2" t="str">
        <f>_xlfn.XLOOKUP(C657,customers!$A$1:$A$1001,customers!$G$1:$G$1001,,0)</f>
        <v>United States</v>
      </c>
      <c r="I657" t="str">
        <f>INDEX(products!$A$1:$G$49,MATCH(orders!$D657,products!$A$1:$A$49,0),MATCH(orders!I$1,products!$A$1:$G$1,0))</f>
        <v>Rob</v>
      </c>
      <c r="J657" t="str">
        <f>INDEX(products!$A$1:$G$49,MATCH(orders!$D657,products!$A$1:$A$49,0),MATCH(orders!J$1,products!$A$1:$G$1,0))</f>
        <v>M</v>
      </c>
      <c r="K657" s="7">
        <f>INDEX(products!$A$1:$G$49,MATCH(orders!$D657,products!$A$1:$A$49,0),MATCH(orders!K$1,products!$A$1:$G$1,0))</f>
        <v>2.5</v>
      </c>
      <c r="L657" s="4">
        <f>INDEX(products!$A$1:$G$49,MATCH(orders!$D657,products!$A$1:$A$49,0),MATCH(orders!L$1,products!$A$1:$G$1,0))</f>
        <v>22.884999999999998</v>
      </c>
      <c r="M657" s="4">
        <f t="shared" si="10"/>
        <v>45.769999999999996</v>
      </c>
      <c r="N657" t="str" cm="1">
        <f t="array" ref="N657">_xlfn.IFS(I657="Rob","Robusta",I657="Exc","Excelsa",I657="Ara","Arabica",I657="Lib","Liberica")</f>
        <v>Robusta</v>
      </c>
      <c r="O657" t="str" cm="1">
        <f t="array" ref="O657">_xlfn.IFS(J657="M","Medium",J657="L","Large",J657="D","Dark")</f>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_xlfn.XLOOKUP(C658,customers!$A$1:$A$1001,customers!$B$1:$B$1001,,0)</f>
        <v>Sylas Jennaroy</v>
      </c>
      <c r="G658" s="2" t="str">
        <f>IF(_xlfn.XLOOKUP(C658,customers!$A$1:$A$1001,customers!$C$1:$C$1001,,0)=0,"",_xlfn.XLOOKUP(C658,customers!$A$1:$A$1001,customers!$C$1:$C$1001,,0))</f>
        <v>sjennaroyi8@purevolume.com</v>
      </c>
      <c r="H658" s="2" t="str">
        <f>_xlfn.XLOOKUP(C658,customers!$A$1:$A$1001,customers!$G$1:$G$1001,,0)</f>
        <v>United States</v>
      </c>
      <c r="I658" t="str">
        <f>INDEX(products!$A$1:$G$49,MATCH(orders!$D658,products!$A$1:$A$49,0),MATCH(orders!I$1,products!$A$1:$G$1,0))</f>
        <v>Lib</v>
      </c>
      <c r="J658" t="str">
        <f>INDEX(products!$A$1:$G$49,MATCH(orders!$D658,products!$A$1:$A$49,0),MATCH(orders!J$1,products!$A$1:$G$1,0))</f>
        <v>D</v>
      </c>
      <c r="K658" s="7">
        <f>INDEX(products!$A$1:$G$49,MATCH(orders!$D658,products!$A$1:$A$49,0),MATCH(orders!K$1,products!$A$1:$G$1,0))</f>
        <v>1</v>
      </c>
      <c r="L658" s="4">
        <f>INDEX(products!$A$1:$G$49,MATCH(orders!$D658,products!$A$1:$A$49,0),MATCH(orders!L$1,products!$A$1:$G$1,0))</f>
        <v>12.95</v>
      </c>
      <c r="M658" s="4">
        <f t="shared" si="10"/>
        <v>51.8</v>
      </c>
      <c r="N658" t="str" cm="1">
        <f t="array" ref="N658">_xlfn.IFS(I658="Rob","Robusta",I658="Exc","Excelsa",I658="Ara","Arabica",I658="Lib","Liberica")</f>
        <v>Liberica</v>
      </c>
      <c r="O658" t="str" cm="1">
        <f t="array" ref="O658">_xlfn.IFS(J658="M","Medium",J658="L","Large",J658="D","Dark")</f>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_xlfn.XLOOKUP(C659,customers!$A$1:$A$1001,customers!$B$1:$B$1001,,0)</f>
        <v>Wren Place</v>
      </c>
      <c r="G659" s="2" t="str">
        <f>IF(_xlfn.XLOOKUP(C659,customers!$A$1:$A$1001,customers!$C$1:$C$1001,,0)=0,"",_xlfn.XLOOKUP(C659,customers!$A$1:$A$1001,customers!$C$1:$C$1001,,0))</f>
        <v>wplacei9@wsj.com</v>
      </c>
      <c r="H659" s="2" t="str">
        <f>_xlfn.XLOOKUP(C659,customers!$A$1:$A$1001,customers!$G$1:$G$1001,,0)</f>
        <v>United States</v>
      </c>
      <c r="I659" t="str">
        <f>INDEX(products!$A$1:$G$49,MATCH(orders!$D659,products!$A$1:$A$49,0),MATCH(orders!I$1,products!$A$1:$G$1,0))</f>
        <v>Ara</v>
      </c>
      <c r="J659" t="str">
        <f>INDEX(products!$A$1:$G$49,MATCH(orders!$D659,products!$A$1:$A$49,0),MATCH(orders!J$1,products!$A$1:$G$1,0))</f>
        <v>M</v>
      </c>
      <c r="K659" s="7">
        <f>INDEX(products!$A$1:$G$49,MATCH(orders!$D659,products!$A$1:$A$49,0),MATCH(orders!K$1,products!$A$1:$G$1,0))</f>
        <v>0.5</v>
      </c>
      <c r="L659" s="4">
        <f>INDEX(products!$A$1:$G$49,MATCH(orders!$D659,products!$A$1:$A$49,0),MATCH(orders!L$1,products!$A$1:$G$1,0))</f>
        <v>6.75</v>
      </c>
      <c r="M659" s="4">
        <f t="shared" si="10"/>
        <v>13.5</v>
      </c>
      <c r="N659" t="str" cm="1">
        <f t="array" ref="N659">_xlfn.IFS(I659="Rob","Robusta",I659="Exc","Excelsa",I659="Ara","Arabica",I659="Lib","Liberica")</f>
        <v>Arabica</v>
      </c>
      <c r="O659" t="str" cm="1">
        <f t="array" ref="O659">_xlfn.IFS(J659="M","Medium",J659="L","Large",J659="D","Dark")</f>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_xlfn.XLOOKUP(C660,customers!$A$1:$A$1001,customers!$B$1:$B$1001,,0)</f>
        <v>Janella Millett</v>
      </c>
      <c r="G660" s="2" t="str">
        <f>IF(_xlfn.XLOOKUP(C660,customers!$A$1:$A$1001,customers!$C$1:$C$1001,,0)=0,"",_xlfn.XLOOKUP(C660,customers!$A$1:$A$1001,customers!$C$1:$C$1001,,0))</f>
        <v>jmillettik@addtoany.com</v>
      </c>
      <c r="H660" s="2" t="str">
        <f>_xlfn.XLOOKUP(C660,customers!$A$1:$A$1001,customers!$G$1:$G$1001,,0)</f>
        <v>United States</v>
      </c>
      <c r="I660" t="str">
        <f>INDEX(products!$A$1:$G$49,MATCH(orders!$D660,products!$A$1:$A$49,0),MATCH(orders!I$1,products!$A$1:$G$1,0))</f>
        <v>Exc</v>
      </c>
      <c r="J660" t="str">
        <f>INDEX(products!$A$1:$G$49,MATCH(orders!$D660,products!$A$1:$A$49,0),MATCH(orders!J$1,products!$A$1:$G$1,0))</f>
        <v>M</v>
      </c>
      <c r="K660" s="7">
        <f>INDEX(products!$A$1:$G$49,MATCH(orders!$D660,products!$A$1:$A$49,0),MATCH(orders!K$1,products!$A$1:$G$1,0))</f>
        <v>0.5</v>
      </c>
      <c r="L660" s="4">
        <f>INDEX(products!$A$1:$G$49,MATCH(orders!$D660,products!$A$1:$A$49,0),MATCH(orders!L$1,products!$A$1:$G$1,0))</f>
        <v>8.25</v>
      </c>
      <c r="M660" s="4">
        <f t="shared" si="10"/>
        <v>24.75</v>
      </c>
      <c r="N660" t="str" cm="1">
        <f t="array" ref="N660">_xlfn.IFS(I660="Rob","Robusta",I660="Exc","Excelsa",I660="Ara","Arabica",I660="Lib","Liberica")</f>
        <v>Excelsa</v>
      </c>
      <c r="O660" t="str" cm="1">
        <f t="array" ref="O660">_xlfn.IFS(J660="M","Medium",J660="L","Large",J660="D","Dark")</f>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_xlfn.XLOOKUP(C661,customers!$A$1:$A$1001,customers!$B$1:$B$1001,,0)</f>
        <v>Dollie Gadsden</v>
      </c>
      <c r="G661" s="2" t="str">
        <f>IF(_xlfn.XLOOKUP(C661,customers!$A$1:$A$1001,customers!$C$1:$C$1001,,0)=0,"",_xlfn.XLOOKUP(C661,customers!$A$1:$A$1001,customers!$C$1:$C$1001,,0))</f>
        <v>dgadsdenib@google.com.hk</v>
      </c>
      <c r="H661" s="2" t="str">
        <f>_xlfn.XLOOKUP(C661,customers!$A$1:$A$1001,customers!$G$1:$G$1001,,0)</f>
        <v>Ireland</v>
      </c>
      <c r="I661" t="str">
        <f>INDEX(products!$A$1:$G$49,MATCH(orders!$D661,products!$A$1:$A$49,0),MATCH(orders!I$1,products!$A$1:$G$1,0))</f>
        <v>Ara</v>
      </c>
      <c r="J661" t="str">
        <f>INDEX(products!$A$1:$G$49,MATCH(orders!$D661,products!$A$1:$A$49,0),MATCH(orders!J$1,products!$A$1:$G$1,0))</f>
        <v>D</v>
      </c>
      <c r="K661" s="7">
        <f>INDEX(products!$A$1:$G$49,MATCH(orders!$D661,products!$A$1:$A$49,0),MATCH(orders!K$1,products!$A$1:$G$1,0))</f>
        <v>2.5</v>
      </c>
      <c r="L661" s="4">
        <f>INDEX(products!$A$1:$G$49,MATCH(orders!$D661,products!$A$1:$A$49,0),MATCH(orders!L$1,products!$A$1:$G$1,0))</f>
        <v>22.884999999999998</v>
      </c>
      <c r="M661" s="4">
        <f t="shared" si="10"/>
        <v>45.769999999999996</v>
      </c>
      <c r="N661" t="str" cm="1">
        <f t="array" ref="N661">_xlfn.IFS(I661="Rob","Robusta",I661="Exc","Excelsa",I661="Ara","Arabica",I661="Lib","Liberica")</f>
        <v>Arabica</v>
      </c>
      <c r="O661" t="str" cm="1">
        <f t="array" ref="O661">_xlfn.IFS(J661="M","Medium",J661="L","Large",J661="D","Dark")</f>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_xlfn.XLOOKUP(C662,customers!$A$1:$A$1001,customers!$B$1:$B$1001,,0)</f>
        <v>Val Wakelin</v>
      </c>
      <c r="G662" s="2" t="str">
        <f>IF(_xlfn.XLOOKUP(C662,customers!$A$1:$A$1001,customers!$C$1:$C$1001,,0)=0,"",_xlfn.XLOOKUP(C662,customers!$A$1:$A$1001,customers!$C$1:$C$1001,,0))</f>
        <v>vwakelinic@unesco.org</v>
      </c>
      <c r="H662" s="2" t="str">
        <f>_xlfn.XLOOKUP(C662,customers!$A$1:$A$1001,customers!$G$1:$G$1001,,0)</f>
        <v>United States</v>
      </c>
      <c r="I662" t="str">
        <f>INDEX(products!$A$1:$G$49,MATCH(orders!$D662,products!$A$1:$A$49,0),MATCH(orders!I$1,products!$A$1:$G$1,0))</f>
        <v>Exc</v>
      </c>
      <c r="J662" t="str">
        <f>INDEX(products!$A$1:$G$49,MATCH(orders!$D662,products!$A$1:$A$49,0),MATCH(orders!J$1,products!$A$1:$G$1,0))</f>
        <v>L</v>
      </c>
      <c r="K662" s="7">
        <f>INDEX(products!$A$1:$G$49,MATCH(orders!$D662,products!$A$1:$A$49,0),MATCH(orders!K$1,products!$A$1:$G$1,0))</f>
        <v>0.5</v>
      </c>
      <c r="L662" s="4">
        <f>INDEX(products!$A$1:$G$49,MATCH(orders!$D662,products!$A$1:$A$49,0),MATCH(orders!L$1,products!$A$1:$G$1,0))</f>
        <v>8.91</v>
      </c>
      <c r="M662" s="4">
        <f t="shared" si="10"/>
        <v>53.46</v>
      </c>
      <c r="N662" t="str" cm="1">
        <f t="array" ref="N662">_xlfn.IFS(I662="Rob","Robusta",I662="Exc","Excelsa",I662="Ara","Arabica",I662="Lib","Liberica")</f>
        <v>Excelsa</v>
      </c>
      <c r="O662" t="str" cm="1">
        <f t="array" ref="O662">_xlfn.IFS(J662="M","Medium",J662="L","Large",J662="D","Dark")</f>
        <v>Large</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_xlfn.XLOOKUP(C663,customers!$A$1:$A$1001,customers!$B$1:$B$1001,,0)</f>
        <v>Annie Campsall</v>
      </c>
      <c r="G663" s="2" t="str">
        <f>IF(_xlfn.XLOOKUP(C663,customers!$A$1:$A$1001,customers!$C$1:$C$1001,,0)=0,"",_xlfn.XLOOKUP(C663,customers!$A$1:$A$1001,customers!$C$1:$C$1001,,0))</f>
        <v>acampsallid@zimbio.com</v>
      </c>
      <c r="H663" s="2" t="str">
        <f>_xlfn.XLOOKUP(C663,customers!$A$1:$A$1001,customers!$G$1:$G$1001,,0)</f>
        <v>United States</v>
      </c>
      <c r="I663" t="str">
        <f>INDEX(products!$A$1:$G$49,MATCH(orders!$D663,products!$A$1:$A$49,0),MATCH(orders!I$1,products!$A$1:$G$1,0))</f>
        <v>Ara</v>
      </c>
      <c r="J663" t="str">
        <f>INDEX(products!$A$1:$G$49,MATCH(orders!$D663,products!$A$1:$A$49,0),MATCH(orders!J$1,products!$A$1:$G$1,0))</f>
        <v>M</v>
      </c>
      <c r="K663" s="7">
        <f>INDEX(products!$A$1:$G$49,MATCH(orders!$D663,products!$A$1:$A$49,0),MATCH(orders!K$1,products!$A$1:$G$1,0))</f>
        <v>0.2</v>
      </c>
      <c r="L663" s="4">
        <f>INDEX(products!$A$1:$G$49,MATCH(orders!$D663,products!$A$1:$A$49,0),MATCH(orders!L$1,products!$A$1:$G$1,0))</f>
        <v>3.375</v>
      </c>
      <c r="M663" s="4">
        <f t="shared" si="10"/>
        <v>20.25</v>
      </c>
      <c r="N663" t="str" cm="1">
        <f t="array" ref="N663">_xlfn.IFS(I663="Rob","Robusta",I663="Exc","Excelsa",I663="Ara","Arabica",I663="Lib","Liberica")</f>
        <v>Arabica</v>
      </c>
      <c r="O663" t="str" cm="1">
        <f t="array" ref="O663">_xlfn.IFS(J663="M","Medium",J663="L","Large",J663="D","Dark")</f>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_xlfn.XLOOKUP(C664,customers!$A$1:$A$1001,customers!$B$1:$B$1001,,0)</f>
        <v>Shermy Moseby</v>
      </c>
      <c r="G664" s="2" t="str">
        <f>IF(_xlfn.XLOOKUP(C664,customers!$A$1:$A$1001,customers!$C$1:$C$1001,,0)=0,"",_xlfn.XLOOKUP(C664,customers!$A$1:$A$1001,customers!$C$1:$C$1001,,0))</f>
        <v>smosebyie@stanford.edu</v>
      </c>
      <c r="H664" s="2" t="str">
        <f>_xlfn.XLOOKUP(C664,customers!$A$1:$A$1001,customers!$G$1:$G$1001,,0)</f>
        <v>United States</v>
      </c>
      <c r="I664" t="str">
        <f>INDEX(products!$A$1:$G$49,MATCH(orders!$D664,products!$A$1:$A$49,0),MATCH(orders!I$1,products!$A$1:$G$1,0))</f>
        <v>Lib</v>
      </c>
      <c r="J664" t="str">
        <f>INDEX(products!$A$1:$G$49,MATCH(orders!$D664,products!$A$1:$A$49,0),MATCH(orders!J$1,products!$A$1:$G$1,0))</f>
        <v>D</v>
      </c>
      <c r="K664" s="7">
        <f>INDEX(products!$A$1:$G$49,MATCH(orders!$D664,products!$A$1:$A$49,0),MATCH(orders!K$1,products!$A$1:$G$1,0))</f>
        <v>2.5</v>
      </c>
      <c r="L664" s="4">
        <f>INDEX(products!$A$1:$G$49,MATCH(orders!$D664,products!$A$1:$A$49,0),MATCH(orders!L$1,products!$A$1:$G$1,0))</f>
        <v>29.784999999999997</v>
      </c>
      <c r="M664" s="4">
        <f t="shared" si="10"/>
        <v>148.92499999999998</v>
      </c>
      <c r="N664" t="str" cm="1">
        <f t="array" ref="N664">_xlfn.IFS(I664="Rob","Robusta",I664="Exc","Excelsa",I664="Ara","Arabica",I664="Lib","Liberica")</f>
        <v>Liberica</v>
      </c>
      <c r="O664" t="str" cm="1">
        <f t="array" ref="O664">_xlfn.IFS(J664="M","Medium",J664="L","Large",J664="D","Dark")</f>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_xlfn.XLOOKUP(C665,customers!$A$1:$A$1001,customers!$B$1:$B$1001,,0)</f>
        <v>Corrie Wass</v>
      </c>
      <c r="G665" s="2" t="str">
        <f>IF(_xlfn.XLOOKUP(C665,customers!$A$1:$A$1001,customers!$C$1:$C$1001,,0)=0,"",_xlfn.XLOOKUP(C665,customers!$A$1:$A$1001,customers!$C$1:$C$1001,,0))</f>
        <v>cwassif@prweb.com</v>
      </c>
      <c r="H665" s="2" t="str">
        <f>_xlfn.XLOOKUP(C665,customers!$A$1:$A$1001,customers!$G$1:$G$1001,,0)</f>
        <v>United States</v>
      </c>
      <c r="I665" t="str">
        <f>INDEX(products!$A$1:$G$49,MATCH(orders!$D665,products!$A$1:$A$49,0),MATCH(orders!I$1,products!$A$1:$G$1,0))</f>
        <v>Ara</v>
      </c>
      <c r="J665" t="str">
        <f>INDEX(products!$A$1:$G$49,MATCH(orders!$D665,products!$A$1:$A$49,0),MATCH(orders!J$1,products!$A$1:$G$1,0))</f>
        <v>M</v>
      </c>
      <c r="K665" s="7">
        <f>INDEX(products!$A$1:$G$49,MATCH(orders!$D665,products!$A$1:$A$49,0),MATCH(orders!K$1,products!$A$1:$G$1,0))</f>
        <v>1</v>
      </c>
      <c r="L665" s="4">
        <f>INDEX(products!$A$1:$G$49,MATCH(orders!$D665,products!$A$1:$A$49,0),MATCH(orders!L$1,products!$A$1:$G$1,0))</f>
        <v>11.25</v>
      </c>
      <c r="M665" s="4">
        <f t="shared" si="10"/>
        <v>67.5</v>
      </c>
      <c r="N665" t="str" cm="1">
        <f t="array" ref="N665">_xlfn.IFS(I665="Rob","Robusta",I665="Exc","Excelsa",I665="Ara","Arabica",I665="Lib","Liberica")</f>
        <v>Arabica</v>
      </c>
      <c r="O665" t="str" cm="1">
        <f t="array" ref="O665">_xlfn.IFS(J665="M","Medium",J665="L","Large",J665="D","Dark")</f>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_xlfn.XLOOKUP(C666,customers!$A$1:$A$1001,customers!$B$1:$B$1001,,0)</f>
        <v>Ira Sjostrom</v>
      </c>
      <c r="G666" s="2" t="str">
        <f>IF(_xlfn.XLOOKUP(C666,customers!$A$1:$A$1001,customers!$C$1:$C$1001,,0)=0,"",_xlfn.XLOOKUP(C666,customers!$A$1:$A$1001,customers!$C$1:$C$1001,,0))</f>
        <v>isjostromig@pbs.org</v>
      </c>
      <c r="H666" s="2" t="str">
        <f>_xlfn.XLOOKUP(C666,customers!$A$1:$A$1001,customers!$G$1:$G$1001,,0)</f>
        <v>United States</v>
      </c>
      <c r="I666" t="str">
        <f>INDEX(products!$A$1:$G$49,MATCH(orders!$D666,products!$A$1:$A$49,0),MATCH(orders!I$1,products!$A$1:$G$1,0))</f>
        <v>Exc</v>
      </c>
      <c r="J666" t="str">
        <f>INDEX(products!$A$1:$G$49,MATCH(orders!$D666,products!$A$1:$A$49,0),MATCH(orders!J$1,products!$A$1:$G$1,0))</f>
        <v>D</v>
      </c>
      <c r="K666" s="7">
        <f>INDEX(products!$A$1:$G$49,MATCH(orders!$D666,products!$A$1:$A$49,0),MATCH(orders!K$1,products!$A$1:$G$1,0))</f>
        <v>1</v>
      </c>
      <c r="L666" s="4">
        <f>INDEX(products!$A$1:$G$49,MATCH(orders!$D666,products!$A$1:$A$49,0),MATCH(orders!L$1,products!$A$1:$G$1,0))</f>
        <v>12.15</v>
      </c>
      <c r="M666" s="4">
        <f t="shared" si="10"/>
        <v>72.900000000000006</v>
      </c>
      <c r="N666" t="str" cm="1">
        <f t="array" ref="N666">_xlfn.IFS(I666="Rob","Robusta",I666="Exc","Excelsa",I666="Ara","Arabica",I666="Lib","Liberica")</f>
        <v>Excelsa</v>
      </c>
      <c r="O666" t="str" cm="1">
        <f t="array" ref="O666">_xlfn.IFS(J666="M","Medium",J666="L","Large",J666="D","Dark")</f>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_xlfn.XLOOKUP(C667,customers!$A$1:$A$1001,customers!$B$1:$B$1001,,0)</f>
        <v>Ira Sjostrom</v>
      </c>
      <c r="G667" s="2" t="str">
        <f>IF(_xlfn.XLOOKUP(C667,customers!$A$1:$A$1001,customers!$C$1:$C$1001,,0)=0,"",_xlfn.XLOOKUP(C667,customers!$A$1:$A$1001,customers!$C$1:$C$1001,,0))</f>
        <v>isjostromig@pbs.org</v>
      </c>
      <c r="H667" s="2" t="str">
        <f>_xlfn.XLOOKUP(C667,customers!$A$1:$A$1001,customers!$G$1:$G$1001,,0)</f>
        <v>United States</v>
      </c>
      <c r="I667" t="str">
        <f>INDEX(products!$A$1:$G$49,MATCH(orders!$D667,products!$A$1:$A$49,0),MATCH(orders!I$1,products!$A$1:$G$1,0))</f>
        <v>Lib</v>
      </c>
      <c r="J667" t="str">
        <f>INDEX(products!$A$1:$G$49,MATCH(orders!$D667,products!$A$1:$A$49,0),MATCH(orders!J$1,products!$A$1:$G$1,0))</f>
        <v>D</v>
      </c>
      <c r="K667" s="7">
        <f>INDEX(products!$A$1:$G$49,MATCH(orders!$D667,products!$A$1:$A$49,0),MATCH(orders!K$1,products!$A$1:$G$1,0))</f>
        <v>0.2</v>
      </c>
      <c r="L667" s="4">
        <f>INDEX(products!$A$1:$G$49,MATCH(orders!$D667,products!$A$1:$A$49,0),MATCH(orders!L$1,products!$A$1:$G$1,0))</f>
        <v>3.8849999999999998</v>
      </c>
      <c r="M667" s="4">
        <f t="shared" si="10"/>
        <v>7.77</v>
      </c>
      <c r="N667" t="str" cm="1">
        <f t="array" ref="N667">_xlfn.IFS(I667="Rob","Robusta",I667="Exc","Excelsa",I667="Ara","Arabica",I667="Lib","Liberica")</f>
        <v>Liberica</v>
      </c>
      <c r="O667" t="str" cm="1">
        <f t="array" ref="O667">_xlfn.IFS(J667="M","Medium",J667="L","Large",J667="D","Dark")</f>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_xlfn.XLOOKUP(C668,customers!$A$1:$A$1001,customers!$B$1:$B$1001,,0)</f>
        <v>Jermaine Branchett</v>
      </c>
      <c r="G668" s="2" t="str">
        <f>IF(_xlfn.XLOOKUP(C668,customers!$A$1:$A$1001,customers!$C$1:$C$1001,,0)=0,"",_xlfn.XLOOKUP(C668,customers!$A$1:$A$1001,customers!$C$1:$C$1001,,0))</f>
        <v>jbranchettii@bravesites.com</v>
      </c>
      <c r="H668" s="2" t="str">
        <f>_xlfn.XLOOKUP(C668,customers!$A$1:$A$1001,customers!$G$1:$G$1001,,0)</f>
        <v>United States</v>
      </c>
      <c r="I668" t="str">
        <f>INDEX(products!$A$1:$G$49,MATCH(orders!$D668,products!$A$1:$A$49,0),MATCH(orders!I$1,products!$A$1:$G$1,0))</f>
        <v>Ara</v>
      </c>
      <c r="J668" t="str">
        <f>INDEX(products!$A$1:$G$49,MATCH(orders!$D668,products!$A$1:$A$49,0),MATCH(orders!J$1,products!$A$1:$G$1,0))</f>
        <v>D</v>
      </c>
      <c r="K668" s="7">
        <f>INDEX(products!$A$1:$G$49,MATCH(orders!$D668,products!$A$1:$A$49,0),MATCH(orders!K$1,products!$A$1:$G$1,0))</f>
        <v>2.5</v>
      </c>
      <c r="L668" s="4">
        <f>INDEX(products!$A$1:$G$49,MATCH(orders!$D668,products!$A$1:$A$49,0),MATCH(orders!L$1,products!$A$1:$G$1,0))</f>
        <v>22.884999999999998</v>
      </c>
      <c r="M668" s="4">
        <f t="shared" si="10"/>
        <v>91.539999999999992</v>
      </c>
      <c r="N668" t="str" cm="1">
        <f t="array" ref="N668">_xlfn.IFS(I668="Rob","Robusta",I668="Exc","Excelsa",I668="Ara","Arabica",I668="Lib","Liberica")</f>
        <v>Arabica</v>
      </c>
      <c r="O668" t="str" cm="1">
        <f t="array" ref="O668">_xlfn.IFS(J668="M","Medium",J668="L","Large",J668="D","Dark")</f>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_xlfn.XLOOKUP(C669,customers!$A$1:$A$1001,customers!$B$1:$B$1001,,0)</f>
        <v>Nissie Rudland</v>
      </c>
      <c r="G669" s="2" t="str">
        <f>IF(_xlfn.XLOOKUP(C669,customers!$A$1:$A$1001,customers!$C$1:$C$1001,,0)=0,"",_xlfn.XLOOKUP(C669,customers!$A$1:$A$1001,customers!$C$1:$C$1001,,0))</f>
        <v>nrudlandij@blogs.com</v>
      </c>
      <c r="H669" s="2" t="str">
        <f>_xlfn.XLOOKUP(C669,customers!$A$1:$A$1001,customers!$G$1:$G$1001,,0)</f>
        <v>Ireland</v>
      </c>
      <c r="I669" t="str">
        <f>INDEX(products!$A$1:$G$49,MATCH(orders!$D669,products!$A$1:$A$49,0),MATCH(orders!I$1,products!$A$1:$G$1,0))</f>
        <v>Ara</v>
      </c>
      <c r="J669" t="str">
        <f>INDEX(products!$A$1:$G$49,MATCH(orders!$D669,products!$A$1:$A$49,0),MATCH(orders!J$1,products!$A$1:$G$1,0))</f>
        <v>D</v>
      </c>
      <c r="K669" s="7">
        <f>INDEX(products!$A$1:$G$49,MATCH(orders!$D669,products!$A$1:$A$49,0),MATCH(orders!K$1,products!$A$1:$G$1,0))</f>
        <v>1</v>
      </c>
      <c r="L669" s="4">
        <f>INDEX(products!$A$1:$G$49,MATCH(orders!$D669,products!$A$1:$A$49,0),MATCH(orders!L$1,products!$A$1:$G$1,0))</f>
        <v>9.9499999999999993</v>
      </c>
      <c r="M669" s="4">
        <f t="shared" si="10"/>
        <v>59.699999999999996</v>
      </c>
      <c r="N669" t="str" cm="1">
        <f t="array" ref="N669">_xlfn.IFS(I669="Rob","Robusta",I669="Exc","Excelsa",I669="Ara","Arabica",I669="Lib","Liberica")</f>
        <v>Arabica</v>
      </c>
      <c r="O669" t="str" cm="1">
        <f t="array" ref="O669">_xlfn.IFS(J669="M","Medium",J669="L","Large",J669="D","Dark")</f>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_xlfn.XLOOKUP(C670,customers!$A$1:$A$1001,customers!$B$1:$B$1001,,0)</f>
        <v>Janella Millett</v>
      </c>
      <c r="G670" s="2" t="str">
        <f>IF(_xlfn.XLOOKUP(C670,customers!$A$1:$A$1001,customers!$C$1:$C$1001,,0)=0,"",_xlfn.XLOOKUP(C670,customers!$A$1:$A$1001,customers!$C$1:$C$1001,,0))</f>
        <v>jmillettik@addtoany.com</v>
      </c>
      <c r="H670" s="2" t="str">
        <f>_xlfn.XLOOKUP(C670,customers!$A$1:$A$1001,customers!$G$1:$G$1001,,0)</f>
        <v>United States</v>
      </c>
      <c r="I670" t="str">
        <f>INDEX(products!$A$1:$G$49,MATCH(orders!$D670,products!$A$1:$A$49,0),MATCH(orders!I$1,products!$A$1:$G$1,0))</f>
        <v>Rob</v>
      </c>
      <c r="J670" t="str">
        <f>INDEX(products!$A$1:$G$49,MATCH(orders!$D670,products!$A$1:$A$49,0),MATCH(orders!J$1,products!$A$1:$G$1,0))</f>
        <v>L</v>
      </c>
      <c r="K670" s="7">
        <f>INDEX(products!$A$1:$G$49,MATCH(orders!$D670,products!$A$1:$A$49,0),MATCH(orders!K$1,products!$A$1:$G$1,0))</f>
        <v>2.5</v>
      </c>
      <c r="L670" s="4">
        <f>INDEX(products!$A$1:$G$49,MATCH(orders!$D670,products!$A$1:$A$49,0),MATCH(orders!L$1,products!$A$1:$G$1,0))</f>
        <v>27.484999999999996</v>
      </c>
      <c r="M670" s="4">
        <f t="shared" si="10"/>
        <v>137.42499999999998</v>
      </c>
      <c r="N670" t="str" cm="1">
        <f t="array" ref="N670">_xlfn.IFS(I670="Rob","Robusta",I670="Exc","Excelsa",I670="Ara","Arabica",I670="Lib","Liberica")</f>
        <v>Robusta</v>
      </c>
      <c r="O670" t="str" cm="1">
        <f t="array" ref="O670">_xlfn.IFS(J670="M","Medium",J670="L","Large",J670="D","Dark")</f>
        <v>Large</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_xlfn.XLOOKUP(C671,customers!$A$1:$A$1001,customers!$B$1:$B$1001,,0)</f>
        <v>Ferdie Tourry</v>
      </c>
      <c r="G671" s="2" t="str">
        <f>IF(_xlfn.XLOOKUP(C671,customers!$A$1:$A$1001,customers!$C$1:$C$1001,,0)=0,"",_xlfn.XLOOKUP(C671,customers!$A$1:$A$1001,customers!$C$1:$C$1001,,0))</f>
        <v>ftourryil@google.de</v>
      </c>
      <c r="H671" s="2" t="str">
        <f>_xlfn.XLOOKUP(C671,customers!$A$1:$A$1001,customers!$G$1:$G$1001,,0)</f>
        <v>United States</v>
      </c>
      <c r="I671" t="str">
        <f>INDEX(products!$A$1:$G$49,MATCH(orders!$D671,products!$A$1:$A$49,0),MATCH(orders!I$1,products!$A$1:$G$1,0))</f>
        <v>Lib</v>
      </c>
      <c r="J671" t="str">
        <f>INDEX(products!$A$1:$G$49,MATCH(orders!$D671,products!$A$1:$A$49,0),MATCH(orders!J$1,products!$A$1:$G$1,0))</f>
        <v>M</v>
      </c>
      <c r="K671" s="7">
        <f>INDEX(products!$A$1:$G$49,MATCH(orders!$D671,products!$A$1:$A$49,0),MATCH(orders!K$1,products!$A$1:$G$1,0))</f>
        <v>2.5</v>
      </c>
      <c r="L671" s="4">
        <f>INDEX(products!$A$1:$G$49,MATCH(orders!$D671,products!$A$1:$A$49,0),MATCH(orders!L$1,products!$A$1:$G$1,0))</f>
        <v>33.464999999999996</v>
      </c>
      <c r="M671" s="4">
        <f t="shared" si="10"/>
        <v>66.929999999999993</v>
      </c>
      <c r="N671" t="str" cm="1">
        <f t="array" ref="N671">_xlfn.IFS(I671="Rob","Robusta",I671="Exc","Excelsa",I671="Ara","Arabica",I671="Lib","Liberica")</f>
        <v>Liberica</v>
      </c>
      <c r="O671" t="str" cm="1">
        <f t="array" ref="O671">_xlfn.IFS(J671="M","Medium",J671="L","Large",J671="D","Dark")</f>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_xlfn.XLOOKUP(C672,customers!$A$1:$A$1001,customers!$B$1:$B$1001,,0)</f>
        <v>Cecil Weatherall</v>
      </c>
      <c r="G672" s="2" t="str">
        <f>IF(_xlfn.XLOOKUP(C672,customers!$A$1:$A$1001,customers!$C$1:$C$1001,,0)=0,"",_xlfn.XLOOKUP(C672,customers!$A$1:$A$1001,customers!$C$1:$C$1001,,0))</f>
        <v>cweatherallim@toplist.cz</v>
      </c>
      <c r="H672" s="2" t="str">
        <f>_xlfn.XLOOKUP(C672,customers!$A$1:$A$1001,customers!$G$1:$G$1001,,0)</f>
        <v>United States</v>
      </c>
      <c r="I672" t="str">
        <f>INDEX(products!$A$1:$G$49,MATCH(orders!$D672,products!$A$1:$A$49,0),MATCH(orders!I$1,products!$A$1:$G$1,0))</f>
        <v>Lib</v>
      </c>
      <c r="J672" t="str">
        <f>INDEX(products!$A$1:$G$49,MATCH(orders!$D672,products!$A$1:$A$49,0),MATCH(orders!J$1,products!$A$1:$G$1,0))</f>
        <v>M</v>
      </c>
      <c r="K672" s="7">
        <f>INDEX(products!$A$1:$G$49,MATCH(orders!$D672,products!$A$1:$A$49,0),MATCH(orders!K$1,products!$A$1:$G$1,0))</f>
        <v>0.2</v>
      </c>
      <c r="L672" s="4">
        <f>INDEX(products!$A$1:$G$49,MATCH(orders!$D672,products!$A$1:$A$49,0),MATCH(orders!L$1,products!$A$1:$G$1,0))</f>
        <v>4.3650000000000002</v>
      </c>
      <c r="M672" s="4">
        <f t="shared" si="10"/>
        <v>13.095000000000001</v>
      </c>
      <c r="N672" t="str" cm="1">
        <f t="array" ref="N672">_xlfn.IFS(I672="Rob","Robusta",I672="Exc","Excelsa",I672="Ara","Arabica",I672="Lib","Liberica")</f>
        <v>Liberica</v>
      </c>
      <c r="O672" t="str" cm="1">
        <f t="array" ref="O672">_xlfn.IFS(J672="M","Medium",J672="L","Large",J672="D","Dark")</f>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_xlfn.XLOOKUP(C673,customers!$A$1:$A$1001,customers!$B$1:$B$1001,,0)</f>
        <v>Gale Heindrick</v>
      </c>
      <c r="G673" s="2" t="str">
        <f>IF(_xlfn.XLOOKUP(C673,customers!$A$1:$A$1001,customers!$C$1:$C$1001,,0)=0,"",_xlfn.XLOOKUP(C673,customers!$A$1:$A$1001,customers!$C$1:$C$1001,,0))</f>
        <v>gheindrickin@usda.gov</v>
      </c>
      <c r="H673" s="2" t="str">
        <f>_xlfn.XLOOKUP(C673,customers!$A$1:$A$1001,customers!$G$1:$G$1001,,0)</f>
        <v>United States</v>
      </c>
      <c r="I673" t="str">
        <f>INDEX(products!$A$1:$G$49,MATCH(orders!$D673,products!$A$1:$A$49,0),MATCH(orders!I$1,products!$A$1:$G$1,0))</f>
        <v>Rob</v>
      </c>
      <c r="J673" t="str">
        <f>INDEX(products!$A$1:$G$49,MATCH(orders!$D673,products!$A$1:$A$49,0),MATCH(orders!J$1,products!$A$1:$G$1,0))</f>
        <v>L</v>
      </c>
      <c r="K673" s="7">
        <f>INDEX(products!$A$1:$G$49,MATCH(orders!$D673,products!$A$1:$A$49,0),MATCH(orders!K$1,products!$A$1:$G$1,0))</f>
        <v>1</v>
      </c>
      <c r="L673" s="4">
        <f>INDEX(products!$A$1:$G$49,MATCH(orders!$D673,products!$A$1:$A$49,0),MATCH(orders!L$1,products!$A$1:$G$1,0))</f>
        <v>11.95</v>
      </c>
      <c r="M673" s="4">
        <f t="shared" si="10"/>
        <v>59.75</v>
      </c>
      <c r="N673" t="str" cm="1">
        <f t="array" ref="N673">_xlfn.IFS(I673="Rob","Robusta",I673="Exc","Excelsa",I673="Ara","Arabica",I673="Lib","Liberica")</f>
        <v>Robusta</v>
      </c>
      <c r="O673" t="str" cm="1">
        <f t="array" ref="O673">_xlfn.IFS(J673="M","Medium",J673="L","Large",J673="D","Dark")</f>
        <v>Large</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_xlfn.XLOOKUP(C674,customers!$A$1:$A$1001,customers!$B$1:$B$1001,,0)</f>
        <v>Layne Imason</v>
      </c>
      <c r="G674" s="2" t="str">
        <f>IF(_xlfn.XLOOKUP(C674,customers!$A$1:$A$1001,customers!$C$1:$C$1001,,0)=0,"",_xlfn.XLOOKUP(C674,customers!$A$1:$A$1001,customers!$C$1:$C$1001,,0))</f>
        <v>limasonio@discuz.net</v>
      </c>
      <c r="H674" s="2" t="str">
        <f>_xlfn.XLOOKUP(C674,customers!$A$1:$A$1001,customers!$G$1:$G$1001,,0)</f>
        <v>United States</v>
      </c>
      <c r="I674" t="str">
        <f>INDEX(products!$A$1:$G$49,MATCH(orders!$D674,products!$A$1:$A$49,0),MATCH(orders!I$1,products!$A$1:$G$1,0))</f>
        <v>Lib</v>
      </c>
      <c r="J674" t="str">
        <f>INDEX(products!$A$1:$G$49,MATCH(orders!$D674,products!$A$1:$A$49,0),MATCH(orders!J$1,products!$A$1:$G$1,0))</f>
        <v>M</v>
      </c>
      <c r="K674" s="7">
        <f>INDEX(products!$A$1:$G$49,MATCH(orders!$D674,products!$A$1:$A$49,0),MATCH(orders!K$1,products!$A$1:$G$1,0))</f>
        <v>0.5</v>
      </c>
      <c r="L674" s="4">
        <f>INDEX(products!$A$1:$G$49,MATCH(orders!$D674,products!$A$1:$A$49,0),MATCH(orders!L$1,products!$A$1:$G$1,0))</f>
        <v>8.73</v>
      </c>
      <c r="M674" s="4">
        <f t="shared" si="10"/>
        <v>43.650000000000006</v>
      </c>
      <c r="N674" t="str" cm="1">
        <f t="array" ref="N674">_xlfn.IFS(I674="Rob","Robusta",I674="Exc","Excelsa",I674="Ara","Arabica",I674="Lib","Liberica")</f>
        <v>Liberica</v>
      </c>
      <c r="O674" t="str" cm="1">
        <f t="array" ref="O674">_xlfn.IFS(J674="M","Medium",J674="L","Large",J674="D","Dark")</f>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_xlfn.XLOOKUP(C675,customers!$A$1:$A$1001,customers!$B$1:$B$1001,,0)</f>
        <v>Hazel Saill</v>
      </c>
      <c r="G675" s="2" t="str">
        <f>IF(_xlfn.XLOOKUP(C675,customers!$A$1:$A$1001,customers!$C$1:$C$1001,,0)=0,"",_xlfn.XLOOKUP(C675,customers!$A$1:$A$1001,customers!$C$1:$C$1001,,0))</f>
        <v>hsaillip@odnoklassniki.ru</v>
      </c>
      <c r="H675" s="2" t="str">
        <f>_xlfn.XLOOKUP(C675,customers!$A$1:$A$1001,customers!$G$1:$G$1001,,0)</f>
        <v>United States</v>
      </c>
      <c r="I675" t="str">
        <f>INDEX(products!$A$1:$G$49,MATCH(orders!$D675,products!$A$1:$A$49,0),MATCH(orders!I$1,products!$A$1:$G$1,0))</f>
        <v>Exc</v>
      </c>
      <c r="J675" t="str">
        <f>INDEX(products!$A$1:$G$49,MATCH(orders!$D675,products!$A$1:$A$49,0),MATCH(orders!J$1,products!$A$1:$G$1,0))</f>
        <v>M</v>
      </c>
      <c r="K675" s="7">
        <f>INDEX(products!$A$1:$G$49,MATCH(orders!$D675,products!$A$1:$A$49,0),MATCH(orders!K$1,products!$A$1:$G$1,0))</f>
        <v>1</v>
      </c>
      <c r="L675" s="4">
        <f>INDEX(products!$A$1:$G$49,MATCH(orders!$D675,products!$A$1:$A$49,0),MATCH(orders!L$1,products!$A$1:$G$1,0))</f>
        <v>13.75</v>
      </c>
      <c r="M675" s="4">
        <f t="shared" si="10"/>
        <v>82.5</v>
      </c>
      <c r="N675" t="str" cm="1">
        <f t="array" ref="N675">_xlfn.IFS(I675="Rob","Robusta",I675="Exc","Excelsa",I675="Ara","Arabica",I675="Lib","Liberica")</f>
        <v>Excelsa</v>
      </c>
      <c r="O675" t="str" cm="1">
        <f t="array" ref="O675">_xlfn.IFS(J675="M","Medium",J675="L","Large",J675="D","Dark")</f>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_xlfn.XLOOKUP(C676,customers!$A$1:$A$1001,customers!$B$1:$B$1001,,0)</f>
        <v>Hermann Larvor</v>
      </c>
      <c r="G676" s="2" t="str">
        <f>IF(_xlfn.XLOOKUP(C676,customers!$A$1:$A$1001,customers!$C$1:$C$1001,,0)=0,"",_xlfn.XLOOKUP(C676,customers!$A$1:$A$1001,customers!$C$1:$C$1001,,0))</f>
        <v>hlarvoriq@last.fm</v>
      </c>
      <c r="H676" s="2" t="str">
        <f>_xlfn.XLOOKUP(C676,customers!$A$1:$A$1001,customers!$G$1:$G$1001,,0)</f>
        <v>United States</v>
      </c>
      <c r="I676" t="str">
        <f>INDEX(products!$A$1:$G$49,MATCH(orders!$D676,products!$A$1:$A$49,0),MATCH(orders!I$1,products!$A$1:$G$1,0))</f>
        <v>Ara</v>
      </c>
      <c r="J676" t="str">
        <f>INDEX(products!$A$1:$G$49,MATCH(orders!$D676,products!$A$1:$A$49,0),MATCH(orders!J$1,products!$A$1:$G$1,0))</f>
        <v>L</v>
      </c>
      <c r="K676" s="7">
        <f>INDEX(products!$A$1:$G$49,MATCH(orders!$D676,products!$A$1:$A$49,0),MATCH(orders!K$1,products!$A$1:$G$1,0))</f>
        <v>2.5</v>
      </c>
      <c r="L676" s="4">
        <f>INDEX(products!$A$1:$G$49,MATCH(orders!$D676,products!$A$1:$A$49,0),MATCH(orders!L$1,products!$A$1:$G$1,0))</f>
        <v>29.784999999999997</v>
      </c>
      <c r="M676" s="4">
        <f t="shared" si="10"/>
        <v>178.70999999999998</v>
      </c>
      <c r="N676" t="str" cm="1">
        <f t="array" ref="N676">_xlfn.IFS(I676="Rob","Robusta",I676="Exc","Excelsa",I676="Ara","Arabica",I676="Lib","Liberica")</f>
        <v>Arabica</v>
      </c>
      <c r="O676" t="str" cm="1">
        <f t="array" ref="O676">_xlfn.IFS(J676="M","Medium",J676="L","Large",J676="D","Dark")</f>
        <v>Large</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_xlfn.XLOOKUP(C677,customers!$A$1:$A$1001,customers!$B$1:$B$1001,,0)</f>
        <v>Terri Lyford</v>
      </c>
      <c r="G677" s="2" t="str">
        <f>IF(_xlfn.XLOOKUP(C677,customers!$A$1:$A$1001,customers!$C$1:$C$1001,,0)=0,"",_xlfn.XLOOKUP(C677,customers!$A$1:$A$1001,customers!$C$1:$C$1001,,0))</f>
        <v/>
      </c>
      <c r="H677" s="2" t="str">
        <f>_xlfn.XLOOKUP(C677,customers!$A$1:$A$1001,customers!$G$1:$G$1001,,0)</f>
        <v>United States</v>
      </c>
      <c r="I677" t="str">
        <f>INDEX(products!$A$1:$G$49,MATCH(orders!$D677,products!$A$1:$A$49,0),MATCH(orders!I$1,products!$A$1:$G$1,0))</f>
        <v>Lib</v>
      </c>
      <c r="J677" t="str">
        <f>INDEX(products!$A$1:$G$49,MATCH(orders!$D677,products!$A$1:$A$49,0),MATCH(orders!J$1,products!$A$1:$G$1,0))</f>
        <v>D</v>
      </c>
      <c r="K677" s="7">
        <f>INDEX(products!$A$1:$G$49,MATCH(orders!$D677,products!$A$1:$A$49,0),MATCH(orders!K$1,products!$A$1:$G$1,0))</f>
        <v>2.5</v>
      </c>
      <c r="L677" s="4">
        <f>INDEX(products!$A$1:$G$49,MATCH(orders!$D677,products!$A$1:$A$49,0),MATCH(orders!L$1,products!$A$1:$G$1,0))</f>
        <v>29.784999999999997</v>
      </c>
      <c r="M677" s="4">
        <f t="shared" si="10"/>
        <v>119.13999999999999</v>
      </c>
      <c r="N677" t="str" cm="1">
        <f t="array" ref="N677">_xlfn.IFS(I677="Rob","Robusta",I677="Exc","Excelsa",I677="Ara","Arabica",I677="Lib","Liberica")</f>
        <v>Liberica</v>
      </c>
      <c r="O677" t="str" cm="1">
        <f t="array" ref="O677">_xlfn.IFS(J677="M","Medium",J677="L","Large",J677="D","Dark")</f>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_xlfn.XLOOKUP(C678,customers!$A$1:$A$1001,customers!$B$1:$B$1001,,0)</f>
        <v>Gabey Cogan</v>
      </c>
      <c r="G678" s="2" t="str">
        <f>IF(_xlfn.XLOOKUP(C678,customers!$A$1:$A$1001,customers!$C$1:$C$1001,,0)=0,"",_xlfn.XLOOKUP(C678,customers!$A$1:$A$1001,customers!$C$1:$C$1001,,0))</f>
        <v/>
      </c>
      <c r="H678" s="2" t="str">
        <f>_xlfn.XLOOKUP(C678,customers!$A$1:$A$1001,customers!$G$1:$G$1001,,0)</f>
        <v>United States</v>
      </c>
      <c r="I678" t="str">
        <f>INDEX(products!$A$1:$G$49,MATCH(orders!$D678,products!$A$1:$A$49,0),MATCH(orders!I$1,products!$A$1:$G$1,0))</f>
        <v>Lib</v>
      </c>
      <c r="J678" t="str">
        <f>INDEX(products!$A$1:$G$49,MATCH(orders!$D678,products!$A$1:$A$49,0),MATCH(orders!J$1,products!$A$1:$G$1,0))</f>
        <v>L</v>
      </c>
      <c r="K678" s="7">
        <f>INDEX(products!$A$1:$G$49,MATCH(orders!$D678,products!$A$1:$A$49,0),MATCH(orders!K$1,products!$A$1:$G$1,0))</f>
        <v>0.5</v>
      </c>
      <c r="L678" s="4">
        <f>INDEX(products!$A$1:$G$49,MATCH(orders!$D678,products!$A$1:$A$49,0),MATCH(orders!L$1,products!$A$1:$G$1,0))</f>
        <v>9.51</v>
      </c>
      <c r="M678" s="4">
        <f t="shared" si="10"/>
        <v>47.55</v>
      </c>
      <c r="N678" t="str" cm="1">
        <f t="array" ref="N678">_xlfn.IFS(I678="Rob","Robusta",I678="Exc","Excelsa",I678="Ara","Arabica",I678="Lib","Liberica")</f>
        <v>Liberica</v>
      </c>
      <c r="O678" t="str" cm="1">
        <f t="array" ref="O678">_xlfn.IFS(J678="M","Medium",J678="L","Large",J678="D","Dark")</f>
        <v>Large</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_xlfn.XLOOKUP(C679,customers!$A$1:$A$1001,customers!$B$1:$B$1001,,0)</f>
        <v>Charin Penwarden</v>
      </c>
      <c r="G679" s="2" t="str">
        <f>IF(_xlfn.XLOOKUP(C679,customers!$A$1:$A$1001,customers!$C$1:$C$1001,,0)=0,"",_xlfn.XLOOKUP(C679,customers!$A$1:$A$1001,customers!$C$1:$C$1001,,0))</f>
        <v>cpenwardenit@mlb.com</v>
      </c>
      <c r="H679" s="2" t="str">
        <f>_xlfn.XLOOKUP(C679,customers!$A$1:$A$1001,customers!$G$1:$G$1001,,0)</f>
        <v>Ireland</v>
      </c>
      <c r="I679" t="str">
        <f>INDEX(products!$A$1:$G$49,MATCH(orders!$D679,products!$A$1:$A$49,0),MATCH(orders!I$1,products!$A$1:$G$1,0))</f>
        <v>Lib</v>
      </c>
      <c r="J679" t="str">
        <f>INDEX(products!$A$1:$G$49,MATCH(orders!$D679,products!$A$1:$A$49,0),MATCH(orders!J$1,products!$A$1:$G$1,0))</f>
        <v>M</v>
      </c>
      <c r="K679" s="7">
        <f>INDEX(products!$A$1:$G$49,MATCH(orders!$D679,products!$A$1:$A$49,0),MATCH(orders!K$1,products!$A$1:$G$1,0))</f>
        <v>0.5</v>
      </c>
      <c r="L679" s="4">
        <f>INDEX(products!$A$1:$G$49,MATCH(orders!$D679,products!$A$1:$A$49,0),MATCH(orders!L$1,products!$A$1:$G$1,0))</f>
        <v>8.73</v>
      </c>
      <c r="M679" s="4">
        <f t="shared" si="10"/>
        <v>43.650000000000006</v>
      </c>
      <c r="N679" t="str" cm="1">
        <f t="array" ref="N679">_xlfn.IFS(I679="Rob","Robusta",I679="Exc","Excelsa",I679="Ara","Arabica",I679="Lib","Liberica")</f>
        <v>Liberica</v>
      </c>
      <c r="O679" t="str" cm="1">
        <f t="array" ref="O679">_xlfn.IFS(J679="M","Medium",J679="L","Large",J679="D","Dark")</f>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_xlfn.XLOOKUP(C680,customers!$A$1:$A$1001,customers!$B$1:$B$1001,,0)</f>
        <v>Milty Middis</v>
      </c>
      <c r="G680" s="2" t="str">
        <f>IF(_xlfn.XLOOKUP(C680,customers!$A$1:$A$1001,customers!$C$1:$C$1001,,0)=0,"",_xlfn.XLOOKUP(C680,customers!$A$1:$A$1001,customers!$C$1:$C$1001,,0))</f>
        <v>mmiddisiu@dmoz.org</v>
      </c>
      <c r="H680" s="2" t="str">
        <f>_xlfn.XLOOKUP(C680,customers!$A$1:$A$1001,customers!$G$1:$G$1001,,0)</f>
        <v>United States</v>
      </c>
      <c r="I680" t="str">
        <f>INDEX(products!$A$1:$G$49,MATCH(orders!$D680,products!$A$1:$A$49,0),MATCH(orders!I$1,products!$A$1:$G$1,0))</f>
        <v>Ara</v>
      </c>
      <c r="J680" t="str">
        <f>INDEX(products!$A$1:$G$49,MATCH(orders!$D680,products!$A$1:$A$49,0),MATCH(orders!J$1,products!$A$1:$G$1,0))</f>
        <v>L</v>
      </c>
      <c r="K680" s="7">
        <f>INDEX(products!$A$1:$G$49,MATCH(orders!$D680,products!$A$1:$A$49,0),MATCH(orders!K$1,products!$A$1:$G$1,0))</f>
        <v>2.5</v>
      </c>
      <c r="L680" s="4">
        <f>INDEX(products!$A$1:$G$49,MATCH(orders!$D680,products!$A$1:$A$49,0),MATCH(orders!L$1,products!$A$1:$G$1,0))</f>
        <v>29.784999999999997</v>
      </c>
      <c r="M680" s="4">
        <f t="shared" si="10"/>
        <v>178.70999999999998</v>
      </c>
      <c r="N680" t="str" cm="1">
        <f t="array" ref="N680">_xlfn.IFS(I680="Rob","Robusta",I680="Exc","Excelsa",I680="Ara","Arabica",I680="Lib","Liberica")</f>
        <v>Arabica</v>
      </c>
      <c r="O680" t="str" cm="1">
        <f t="array" ref="O680">_xlfn.IFS(J680="M","Medium",J680="L","Large",J680="D","Dark")</f>
        <v>Large</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_xlfn.XLOOKUP(C681,customers!$A$1:$A$1001,customers!$B$1:$B$1001,,0)</f>
        <v>Adrianne Vairow</v>
      </c>
      <c r="G681" s="2" t="str">
        <f>IF(_xlfn.XLOOKUP(C681,customers!$A$1:$A$1001,customers!$C$1:$C$1001,,0)=0,"",_xlfn.XLOOKUP(C681,customers!$A$1:$A$1001,customers!$C$1:$C$1001,,0))</f>
        <v>avairowiv@studiopress.com</v>
      </c>
      <c r="H681" s="2" t="str">
        <f>_xlfn.XLOOKUP(C681,customers!$A$1:$A$1001,customers!$G$1:$G$1001,,0)</f>
        <v>United Kingdom</v>
      </c>
      <c r="I681" t="str">
        <f>INDEX(products!$A$1:$G$49,MATCH(orders!$D681,products!$A$1:$A$49,0),MATCH(orders!I$1,products!$A$1:$G$1,0))</f>
        <v>Rob</v>
      </c>
      <c r="J681" t="str">
        <f>INDEX(products!$A$1:$G$49,MATCH(orders!$D681,products!$A$1:$A$49,0),MATCH(orders!J$1,products!$A$1:$G$1,0))</f>
        <v>L</v>
      </c>
      <c r="K681" s="7">
        <f>INDEX(products!$A$1:$G$49,MATCH(orders!$D681,products!$A$1:$A$49,0),MATCH(orders!K$1,products!$A$1:$G$1,0))</f>
        <v>2.5</v>
      </c>
      <c r="L681" s="4">
        <f>INDEX(products!$A$1:$G$49,MATCH(orders!$D681,products!$A$1:$A$49,0),MATCH(orders!L$1,products!$A$1:$G$1,0))</f>
        <v>27.484999999999996</v>
      </c>
      <c r="M681" s="4">
        <f t="shared" si="10"/>
        <v>27.484999999999996</v>
      </c>
      <c r="N681" t="str" cm="1">
        <f t="array" ref="N681">_xlfn.IFS(I681="Rob","Robusta",I681="Exc","Excelsa",I681="Ara","Arabica",I681="Lib","Liberica")</f>
        <v>Robusta</v>
      </c>
      <c r="O681" t="str" cm="1">
        <f t="array" ref="O681">_xlfn.IFS(J681="M","Medium",J681="L","Large",J681="D","Dark")</f>
        <v>Large</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_xlfn.XLOOKUP(C682,customers!$A$1:$A$1001,customers!$B$1:$B$1001,,0)</f>
        <v>Anjanette Goldie</v>
      </c>
      <c r="G682" s="2" t="str">
        <f>IF(_xlfn.XLOOKUP(C682,customers!$A$1:$A$1001,customers!$C$1:$C$1001,,0)=0,"",_xlfn.XLOOKUP(C682,customers!$A$1:$A$1001,customers!$C$1:$C$1001,,0))</f>
        <v>agoldieiw@goo.gl</v>
      </c>
      <c r="H682" s="2" t="str">
        <f>_xlfn.XLOOKUP(C682,customers!$A$1:$A$1001,customers!$G$1:$G$1001,,0)</f>
        <v>United States</v>
      </c>
      <c r="I682" t="str">
        <f>INDEX(products!$A$1:$G$49,MATCH(orders!$D682,products!$A$1:$A$49,0),MATCH(orders!I$1,products!$A$1:$G$1,0))</f>
        <v>Ara</v>
      </c>
      <c r="J682" t="str">
        <f>INDEX(products!$A$1:$G$49,MATCH(orders!$D682,products!$A$1:$A$49,0),MATCH(orders!J$1,products!$A$1:$G$1,0))</f>
        <v>M</v>
      </c>
      <c r="K682" s="7">
        <f>INDEX(products!$A$1:$G$49,MATCH(orders!$D682,products!$A$1:$A$49,0),MATCH(orders!K$1,products!$A$1:$G$1,0))</f>
        <v>1</v>
      </c>
      <c r="L682" s="4">
        <f>INDEX(products!$A$1:$G$49,MATCH(orders!$D682,products!$A$1:$A$49,0),MATCH(orders!L$1,products!$A$1:$G$1,0))</f>
        <v>11.25</v>
      </c>
      <c r="M682" s="4">
        <f t="shared" si="10"/>
        <v>56.25</v>
      </c>
      <c r="N682" t="str" cm="1">
        <f t="array" ref="N682">_xlfn.IFS(I682="Rob","Robusta",I682="Exc","Excelsa",I682="Ara","Arabica",I682="Lib","Liberica")</f>
        <v>Arabica</v>
      </c>
      <c r="O682" t="str" cm="1">
        <f t="array" ref="O682">_xlfn.IFS(J682="M","Medium",J682="L","Large",J682="D","Dark")</f>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_xlfn.XLOOKUP(C683,customers!$A$1:$A$1001,customers!$B$1:$B$1001,,0)</f>
        <v>Nicky Ayris</v>
      </c>
      <c r="G683" s="2" t="str">
        <f>IF(_xlfn.XLOOKUP(C683,customers!$A$1:$A$1001,customers!$C$1:$C$1001,,0)=0,"",_xlfn.XLOOKUP(C683,customers!$A$1:$A$1001,customers!$C$1:$C$1001,,0))</f>
        <v>nayrisix@t-online.de</v>
      </c>
      <c r="H683" s="2" t="str">
        <f>_xlfn.XLOOKUP(C683,customers!$A$1:$A$1001,customers!$G$1:$G$1001,,0)</f>
        <v>United Kingdom</v>
      </c>
      <c r="I683" t="str">
        <f>INDEX(products!$A$1:$G$49,MATCH(orders!$D683,products!$A$1:$A$49,0),MATCH(orders!I$1,products!$A$1:$G$1,0))</f>
        <v>Lib</v>
      </c>
      <c r="J683" t="str">
        <f>INDEX(products!$A$1:$G$49,MATCH(orders!$D683,products!$A$1:$A$49,0),MATCH(orders!J$1,products!$A$1:$G$1,0))</f>
        <v>L</v>
      </c>
      <c r="K683" s="7">
        <f>INDEX(products!$A$1:$G$49,MATCH(orders!$D683,products!$A$1:$A$49,0),MATCH(orders!K$1,products!$A$1:$G$1,0))</f>
        <v>0.2</v>
      </c>
      <c r="L683" s="4">
        <f>INDEX(products!$A$1:$G$49,MATCH(orders!$D683,products!$A$1:$A$49,0),MATCH(orders!L$1,products!$A$1:$G$1,0))</f>
        <v>4.7549999999999999</v>
      </c>
      <c r="M683" s="4">
        <f t="shared" si="10"/>
        <v>9.51</v>
      </c>
      <c r="N683" t="str" cm="1">
        <f t="array" ref="N683">_xlfn.IFS(I683="Rob","Robusta",I683="Exc","Excelsa",I683="Ara","Arabica",I683="Lib","Liberica")</f>
        <v>Liberica</v>
      </c>
      <c r="O683" t="str" cm="1">
        <f t="array" ref="O683">_xlfn.IFS(J683="M","Medium",J683="L","Large",J683="D","Dark")</f>
        <v>Large</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_xlfn.XLOOKUP(C684,customers!$A$1:$A$1001,customers!$B$1:$B$1001,,0)</f>
        <v>Laryssa Benediktovich</v>
      </c>
      <c r="G684" s="2" t="str">
        <f>IF(_xlfn.XLOOKUP(C684,customers!$A$1:$A$1001,customers!$C$1:$C$1001,,0)=0,"",_xlfn.XLOOKUP(C684,customers!$A$1:$A$1001,customers!$C$1:$C$1001,,0))</f>
        <v>lbenediktovichiy@wunderground.com</v>
      </c>
      <c r="H684" s="2" t="str">
        <f>_xlfn.XLOOKUP(C684,customers!$A$1:$A$1001,customers!$G$1:$G$1001,,0)</f>
        <v>United States</v>
      </c>
      <c r="I684" t="str">
        <f>INDEX(products!$A$1:$G$49,MATCH(orders!$D684,products!$A$1:$A$49,0),MATCH(orders!I$1,products!$A$1:$G$1,0))</f>
        <v>Exc</v>
      </c>
      <c r="J684" t="str">
        <f>INDEX(products!$A$1:$G$49,MATCH(orders!$D684,products!$A$1:$A$49,0),MATCH(orders!J$1,products!$A$1:$G$1,0))</f>
        <v>M</v>
      </c>
      <c r="K684" s="7">
        <f>INDEX(products!$A$1:$G$49,MATCH(orders!$D684,products!$A$1:$A$49,0),MATCH(orders!K$1,products!$A$1:$G$1,0))</f>
        <v>0.2</v>
      </c>
      <c r="L684" s="4">
        <f>INDEX(products!$A$1:$G$49,MATCH(orders!$D684,products!$A$1:$A$49,0),MATCH(orders!L$1,products!$A$1:$G$1,0))</f>
        <v>4.125</v>
      </c>
      <c r="M684" s="4">
        <f t="shared" si="10"/>
        <v>8.25</v>
      </c>
      <c r="N684" t="str" cm="1">
        <f t="array" ref="N684">_xlfn.IFS(I684="Rob","Robusta",I684="Exc","Excelsa",I684="Ara","Arabica",I684="Lib","Liberica")</f>
        <v>Excelsa</v>
      </c>
      <c r="O684" t="str" cm="1">
        <f t="array" ref="O684">_xlfn.IFS(J684="M","Medium",J684="L","Large",J684="D","Dark")</f>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_xlfn.XLOOKUP(C685,customers!$A$1:$A$1001,customers!$B$1:$B$1001,,0)</f>
        <v>Theo Jacobovitz</v>
      </c>
      <c r="G685" s="2" t="str">
        <f>IF(_xlfn.XLOOKUP(C685,customers!$A$1:$A$1001,customers!$C$1:$C$1001,,0)=0,"",_xlfn.XLOOKUP(C685,customers!$A$1:$A$1001,customers!$C$1:$C$1001,,0))</f>
        <v>tjacobovitziz@cbc.ca</v>
      </c>
      <c r="H685" s="2" t="str">
        <f>_xlfn.XLOOKUP(C685,customers!$A$1:$A$1001,customers!$G$1:$G$1001,,0)</f>
        <v>United States</v>
      </c>
      <c r="I685" t="str">
        <f>INDEX(products!$A$1:$G$49,MATCH(orders!$D685,products!$A$1:$A$49,0),MATCH(orders!I$1,products!$A$1:$G$1,0))</f>
        <v>Lib</v>
      </c>
      <c r="J685" t="str">
        <f>INDEX(products!$A$1:$G$49,MATCH(orders!$D685,products!$A$1:$A$49,0),MATCH(orders!J$1,products!$A$1:$G$1,0))</f>
        <v>D</v>
      </c>
      <c r="K685" s="7">
        <f>INDEX(products!$A$1:$G$49,MATCH(orders!$D685,products!$A$1:$A$49,0),MATCH(orders!K$1,products!$A$1:$G$1,0))</f>
        <v>0.5</v>
      </c>
      <c r="L685" s="4">
        <f>INDEX(products!$A$1:$G$49,MATCH(orders!$D685,products!$A$1:$A$49,0),MATCH(orders!L$1,products!$A$1:$G$1,0))</f>
        <v>7.77</v>
      </c>
      <c r="M685" s="4">
        <f t="shared" si="10"/>
        <v>46.62</v>
      </c>
      <c r="N685" t="str" cm="1">
        <f t="array" ref="N685">_xlfn.IFS(I685="Rob","Robusta",I685="Exc","Excelsa",I685="Ara","Arabica",I685="Lib","Liberica")</f>
        <v>Liberica</v>
      </c>
      <c r="O685" t="str" cm="1">
        <f t="array" ref="O685">_xlfn.IFS(J685="M","Medium",J685="L","Large",J685="D","Dark")</f>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_xlfn.XLOOKUP(C686,customers!$A$1:$A$1001,customers!$B$1:$B$1001,,0)</f>
        <v>Becca Ableson</v>
      </c>
      <c r="G686" s="2" t="str">
        <f>IF(_xlfn.XLOOKUP(C686,customers!$A$1:$A$1001,customers!$C$1:$C$1001,,0)=0,"",_xlfn.XLOOKUP(C686,customers!$A$1:$A$1001,customers!$C$1:$C$1001,,0))</f>
        <v/>
      </c>
      <c r="H686" s="2" t="str">
        <f>_xlfn.XLOOKUP(C686,customers!$A$1:$A$1001,customers!$G$1:$G$1001,,0)</f>
        <v>United States</v>
      </c>
      <c r="I686" t="str">
        <f>INDEX(products!$A$1:$G$49,MATCH(orders!$D686,products!$A$1:$A$49,0),MATCH(orders!I$1,products!$A$1:$G$1,0))</f>
        <v>Rob</v>
      </c>
      <c r="J686" t="str">
        <f>INDEX(products!$A$1:$G$49,MATCH(orders!$D686,products!$A$1:$A$49,0),MATCH(orders!J$1,products!$A$1:$G$1,0))</f>
        <v>L</v>
      </c>
      <c r="K686" s="7">
        <f>INDEX(products!$A$1:$G$49,MATCH(orders!$D686,products!$A$1:$A$49,0),MATCH(orders!K$1,products!$A$1:$G$1,0))</f>
        <v>1</v>
      </c>
      <c r="L686" s="4">
        <f>INDEX(products!$A$1:$G$49,MATCH(orders!$D686,products!$A$1:$A$49,0),MATCH(orders!L$1,products!$A$1:$G$1,0))</f>
        <v>11.95</v>
      </c>
      <c r="M686" s="4">
        <f t="shared" si="10"/>
        <v>71.699999999999989</v>
      </c>
      <c r="N686" t="str" cm="1">
        <f t="array" ref="N686">_xlfn.IFS(I686="Rob","Robusta",I686="Exc","Excelsa",I686="Ara","Arabica",I686="Lib","Liberica")</f>
        <v>Robusta</v>
      </c>
      <c r="O686" t="str" cm="1">
        <f t="array" ref="O686">_xlfn.IFS(J686="M","Medium",J686="L","Large",J686="D","Dark")</f>
        <v>Large</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_xlfn.XLOOKUP(C687,customers!$A$1:$A$1001,customers!$B$1:$B$1001,,0)</f>
        <v>Jeno Druitt</v>
      </c>
      <c r="G687" s="2" t="str">
        <f>IF(_xlfn.XLOOKUP(C687,customers!$A$1:$A$1001,customers!$C$1:$C$1001,,0)=0,"",_xlfn.XLOOKUP(C687,customers!$A$1:$A$1001,customers!$C$1:$C$1001,,0))</f>
        <v>jdruittj1@feedburner.com</v>
      </c>
      <c r="H687" s="2" t="str">
        <f>_xlfn.XLOOKUP(C687,customers!$A$1:$A$1001,customers!$G$1:$G$1001,,0)</f>
        <v>United States</v>
      </c>
      <c r="I687" t="str">
        <f>INDEX(products!$A$1:$G$49,MATCH(orders!$D687,products!$A$1:$A$49,0),MATCH(orders!I$1,products!$A$1:$G$1,0))</f>
        <v>Lib</v>
      </c>
      <c r="J687" t="str">
        <f>INDEX(products!$A$1:$G$49,MATCH(orders!$D687,products!$A$1:$A$49,0),MATCH(orders!J$1,products!$A$1:$G$1,0))</f>
        <v>L</v>
      </c>
      <c r="K687" s="7">
        <f>INDEX(products!$A$1:$G$49,MATCH(orders!$D687,products!$A$1:$A$49,0),MATCH(orders!K$1,products!$A$1:$G$1,0))</f>
        <v>2.5</v>
      </c>
      <c r="L687" s="4">
        <f>INDEX(products!$A$1:$G$49,MATCH(orders!$D687,products!$A$1:$A$49,0),MATCH(orders!L$1,products!$A$1:$G$1,0))</f>
        <v>36.454999999999998</v>
      </c>
      <c r="M687" s="4">
        <f t="shared" si="10"/>
        <v>72.91</v>
      </c>
      <c r="N687" t="str" cm="1">
        <f t="array" ref="N687">_xlfn.IFS(I687="Rob","Robusta",I687="Exc","Excelsa",I687="Ara","Arabica",I687="Lib","Liberica")</f>
        <v>Liberica</v>
      </c>
      <c r="O687" t="str" cm="1">
        <f t="array" ref="O687">_xlfn.IFS(J687="M","Medium",J687="L","Large",J687="D","Dark")</f>
        <v>Large</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_xlfn.XLOOKUP(C688,customers!$A$1:$A$1001,customers!$B$1:$B$1001,,0)</f>
        <v>Deonne Shortall</v>
      </c>
      <c r="G688" s="2" t="str">
        <f>IF(_xlfn.XLOOKUP(C688,customers!$A$1:$A$1001,customers!$C$1:$C$1001,,0)=0,"",_xlfn.XLOOKUP(C688,customers!$A$1:$A$1001,customers!$C$1:$C$1001,,0))</f>
        <v>dshortallj2@wikipedia.org</v>
      </c>
      <c r="H688" s="2" t="str">
        <f>_xlfn.XLOOKUP(C688,customers!$A$1:$A$1001,customers!$G$1:$G$1001,,0)</f>
        <v>United States</v>
      </c>
      <c r="I688" t="str">
        <f>INDEX(products!$A$1:$G$49,MATCH(orders!$D688,products!$A$1:$A$49,0),MATCH(orders!I$1,products!$A$1:$G$1,0))</f>
        <v>Rob</v>
      </c>
      <c r="J688" t="str">
        <f>INDEX(products!$A$1:$G$49,MATCH(orders!$D688,products!$A$1:$A$49,0),MATCH(orders!J$1,products!$A$1:$G$1,0))</f>
        <v>D</v>
      </c>
      <c r="K688" s="7">
        <f>INDEX(products!$A$1:$G$49,MATCH(orders!$D688,products!$A$1:$A$49,0),MATCH(orders!K$1,products!$A$1:$G$1,0))</f>
        <v>0.2</v>
      </c>
      <c r="L688" s="4">
        <f>INDEX(products!$A$1:$G$49,MATCH(orders!$D688,products!$A$1:$A$49,0),MATCH(orders!L$1,products!$A$1:$G$1,0))</f>
        <v>2.6849999999999996</v>
      </c>
      <c r="M688" s="4">
        <f t="shared" si="10"/>
        <v>8.0549999999999997</v>
      </c>
      <c r="N688" t="str" cm="1">
        <f t="array" ref="N688">_xlfn.IFS(I688="Rob","Robusta",I688="Exc","Excelsa",I688="Ara","Arabica",I688="Lib","Liberica")</f>
        <v>Robusta</v>
      </c>
      <c r="O688" t="str" cm="1">
        <f t="array" ref="O688">_xlfn.IFS(J688="M","Medium",J688="L","Large",J688="D","Dark")</f>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_xlfn.XLOOKUP(C689,customers!$A$1:$A$1001,customers!$B$1:$B$1001,,0)</f>
        <v>Wilton Cottier</v>
      </c>
      <c r="G689" s="2" t="str">
        <f>IF(_xlfn.XLOOKUP(C689,customers!$A$1:$A$1001,customers!$C$1:$C$1001,,0)=0,"",_xlfn.XLOOKUP(C689,customers!$A$1:$A$1001,customers!$C$1:$C$1001,,0))</f>
        <v>wcottierj3@cafepress.com</v>
      </c>
      <c r="H689" s="2" t="str">
        <f>_xlfn.XLOOKUP(C689,customers!$A$1:$A$1001,customers!$G$1:$G$1001,,0)</f>
        <v>United States</v>
      </c>
      <c r="I689" t="str">
        <f>INDEX(products!$A$1:$G$49,MATCH(orders!$D689,products!$A$1:$A$49,0),MATCH(orders!I$1,products!$A$1:$G$1,0))</f>
        <v>Exc</v>
      </c>
      <c r="J689" t="str">
        <f>INDEX(products!$A$1:$G$49,MATCH(orders!$D689,products!$A$1:$A$49,0),MATCH(orders!J$1,products!$A$1:$G$1,0))</f>
        <v>M</v>
      </c>
      <c r="K689" s="7">
        <f>INDEX(products!$A$1:$G$49,MATCH(orders!$D689,products!$A$1:$A$49,0),MATCH(orders!K$1,products!$A$1:$G$1,0))</f>
        <v>0.5</v>
      </c>
      <c r="L689" s="4">
        <f>INDEX(products!$A$1:$G$49,MATCH(orders!$D689,products!$A$1:$A$49,0),MATCH(orders!L$1,products!$A$1:$G$1,0))</f>
        <v>8.25</v>
      </c>
      <c r="M689" s="4">
        <f t="shared" si="10"/>
        <v>16.5</v>
      </c>
      <c r="N689" t="str" cm="1">
        <f t="array" ref="N689">_xlfn.IFS(I689="Rob","Robusta",I689="Exc","Excelsa",I689="Ara","Arabica",I689="Lib","Liberica")</f>
        <v>Excelsa</v>
      </c>
      <c r="O689" t="str" cm="1">
        <f t="array" ref="O689">_xlfn.IFS(J689="M","Medium",J689="L","Large",J689="D","Dark")</f>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_xlfn.XLOOKUP(C690,customers!$A$1:$A$1001,customers!$B$1:$B$1001,,0)</f>
        <v>Kevan Grinsted</v>
      </c>
      <c r="G690" s="2" t="str">
        <f>IF(_xlfn.XLOOKUP(C690,customers!$A$1:$A$1001,customers!$C$1:$C$1001,,0)=0,"",_xlfn.XLOOKUP(C690,customers!$A$1:$A$1001,customers!$C$1:$C$1001,,0))</f>
        <v>kgrinstedj4@google.com.br</v>
      </c>
      <c r="H690" s="2" t="str">
        <f>_xlfn.XLOOKUP(C690,customers!$A$1:$A$1001,customers!$G$1:$G$1001,,0)</f>
        <v>Ireland</v>
      </c>
      <c r="I690" t="str">
        <f>INDEX(products!$A$1:$G$49,MATCH(orders!$D690,products!$A$1:$A$49,0),MATCH(orders!I$1,products!$A$1:$G$1,0))</f>
        <v>Ara</v>
      </c>
      <c r="J690" t="str">
        <f>INDEX(products!$A$1:$G$49,MATCH(orders!$D690,products!$A$1:$A$49,0),MATCH(orders!J$1,products!$A$1:$G$1,0))</f>
        <v>L</v>
      </c>
      <c r="K690" s="7">
        <f>INDEX(products!$A$1:$G$49,MATCH(orders!$D690,products!$A$1:$A$49,0),MATCH(orders!K$1,products!$A$1:$G$1,0))</f>
        <v>1</v>
      </c>
      <c r="L690" s="4">
        <f>INDEX(products!$A$1:$G$49,MATCH(orders!$D690,products!$A$1:$A$49,0),MATCH(orders!L$1,products!$A$1:$G$1,0))</f>
        <v>12.95</v>
      </c>
      <c r="M690" s="4">
        <f t="shared" si="10"/>
        <v>64.75</v>
      </c>
      <c r="N690" t="str" cm="1">
        <f t="array" ref="N690">_xlfn.IFS(I690="Rob","Robusta",I690="Exc","Excelsa",I690="Ara","Arabica",I690="Lib","Liberica")</f>
        <v>Arabica</v>
      </c>
      <c r="O690" t="str" cm="1">
        <f t="array" ref="O690">_xlfn.IFS(J690="M","Medium",J690="L","Large",J690="D","Dark")</f>
        <v>Large</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_xlfn.XLOOKUP(C691,customers!$A$1:$A$1001,customers!$B$1:$B$1001,,0)</f>
        <v>Dionne Skyner</v>
      </c>
      <c r="G691" s="2" t="str">
        <f>IF(_xlfn.XLOOKUP(C691,customers!$A$1:$A$1001,customers!$C$1:$C$1001,,0)=0,"",_xlfn.XLOOKUP(C691,customers!$A$1:$A$1001,customers!$C$1:$C$1001,,0))</f>
        <v>dskynerj5@hubpages.com</v>
      </c>
      <c r="H691" s="2" t="str">
        <f>_xlfn.XLOOKUP(C691,customers!$A$1:$A$1001,customers!$G$1:$G$1001,,0)</f>
        <v>United States</v>
      </c>
      <c r="I691" t="str">
        <f>INDEX(products!$A$1:$G$49,MATCH(orders!$D691,products!$A$1:$A$49,0),MATCH(orders!I$1,products!$A$1:$G$1,0))</f>
        <v>Ara</v>
      </c>
      <c r="J691" t="str">
        <f>INDEX(products!$A$1:$G$49,MATCH(orders!$D691,products!$A$1:$A$49,0),MATCH(orders!J$1,products!$A$1:$G$1,0))</f>
        <v>M</v>
      </c>
      <c r="K691" s="7">
        <f>INDEX(products!$A$1:$G$49,MATCH(orders!$D691,products!$A$1:$A$49,0),MATCH(orders!K$1,products!$A$1:$G$1,0))</f>
        <v>0.5</v>
      </c>
      <c r="L691" s="4">
        <f>INDEX(products!$A$1:$G$49,MATCH(orders!$D691,products!$A$1:$A$49,0),MATCH(orders!L$1,products!$A$1:$G$1,0))</f>
        <v>6.75</v>
      </c>
      <c r="M691" s="4">
        <f t="shared" si="10"/>
        <v>33.75</v>
      </c>
      <c r="N691" t="str" cm="1">
        <f t="array" ref="N691">_xlfn.IFS(I691="Rob","Robusta",I691="Exc","Excelsa",I691="Ara","Arabica",I691="Lib","Liberica")</f>
        <v>Arabica</v>
      </c>
      <c r="O691" t="str" cm="1">
        <f t="array" ref="O691">_xlfn.IFS(J691="M","Medium",J691="L","Large",J691="D","Dark")</f>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_xlfn.XLOOKUP(C692,customers!$A$1:$A$1001,customers!$B$1:$B$1001,,0)</f>
        <v>Francesco Dressel</v>
      </c>
      <c r="G692" s="2" t="str">
        <f>IF(_xlfn.XLOOKUP(C692,customers!$A$1:$A$1001,customers!$C$1:$C$1001,,0)=0,"",_xlfn.XLOOKUP(C692,customers!$A$1:$A$1001,customers!$C$1:$C$1001,,0))</f>
        <v/>
      </c>
      <c r="H692" s="2" t="str">
        <f>_xlfn.XLOOKUP(C692,customers!$A$1:$A$1001,customers!$G$1:$G$1001,,0)</f>
        <v>United States</v>
      </c>
      <c r="I692" t="str">
        <f>INDEX(products!$A$1:$G$49,MATCH(orders!$D692,products!$A$1:$A$49,0),MATCH(orders!I$1,products!$A$1:$G$1,0))</f>
        <v>Lib</v>
      </c>
      <c r="J692" t="str">
        <f>INDEX(products!$A$1:$G$49,MATCH(orders!$D692,products!$A$1:$A$49,0),MATCH(orders!J$1,products!$A$1:$G$1,0))</f>
        <v>D</v>
      </c>
      <c r="K692" s="7">
        <f>INDEX(products!$A$1:$G$49,MATCH(orders!$D692,products!$A$1:$A$49,0),MATCH(orders!K$1,products!$A$1:$G$1,0))</f>
        <v>2.5</v>
      </c>
      <c r="L692" s="4">
        <f>INDEX(products!$A$1:$G$49,MATCH(orders!$D692,products!$A$1:$A$49,0),MATCH(orders!L$1,products!$A$1:$G$1,0))</f>
        <v>29.784999999999997</v>
      </c>
      <c r="M692" s="4">
        <f t="shared" si="10"/>
        <v>178.70999999999998</v>
      </c>
      <c r="N692" t="str" cm="1">
        <f t="array" ref="N692">_xlfn.IFS(I692="Rob","Robusta",I692="Exc","Excelsa",I692="Ara","Arabica",I692="Lib","Liberica")</f>
        <v>Liberica</v>
      </c>
      <c r="O692" t="str" cm="1">
        <f t="array" ref="O692">_xlfn.IFS(J692="M","Medium",J692="L","Large",J692="D","Dark")</f>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_xlfn.XLOOKUP(C693,customers!$A$1:$A$1001,customers!$B$1:$B$1001,,0)</f>
        <v>Jimmy Dymoke</v>
      </c>
      <c r="G693" s="2" t="str">
        <f>IF(_xlfn.XLOOKUP(C693,customers!$A$1:$A$1001,customers!$C$1:$C$1001,,0)=0,"",_xlfn.XLOOKUP(C693,customers!$A$1:$A$1001,customers!$C$1:$C$1001,,0))</f>
        <v>jdymokeje@prnewswire.com</v>
      </c>
      <c r="H693" s="2" t="str">
        <f>_xlfn.XLOOKUP(C693,customers!$A$1:$A$1001,customers!$G$1:$G$1001,,0)</f>
        <v>Ireland</v>
      </c>
      <c r="I693" t="str">
        <f>INDEX(products!$A$1:$G$49,MATCH(orders!$D693,products!$A$1:$A$49,0),MATCH(orders!I$1,products!$A$1:$G$1,0))</f>
        <v>Ara</v>
      </c>
      <c r="J693" t="str">
        <f>INDEX(products!$A$1:$G$49,MATCH(orders!$D693,products!$A$1:$A$49,0),MATCH(orders!J$1,products!$A$1:$G$1,0))</f>
        <v>M</v>
      </c>
      <c r="K693" s="7">
        <f>INDEX(products!$A$1:$G$49,MATCH(orders!$D693,products!$A$1:$A$49,0),MATCH(orders!K$1,products!$A$1:$G$1,0))</f>
        <v>1</v>
      </c>
      <c r="L693" s="4">
        <f>INDEX(products!$A$1:$G$49,MATCH(orders!$D693,products!$A$1:$A$49,0),MATCH(orders!L$1,products!$A$1:$G$1,0))</f>
        <v>11.25</v>
      </c>
      <c r="M693" s="4">
        <f t="shared" si="10"/>
        <v>22.5</v>
      </c>
      <c r="N693" t="str" cm="1">
        <f t="array" ref="N693">_xlfn.IFS(I693="Rob","Robusta",I693="Exc","Excelsa",I693="Ara","Arabica",I693="Lib","Liberica")</f>
        <v>Arabica</v>
      </c>
      <c r="O693" t="str" cm="1">
        <f t="array" ref="O693">_xlfn.IFS(J693="M","Medium",J693="L","Large",J693="D","Dark")</f>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_xlfn.XLOOKUP(C694,customers!$A$1:$A$1001,customers!$B$1:$B$1001,,0)</f>
        <v>Ambrosio Weinmann</v>
      </c>
      <c r="G694" s="2" t="str">
        <f>IF(_xlfn.XLOOKUP(C694,customers!$A$1:$A$1001,customers!$C$1:$C$1001,,0)=0,"",_xlfn.XLOOKUP(C694,customers!$A$1:$A$1001,customers!$C$1:$C$1001,,0))</f>
        <v>aweinmannj8@shinystat.com</v>
      </c>
      <c r="H694" s="2" t="str">
        <f>_xlfn.XLOOKUP(C694,customers!$A$1:$A$1001,customers!$G$1:$G$1001,,0)</f>
        <v>United States</v>
      </c>
      <c r="I694" t="str">
        <f>INDEX(products!$A$1:$G$49,MATCH(orders!$D694,products!$A$1:$A$49,0),MATCH(orders!I$1,products!$A$1:$G$1,0))</f>
        <v>Lib</v>
      </c>
      <c r="J694" t="str">
        <f>INDEX(products!$A$1:$G$49,MATCH(orders!$D694,products!$A$1:$A$49,0),MATCH(orders!J$1,products!$A$1:$G$1,0))</f>
        <v>D</v>
      </c>
      <c r="K694" s="7">
        <f>INDEX(products!$A$1:$G$49,MATCH(orders!$D694,products!$A$1:$A$49,0),MATCH(orders!K$1,products!$A$1:$G$1,0))</f>
        <v>1</v>
      </c>
      <c r="L694" s="4">
        <f>INDEX(products!$A$1:$G$49,MATCH(orders!$D694,products!$A$1:$A$49,0),MATCH(orders!L$1,products!$A$1:$G$1,0))</f>
        <v>12.95</v>
      </c>
      <c r="M694" s="4">
        <f t="shared" si="10"/>
        <v>12.95</v>
      </c>
      <c r="N694" t="str" cm="1">
        <f t="array" ref="N694">_xlfn.IFS(I694="Rob","Robusta",I694="Exc","Excelsa",I694="Ara","Arabica",I694="Lib","Liberica")</f>
        <v>Liberica</v>
      </c>
      <c r="O694" t="str" cm="1">
        <f t="array" ref="O694">_xlfn.IFS(J694="M","Medium",J694="L","Large",J694="D","Dark")</f>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_xlfn.XLOOKUP(C695,customers!$A$1:$A$1001,customers!$B$1:$B$1001,,0)</f>
        <v>Elden Andriessen</v>
      </c>
      <c r="G695" s="2" t="str">
        <f>IF(_xlfn.XLOOKUP(C695,customers!$A$1:$A$1001,customers!$C$1:$C$1001,,0)=0,"",_xlfn.XLOOKUP(C695,customers!$A$1:$A$1001,customers!$C$1:$C$1001,,0))</f>
        <v>eandriessenj9@europa.eu</v>
      </c>
      <c r="H695" s="2" t="str">
        <f>_xlfn.XLOOKUP(C695,customers!$A$1:$A$1001,customers!$G$1:$G$1001,,0)</f>
        <v>United States</v>
      </c>
      <c r="I695" t="str">
        <f>INDEX(products!$A$1:$G$49,MATCH(orders!$D695,products!$A$1:$A$49,0),MATCH(orders!I$1,products!$A$1:$G$1,0))</f>
        <v>Ara</v>
      </c>
      <c r="J695" t="str">
        <f>INDEX(products!$A$1:$G$49,MATCH(orders!$D695,products!$A$1:$A$49,0),MATCH(orders!J$1,products!$A$1:$G$1,0))</f>
        <v>M</v>
      </c>
      <c r="K695" s="7">
        <f>INDEX(products!$A$1:$G$49,MATCH(orders!$D695,products!$A$1:$A$49,0),MATCH(orders!K$1,products!$A$1:$G$1,0))</f>
        <v>2.5</v>
      </c>
      <c r="L695" s="4">
        <f>INDEX(products!$A$1:$G$49,MATCH(orders!$D695,products!$A$1:$A$49,0),MATCH(orders!L$1,products!$A$1:$G$1,0))</f>
        <v>25.874999999999996</v>
      </c>
      <c r="M695" s="4">
        <f t="shared" si="10"/>
        <v>51.749999999999993</v>
      </c>
      <c r="N695" t="str" cm="1">
        <f t="array" ref="N695">_xlfn.IFS(I695="Rob","Robusta",I695="Exc","Excelsa",I695="Ara","Arabica",I695="Lib","Liberica")</f>
        <v>Arabica</v>
      </c>
      <c r="O695" t="str" cm="1">
        <f t="array" ref="O695">_xlfn.IFS(J695="M","Medium",J695="L","Large",J695="D","Dark")</f>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_xlfn.XLOOKUP(C696,customers!$A$1:$A$1001,customers!$B$1:$B$1001,,0)</f>
        <v>Roxie Deaconson</v>
      </c>
      <c r="G696" s="2" t="str">
        <f>IF(_xlfn.XLOOKUP(C696,customers!$A$1:$A$1001,customers!$C$1:$C$1001,,0)=0,"",_xlfn.XLOOKUP(C696,customers!$A$1:$A$1001,customers!$C$1:$C$1001,,0))</f>
        <v>rdeaconsonja@archive.org</v>
      </c>
      <c r="H696" s="2" t="str">
        <f>_xlfn.XLOOKUP(C696,customers!$A$1:$A$1001,customers!$G$1:$G$1001,,0)</f>
        <v>United States</v>
      </c>
      <c r="I696" t="str">
        <f>INDEX(products!$A$1:$G$49,MATCH(orders!$D696,products!$A$1:$A$49,0),MATCH(orders!I$1,products!$A$1:$G$1,0))</f>
        <v>Exc</v>
      </c>
      <c r="J696" t="str">
        <f>INDEX(products!$A$1:$G$49,MATCH(orders!$D696,products!$A$1:$A$49,0),MATCH(orders!J$1,products!$A$1:$G$1,0))</f>
        <v>D</v>
      </c>
      <c r="K696" s="7">
        <f>INDEX(products!$A$1:$G$49,MATCH(orders!$D696,products!$A$1:$A$49,0),MATCH(orders!K$1,products!$A$1:$G$1,0))</f>
        <v>0.5</v>
      </c>
      <c r="L696" s="4">
        <f>INDEX(products!$A$1:$G$49,MATCH(orders!$D696,products!$A$1:$A$49,0),MATCH(orders!L$1,products!$A$1:$G$1,0))</f>
        <v>7.29</v>
      </c>
      <c r="M696" s="4">
        <f t="shared" si="10"/>
        <v>36.450000000000003</v>
      </c>
      <c r="N696" t="str" cm="1">
        <f t="array" ref="N696">_xlfn.IFS(I696="Rob","Robusta",I696="Exc","Excelsa",I696="Ara","Arabica",I696="Lib","Liberica")</f>
        <v>Excelsa</v>
      </c>
      <c r="O696" t="str" cm="1">
        <f t="array" ref="O696">_xlfn.IFS(J696="M","Medium",J696="L","Large",J696="D","Dark")</f>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_xlfn.XLOOKUP(C697,customers!$A$1:$A$1001,customers!$B$1:$B$1001,,0)</f>
        <v>Davida Caro</v>
      </c>
      <c r="G697" s="2" t="str">
        <f>IF(_xlfn.XLOOKUP(C697,customers!$A$1:$A$1001,customers!$C$1:$C$1001,,0)=0,"",_xlfn.XLOOKUP(C697,customers!$A$1:$A$1001,customers!$C$1:$C$1001,,0))</f>
        <v>dcarojb@twitter.com</v>
      </c>
      <c r="H697" s="2" t="str">
        <f>_xlfn.XLOOKUP(C697,customers!$A$1:$A$1001,customers!$G$1:$G$1001,,0)</f>
        <v>United States</v>
      </c>
      <c r="I697" t="str">
        <f>INDEX(products!$A$1:$G$49,MATCH(orders!$D697,products!$A$1:$A$49,0),MATCH(orders!I$1,products!$A$1:$G$1,0))</f>
        <v>Lib</v>
      </c>
      <c r="J697" t="str">
        <f>INDEX(products!$A$1:$G$49,MATCH(orders!$D697,products!$A$1:$A$49,0),MATCH(orders!J$1,products!$A$1:$G$1,0))</f>
        <v>L</v>
      </c>
      <c r="K697" s="7">
        <f>INDEX(products!$A$1:$G$49,MATCH(orders!$D697,products!$A$1:$A$49,0),MATCH(orders!K$1,products!$A$1:$G$1,0))</f>
        <v>2.5</v>
      </c>
      <c r="L697" s="4">
        <f>INDEX(products!$A$1:$G$49,MATCH(orders!$D697,products!$A$1:$A$49,0),MATCH(orders!L$1,products!$A$1:$G$1,0))</f>
        <v>36.454999999999998</v>
      </c>
      <c r="M697" s="4">
        <f t="shared" si="10"/>
        <v>182.27499999999998</v>
      </c>
      <c r="N697" t="str" cm="1">
        <f t="array" ref="N697">_xlfn.IFS(I697="Rob","Robusta",I697="Exc","Excelsa",I697="Ara","Arabica",I697="Lib","Liberica")</f>
        <v>Liberica</v>
      </c>
      <c r="O697" t="str" cm="1">
        <f t="array" ref="O697">_xlfn.IFS(J697="M","Medium",J697="L","Large",J697="D","Dark")</f>
        <v>Large</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_xlfn.XLOOKUP(C698,customers!$A$1:$A$1001,customers!$B$1:$B$1001,,0)</f>
        <v>Johna Bluck</v>
      </c>
      <c r="G698" s="2" t="str">
        <f>IF(_xlfn.XLOOKUP(C698,customers!$A$1:$A$1001,customers!$C$1:$C$1001,,0)=0,"",_xlfn.XLOOKUP(C698,customers!$A$1:$A$1001,customers!$C$1:$C$1001,,0))</f>
        <v>jbluckjc@imageshack.us</v>
      </c>
      <c r="H698" s="2" t="str">
        <f>_xlfn.XLOOKUP(C698,customers!$A$1:$A$1001,customers!$G$1:$G$1001,,0)</f>
        <v>United States</v>
      </c>
      <c r="I698" t="str">
        <f>INDEX(products!$A$1:$G$49,MATCH(orders!$D698,products!$A$1:$A$49,0),MATCH(orders!I$1,products!$A$1:$G$1,0))</f>
        <v>Lib</v>
      </c>
      <c r="J698" t="str">
        <f>INDEX(products!$A$1:$G$49,MATCH(orders!$D698,products!$A$1:$A$49,0),MATCH(orders!J$1,products!$A$1:$G$1,0))</f>
        <v>D</v>
      </c>
      <c r="K698" s="7">
        <f>INDEX(products!$A$1:$G$49,MATCH(orders!$D698,products!$A$1:$A$49,0),MATCH(orders!K$1,products!$A$1:$G$1,0))</f>
        <v>0.5</v>
      </c>
      <c r="L698" s="4">
        <f>INDEX(products!$A$1:$G$49,MATCH(orders!$D698,products!$A$1:$A$49,0),MATCH(orders!L$1,products!$A$1:$G$1,0))</f>
        <v>7.77</v>
      </c>
      <c r="M698" s="4">
        <f t="shared" si="10"/>
        <v>31.08</v>
      </c>
      <c r="N698" t="str" cm="1">
        <f t="array" ref="N698">_xlfn.IFS(I698="Rob","Robusta",I698="Exc","Excelsa",I698="Ara","Arabica",I698="Lib","Liberica")</f>
        <v>Liberica</v>
      </c>
      <c r="O698" t="str" cm="1">
        <f t="array" ref="O698">_xlfn.IFS(J698="M","Medium",J698="L","Large",J698="D","Dark")</f>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_xlfn.XLOOKUP(C699,customers!$A$1:$A$1001,customers!$B$1:$B$1001,,0)</f>
        <v>Myrle Dearden</v>
      </c>
      <c r="G699" s="2" t="str">
        <f>IF(_xlfn.XLOOKUP(C699,customers!$A$1:$A$1001,customers!$C$1:$C$1001,,0)=0,"",_xlfn.XLOOKUP(C699,customers!$A$1:$A$1001,customers!$C$1:$C$1001,,0))</f>
        <v/>
      </c>
      <c r="H699" s="2" t="str">
        <f>_xlfn.XLOOKUP(C699,customers!$A$1:$A$1001,customers!$G$1:$G$1001,,0)</f>
        <v>Ireland</v>
      </c>
      <c r="I699" t="str">
        <f>INDEX(products!$A$1:$G$49,MATCH(orders!$D699,products!$A$1:$A$49,0),MATCH(orders!I$1,products!$A$1:$G$1,0))</f>
        <v>Ara</v>
      </c>
      <c r="J699" t="str">
        <f>INDEX(products!$A$1:$G$49,MATCH(orders!$D699,products!$A$1:$A$49,0),MATCH(orders!J$1,products!$A$1:$G$1,0))</f>
        <v>M</v>
      </c>
      <c r="K699" s="7">
        <f>INDEX(products!$A$1:$G$49,MATCH(orders!$D699,products!$A$1:$A$49,0),MATCH(orders!K$1,products!$A$1:$G$1,0))</f>
        <v>0.5</v>
      </c>
      <c r="L699" s="4">
        <f>INDEX(products!$A$1:$G$49,MATCH(orders!$D699,products!$A$1:$A$49,0),MATCH(orders!L$1,products!$A$1:$G$1,0))</f>
        <v>6.75</v>
      </c>
      <c r="M699" s="4">
        <f t="shared" si="10"/>
        <v>20.25</v>
      </c>
      <c r="N699" t="str" cm="1">
        <f t="array" ref="N699">_xlfn.IFS(I699="Rob","Robusta",I699="Exc","Excelsa",I699="Ara","Arabica",I699="Lib","Liberica")</f>
        <v>Arabica</v>
      </c>
      <c r="O699" t="str" cm="1">
        <f t="array" ref="O699">_xlfn.IFS(J699="M","Medium",J699="L","Large",J699="D","Dark")</f>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_xlfn.XLOOKUP(C700,customers!$A$1:$A$1001,customers!$B$1:$B$1001,,0)</f>
        <v>Jimmy Dymoke</v>
      </c>
      <c r="G700" s="2" t="str">
        <f>IF(_xlfn.XLOOKUP(C700,customers!$A$1:$A$1001,customers!$C$1:$C$1001,,0)=0,"",_xlfn.XLOOKUP(C700,customers!$A$1:$A$1001,customers!$C$1:$C$1001,,0))</f>
        <v>jdymokeje@prnewswire.com</v>
      </c>
      <c r="H700" s="2" t="str">
        <f>_xlfn.XLOOKUP(C700,customers!$A$1:$A$1001,customers!$G$1:$G$1001,,0)</f>
        <v>Ireland</v>
      </c>
      <c r="I700" t="str">
        <f>INDEX(products!$A$1:$G$49,MATCH(orders!$D700,products!$A$1:$A$49,0),MATCH(orders!I$1,products!$A$1:$G$1,0))</f>
        <v>Lib</v>
      </c>
      <c r="J700" t="str">
        <f>INDEX(products!$A$1:$G$49,MATCH(orders!$D700,products!$A$1:$A$49,0),MATCH(orders!J$1,products!$A$1:$G$1,0))</f>
        <v>D</v>
      </c>
      <c r="K700" s="7">
        <f>INDEX(products!$A$1:$G$49,MATCH(orders!$D700,products!$A$1:$A$49,0),MATCH(orders!K$1,products!$A$1:$G$1,0))</f>
        <v>1</v>
      </c>
      <c r="L700" s="4">
        <f>INDEX(products!$A$1:$G$49,MATCH(orders!$D700,products!$A$1:$A$49,0),MATCH(orders!L$1,products!$A$1:$G$1,0))</f>
        <v>12.95</v>
      </c>
      <c r="M700" s="4">
        <f t="shared" si="10"/>
        <v>25.9</v>
      </c>
      <c r="N700" t="str" cm="1">
        <f t="array" ref="N700">_xlfn.IFS(I700="Rob","Robusta",I700="Exc","Excelsa",I700="Ara","Arabica",I700="Lib","Liberica")</f>
        <v>Liberica</v>
      </c>
      <c r="O700" t="str" cm="1">
        <f t="array" ref="O700">_xlfn.IFS(J700="M","Medium",J700="L","Large",J700="D","Dark")</f>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_xlfn.XLOOKUP(C701,customers!$A$1:$A$1001,customers!$B$1:$B$1001,,0)</f>
        <v>Orland Tadman</v>
      </c>
      <c r="G701" s="2" t="str">
        <f>IF(_xlfn.XLOOKUP(C701,customers!$A$1:$A$1001,customers!$C$1:$C$1001,,0)=0,"",_xlfn.XLOOKUP(C701,customers!$A$1:$A$1001,customers!$C$1:$C$1001,,0))</f>
        <v>otadmanjf@ft.com</v>
      </c>
      <c r="H701" s="2" t="str">
        <f>_xlfn.XLOOKUP(C701,customers!$A$1:$A$1001,customers!$G$1:$G$1001,,0)</f>
        <v>United States</v>
      </c>
      <c r="I701" t="str">
        <f>INDEX(products!$A$1:$G$49,MATCH(orders!$D701,products!$A$1:$A$49,0),MATCH(orders!I$1,products!$A$1:$G$1,0))</f>
        <v>Ara</v>
      </c>
      <c r="J701" t="str">
        <f>INDEX(products!$A$1:$G$49,MATCH(orders!$D701,products!$A$1:$A$49,0),MATCH(orders!J$1,products!$A$1:$G$1,0))</f>
        <v>D</v>
      </c>
      <c r="K701" s="7">
        <f>INDEX(products!$A$1:$G$49,MATCH(orders!$D701,products!$A$1:$A$49,0),MATCH(orders!K$1,products!$A$1:$G$1,0))</f>
        <v>0.5</v>
      </c>
      <c r="L701" s="4">
        <f>INDEX(products!$A$1:$G$49,MATCH(orders!$D701,products!$A$1:$A$49,0),MATCH(orders!L$1,products!$A$1:$G$1,0))</f>
        <v>5.97</v>
      </c>
      <c r="M701" s="4">
        <f t="shared" si="10"/>
        <v>23.88</v>
      </c>
      <c r="N701" t="str" cm="1">
        <f t="array" ref="N701">_xlfn.IFS(I701="Rob","Robusta",I701="Exc","Excelsa",I701="Ara","Arabica",I701="Lib","Liberica")</f>
        <v>Arabica</v>
      </c>
      <c r="O701" t="str" cm="1">
        <f t="array" ref="O701">_xlfn.IFS(J701="M","Medium",J701="L","Large",J701="D","Dark")</f>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_xlfn.XLOOKUP(C702,customers!$A$1:$A$1001,customers!$B$1:$B$1001,,0)</f>
        <v>Barrett Gudde</v>
      </c>
      <c r="G702" s="2" t="str">
        <f>IF(_xlfn.XLOOKUP(C702,customers!$A$1:$A$1001,customers!$C$1:$C$1001,,0)=0,"",_xlfn.XLOOKUP(C702,customers!$A$1:$A$1001,customers!$C$1:$C$1001,,0))</f>
        <v>bguddejg@dailymotion.com</v>
      </c>
      <c r="H702" s="2" t="str">
        <f>_xlfn.XLOOKUP(C702,customers!$A$1:$A$1001,customers!$G$1:$G$1001,,0)</f>
        <v>United States</v>
      </c>
      <c r="I702" t="str">
        <f>INDEX(products!$A$1:$G$49,MATCH(orders!$D702,products!$A$1:$A$49,0),MATCH(orders!I$1,products!$A$1:$G$1,0))</f>
        <v>Lib</v>
      </c>
      <c r="J702" t="str">
        <f>INDEX(products!$A$1:$G$49,MATCH(orders!$D702,products!$A$1:$A$49,0),MATCH(orders!J$1,products!$A$1:$G$1,0))</f>
        <v>L</v>
      </c>
      <c r="K702" s="7">
        <f>INDEX(products!$A$1:$G$49,MATCH(orders!$D702,products!$A$1:$A$49,0),MATCH(orders!K$1,products!$A$1:$G$1,0))</f>
        <v>0.5</v>
      </c>
      <c r="L702" s="4">
        <f>INDEX(products!$A$1:$G$49,MATCH(orders!$D702,products!$A$1:$A$49,0),MATCH(orders!L$1,products!$A$1:$G$1,0))</f>
        <v>9.51</v>
      </c>
      <c r="M702" s="4">
        <f t="shared" si="10"/>
        <v>19.02</v>
      </c>
      <c r="N702" t="str" cm="1">
        <f t="array" ref="N702">_xlfn.IFS(I702="Rob","Robusta",I702="Exc","Excelsa",I702="Ara","Arabica",I702="Lib","Liberica")</f>
        <v>Liberica</v>
      </c>
      <c r="O702" t="str" cm="1">
        <f t="array" ref="O702">_xlfn.IFS(J702="M","Medium",J702="L","Large",J702="D","Dark")</f>
        <v>Large</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_xlfn.XLOOKUP(C703,customers!$A$1:$A$1001,customers!$B$1:$B$1001,,0)</f>
        <v>Nathan Sictornes</v>
      </c>
      <c r="G703" s="2" t="str">
        <f>IF(_xlfn.XLOOKUP(C703,customers!$A$1:$A$1001,customers!$C$1:$C$1001,,0)=0,"",_xlfn.XLOOKUP(C703,customers!$A$1:$A$1001,customers!$C$1:$C$1001,,0))</f>
        <v>nsictornesjh@buzzfeed.com</v>
      </c>
      <c r="H703" s="2" t="str">
        <f>_xlfn.XLOOKUP(C703,customers!$A$1:$A$1001,customers!$G$1:$G$1001,,0)</f>
        <v>Ireland</v>
      </c>
      <c r="I703" t="str">
        <f>INDEX(products!$A$1:$G$49,MATCH(orders!$D703,products!$A$1:$A$49,0),MATCH(orders!I$1,products!$A$1:$G$1,0))</f>
        <v>Ara</v>
      </c>
      <c r="J703" t="str">
        <f>INDEX(products!$A$1:$G$49,MATCH(orders!$D703,products!$A$1:$A$49,0),MATCH(orders!J$1,products!$A$1:$G$1,0))</f>
        <v>D</v>
      </c>
      <c r="K703" s="7">
        <f>INDEX(products!$A$1:$G$49,MATCH(orders!$D703,products!$A$1:$A$49,0),MATCH(orders!K$1,products!$A$1:$G$1,0))</f>
        <v>0.5</v>
      </c>
      <c r="L703" s="4">
        <f>INDEX(products!$A$1:$G$49,MATCH(orders!$D703,products!$A$1:$A$49,0),MATCH(orders!L$1,products!$A$1:$G$1,0))</f>
        <v>5.97</v>
      </c>
      <c r="M703" s="4">
        <f t="shared" si="10"/>
        <v>29.849999999999998</v>
      </c>
      <c r="N703" t="str" cm="1">
        <f t="array" ref="N703">_xlfn.IFS(I703="Rob","Robusta",I703="Exc","Excelsa",I703="Ara","Arabica",I703="Lib","Liberica")</f>
        <v>Arabica</v>
      </c>
      <c r="O703" t="str" cm="1">
        <f t="array" ref="O703">_xlfn.IFS(J703="M","Medium",J703="L","Large",J703="D","Dark")</f>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_xlfn.XLOOKUP(C704,customers!$A$1:$A$1001,customers!$B$1:$B$1001,,0)</f>
        <v>Vivyan Dunning</v>
      </c>
      <c r="G704" s="2" t="str">
        <f>IF(_xlfn.XLOOKUP(C704,customers!$A$1:$A$1001,customers!$C$1:$C$1001,,0)=0,"",_xlfn.XLOOKUP(C704,customers!$A$1:$A$1001,customers!$C$1:$C$1001,,0))</f>
        <v>vdunningji@independent.co.uk</v>
      </c>
      <c r="H704" s="2" t="str">
        <f>_xlfn.XLOOKUP(C704,customers!$A$1:$A$1001,customers!$G$1:$G$1001,,0)</f>
        <v>United States</v>
      </c>
      <c r="I704" t="str">
        <f>INDEX(products!$A$1:$G$49,MATCH(orders!$D704,products!$A$1:$A$49,0),MATCH(orders!I$1,products!$A$1:$G$1,0))</f>
        <v>Ara</v>
      </c>
      <c r="J704" t="str">
        <f>INDEX(products!$A$1:$G$49,MATCH(orders!$D704,products!$A$1:$A$49,0),MATCH(orders!J$1,products!$A$1:$G$1,0))</f>
        <v>L</v>
      </c>
      <c r="K704" s="7">
        <f>INDEX(products!$A$1:$G$49,MATCH(orders!$D704,products!$A$1:$A$49,0),MATCH(orders!K$1,products!$A$1:$G$1,0))</f>
        <v>0.5</v>
      </c>
      <c r="L704" s="4">
        <f>INDEX(products!$A$1:$G$49,MATCH(orders!$D704,products!$A$1:$A$49,0),MATCH(orders!L$1,products!$A$1:$G$1,0))</f>
        <v>7.77</v>
      </c>
      <c r="M704" s="4">
        <f t="shared" si="10"/>
        <v>7.77</v>
      </c>
      <c r="N704" t="str" cm="1">
        <f t="array" ref="N704">_xlfn.IFS(I704="Rob","Robusta",I704="Exc","Excelsa",I704="Ara","Arabica",I704="Lib","Liberica")</f>
        <v>Arabica</v>
      </c>
      <c r="O704" t="str" cm="1">
        <f t="array" ref="O704">_xlfn.IFS(J704="M","Medium",J704="L","Large",J704="D","Dark")</f>
        <v>Large</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_xlfn.XLOOKUP(C705,customers!$A$1:$A$1001,customers!$B$1:$B$1001,,0)</f>
        <v>Doralin Baison</v>
      </c>
      <c r="G705" s="2" t="str">
        <f>IF(_xlfn.XLOOKUP(C705,customers!$A$1:$A$1001,customers!$C$1:$C$1001,,0)=0,"",_xlfn.XLOOKUP(C705,customers!$A$1:$A$1001,customers!$C$1:$C$1001,,0))</f>
        <v/>
      </c>
      <c r="H705" s="2" t="str">
        <f>_xlfn.XLOOKUP(C705,customers!$A$1:$A$1001,customers!$G$1:$G$1001,,0)</f>
        <v>Ireland</v>
      </c>
      <c r="I705" t="str">
        <f>INDEX(products!$A$1:$G$49,MATCH(orders!$D705,products!$A$1:$A$49,0),MATCH(orders!I$1,products!$A$1:$G$1,0))</f>
        <v>Lib</v>
      </c>
      <c r="J705" t="str">
        <f>INDEX(products!$A$1:$G$49,MATCH(orders!$D705,products!$A$1:$A$49,0),MATCH(orders!J$1,products!$A$1:$G$1,0))</f>
        <v>D</v>
      </c>
      <c r="K705" s="7">
        <f>INDEX(products!$A$1:$G$49,MATCH(orders!$D705,products!$A$1:$A$49,0),MATCH(orders!K$1,products!$A$1:$G$1,0))</f>
        <v>2.5</v>
      </c>
      <c r="L705" s="4">
        <f>INDEX(products!$A$1:$G$49,MATCH(orders!$D705,products!$A$1:$A$49,0),MATCH(orders!L$1,products!$A$1:$G$1,0))</f>
        <v>29.784999999999997</v>
      </c>
      <c r="M705" s="4">
        <f t="shared" si="10"/>
        <v>119.13999999999999</v>
      </c>
      <c r="N705" t="str" cm="1">
        <f t="array" ref="N705">_xlfn.IFS(I705="Rob","Robusta",I705="Exc","Excelsa",I705="Ara","Arabica",I705="Lib","Liberica")</f>
        <v>Liberica</v>
      </c>
      <c r="O705" t="str" cm="1">
        <f t="array" ref="O705">_xlfn.IFS(J705="M","Medium",J705="L","Large",J705="D","Dark")</f>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_xlfn.XLOOKUP(C706,customers!$A$1:$A$1001,customers!$B$1:$B$1001,,0)</f>
        <v>Josefina Ferens</v>
      </c>
      <c r="G706" s="2" t="str">
        <f>IF(_xlfn.XLOOKUP(C706,customers!$A$1:$A$1001,customers!$C$1:$C$1001,,0)=0,"",_xlfn.XLOOKUP(C706,customers!$A$1:$A$1001,customers!$C$1:$C$1001,,0))</f>
        <v/>
      </c>
      <c r="H706" s="2" t="str">
        <f>_xlfn.XLOOKUP(C706,customers!$A$1:$A$1001,customers!$G$1:$G$1001,,0)</f>
        <v>United States</v>
      </c>
      <c r="I706" t="str">
        <f>INDEX(products!$A$1:$G$49,MATCH(orders!$D706,products!$A$1:$A$49,0),MATCH(orders!I$1,products!$A$1:$G$1,0))</f>
        <v>Exc</v>
      </c>
      <c r="J706" t="str">
        <f>INDEX(products!$A$1:$G$49,MATCH(orders!$D706,products!$A$1:$A$49,0),MATCH(orders!J$1,products!$A$1:$G$1,0))</f>
        <v>D</v>
      </c>
      <c r="K706" s="7">
        <f>INDEX(products!$A$1:$G$49,MATCH(orders!$D706,products!$A$1:$A$49,0),MATCH(orders!K$1,products!$A$1:$G$1,0))</f>
        <v>0.2</v>
      </c>
      <c r="L706" s="4">
        <f>INDEX(products!$A$1:$G$49,MATCH(orders!$D706,products!$A$1:$A$49,0),MATCH(orders!L$1,products!$A$1:$G$1,0))</f>
        <v>3.645</v>
      </c>
      <c r="M706" s="4">
        <f t="shared" si="10"/>
        <v>21.87</v>
      </c>
      <c r="N706" t="str" cm="1">
        <f t="array" ref="N706">_xlfn.IFS(I706="Rob","Robusta",I706="Exc","Excelsa",I706="Ara","Arabica",I706="Lib","Liberica")</f>
        <v>Excelsa</v>
      </c>
      <c r="O706" t="str" cm="1">
        <f t="array" ref="O706">_xlfn.IFS(J706="M","Medium",J706="L","Large",J706="D","Dark")</f>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_xlfn.XLOOKUP(C707,customers!$A$1:$A$1001,customers!$B$1:$B$1001,,0)</f>
        <v>Shelley Gehring</v>
      </c>
      <c r="G707" s="2" t="str">
        <f>IF(_xlfn.XLOOKUP(C707,customers!$A$1:$A$1001,customers!$C$1:$C$1001,,0)=0,"",_xlfn.XLOOKUP(C707,customers!$A$1:$A$1001,customers!$C$1:$C$1001,,0))</f>
        <v>sgehringjl@gnu.org</v>
      </c>
      <c r="H707" s="2" t="str">
        <f>_xlfn.XLOOKUP(C707,customers!$A$1:$A$1001,customers!$G$1:$G$1001,,0)</f>
        <v>United States</v>
      </c>
      <c r="I707" t="str">
        <f>INDEX(products!$A$1:$G$49,MATCH(orders!$D707,products!$A$1:$A$49,0),MATCH(orders!I$1,products!$A$1:$G$1,0))</f>
        <v>Exc</v>
      </c>
      <c r="J707" t="str">
        <f>INDEX(products!$A$1:$G$49,MATCH(orders!$D707,products!$A$1:$A$49,0),MATCH(orders!J$1,products!$A$1:$G$1,0))</f>
        <v>L</v>
      </c>
      <c r="K707" s="7">
        <f>INDEX(products!$A$1:$G$49,MATCH(orders!$D707,products!$A$1:$A$49,0),MATCH(orders!K$1,products!$A$1:$G$1,0))</f>
        <v>0.5</v>
      </c>
      <c r="L707" s="4">
        <f>INDEX(products!$A$1:$G$49,MATCH(orders!$D707,products!$A$1:$A$49,0),MATCH(orders!L$1,products!$A$1:$G$1,0))</f>
        <v>8.91</v>
      </c>
      <c r="M707" s="4">
        <f t="shared" ref="M707:M770" si="11">L707*E707</f>
        <v>17.82</v>
      </c>
      <c r="N707" t="str" cm="1">
        <f t="array" ref="N707">_xlfn.IFS(I707="Rob","Robusta",I707="Exc","Excelsa",I707="Ara","Arabica",I707="Lib","Liberica")</f>
        <v>Excelsa</v>
      </c>
      <c r="O707" t="str" cm="1">
        <f t="array" ref="O707">_xlfn.IFS(J707="M","Medium",J707="L","Large",J707="D","Dark")</f>
        <v>Large</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_xlfn.XLOOKUP(C708,customers!$A$1:$A$1001,customers!$B$1:$B$1001,,0)</f>
        <v>Barrie Fallowes</v>
      </c>
      <c r="G708" s="2" t="str">
        <f>IF(_xlfn.XLOOKUP(C708,customers!$A$1:$A$1001,customers!$C$1:$C$1001,,0)=0,"",_xlfn.XLOOKUP(C708,customers!$A$1:$A$1001,customers!$C$1:$C$1001,,0))</f>
        <v>bfallowesjm@purevolume.com</v>
      </c>
      <c r="H708" s="2" t="str">
        <f>_xlfn.XLOOKUP(C708,customers!$A$1:$A$1001,customers!$G$1:$G$1001,,0)</f>
        <v>United States</v>
      </c>
      <c r="I708" t="str">
        <f>INDEX(products!$A$1:$G$49,MATCH(orders!$D708,products!$A$1:$A$49,0),MATCH(orders!I$1,products!$A$1:$G$1,0))</f>
        <v>Exc</v>
      </c>
      <c r="J708" t="str">
        <f>INDEX(products!$A$1:$G$49,MATCH(orders!$D708,products!$A$1:$A$49,0),MATCH(orders!J$1,products!$A$1:$G$1,0))</f>
        <v>M</v>
      </c>
      <c r="K708" s="7">
        <f>INDEX(products!$A$1:$G$49,MATCH(orders!$D708,products!$A$1:$A$49,0),MATCH(orders!K$1,products!$A$1:$G$1,0))</f>
        <v>0.2</v>
      </c>
      <c r="L708" s="4">
        <f>INDEX(products!$A$1:$G$49,MATCH(orders!$D708,products!$A$1:$A$49,0),MATCH(orders!L$1,products!$A$1:$G$1,0))</f>
        <v>4.125</v>
      </c>
      <c r="M708" s="4">
        <f t="shared" si="11"/>
        <v>12.375</v>
      </c>
      <c r="N708" t="str" cm="1">
        <f t="array" ref="N708">_xlfn.IFS(I708="Rob","Robusta",I708="Exc","Excelsa",I708="Ara","Arabica",I708="Lib","Liberica")</f>
        <v>Excelsa</v>
      </c>
      <c r="O708" t="str" cm="1">
        <f t="array" ref="O708">_xlfn.IFS(J708="M","Medium",J708="L","Large",J708="D","Dark")</f>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_xlfn.XLOOKUP(C709,customers!$A$1:$A$1001,customers!$B$1:$B$1001,,0)</f>
        <v>Nicolas Aiton</v>
      </c>
      <c r="G709" s="2" t="str">
        <f>IF(_xlfn.XLOOKUP(C709,customers!$A$1:$A$1001,customers!$C$1:$C$1001,,0)=0,"",_xlfn.XLOOKUP(C709,customers!$A$1:$A$1001,customers!$C$1:$C$1001,,0))</f>
        <v/>
      </c>
      <c r="H709" s="2" t="str">
        <f>_xlfn.XLOOKUP(C709,customers!$A$1:$A$1001,customers!$G$1:$G$1001,,0)</f>
        <v>Ireland</v>
      </c>
      <c r="I709" t="str">
        <f>INDEX(products!$A$1:$G$49,MATCH(orders!$D709,products!$A$1:$A$49,0),MATCH(orders!I$1,products!$A$1:$G$1,0))</f>
        <v>Lib</v>
      </c>
      <c r="J709" t="str">
        <f>INDEX(products!$A$1:$G$49,MATCH(orders!$D709,products!$A$1:$A$49,0),MATCH(orders!J$1,products!$A$1:$G$1,0))</f>
        <v>D</v>
      </c>
      <c r="K709" s="7">
        <f>INDEX(products!$A$1:$G$49,MATCH(orders!$D709,products!$A$1:$A$49,0),MATCH(orders!K$1,products!$A$1:$G$1,0))</f>
        <v>1</v>
      </c>
      <c r="L709" s="4">
        <f>INDEX(products!$A$1:$G$49,MATCH(orders!$D709,products!$A$1:$A$49,0),MATCH(orders!L$1,products!$A$1:$G$1,0))</f>
        <v>12.95</v>
      </c>
      <c r="M709" s="4">
        <f t="shared" si="11"/>
        <v>25.9</v>
      </c>
      <c r="N709" t="str" cm="1">
        <f t="array" ref="N709">_xlfn.IFS(I709="Rob","Robusta",I709="Exc","Excelsa",I709="Ara","Arabica",I709="Lib","Liberica")</f>
        <v>Liberica</v>
      </c>
      <c r="O709" t="str" cm="1">
        <f t="array" ref="O709">_xlfn.IFS(J709="M","Medium",J709="L","Large",J709="D","Dark")</f>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_xlfn.XLOOKUP(C710,customers!$A$1:$A$1001,customers!$B$1:$B$1001,,0)</f>
        <v>Shelli De Banke</v>
      </c>
      <c r="G710" s="2" t="str">
        <f>IF(_xlfn.XLOOKUP(C710,customers!$A$1:$A$1001,customers!$C$1:$C$1001,,0)=0,"",_xlfn.XLOOKUP(C710,customers!$A$1:$A$1001,customers!$C$1:$C$1001,,0))</f>
        <v>sdejo@newsvine.com</v>
      </c>
      <c r="H710" s="2" t="str">
        <f>_xlfn.XLOOKUP(C710,customers!$A$1:$A$1001,customers!$G$1:$G$1001,,0)</f>
        <v>United States</v>
      </c>
      <c r="I710" t="str">
        <f>INDEX(products!$A$1:$G$49,MATCH(orders!$D710,products!$A$1:$A$49,0),MATCH(orders!I$1,products!$A$1:$G$1,0))</f>
        <v>Ara</v>
      </c>
      <c r="J710" t="str">
        <f>INDEX(products!$A$1:$G$49,MATCH(orders!$D710,products!$A$1:$A$49,0),MATCH(orders!J$1,products!$A$1:$G$1,0))</f>
        <v>M</v>
      </c>
      <c r="K710" s="7">
        <f>INDEX(products!$A$1:$G$49,MATCH(orders!$D710,products!$A$1:$A$49,0),MATCH(orders!K$1,products!$A$1:$G$1,0))</f>
        <v>0.5</v>
      </c>
      <c r="L710" s="4">
        <f>INDEX(products!$A$1:$G$49,MATCH(orders!$D710,products!$A$1:$A$49,0),MATCH(orders!L$1,products!$A$1:$G$1,0))</f>
        <v>6.75</v>
      </c>
      <c r="M710" s="4">
        <f t="shared" si="11"/>
        <v>13.5</v>
      </c>
      <c r="N710" t="str" cm="1">
        <f t="array" ref="N710">_xlfn.IFS(I710="Rob","Robusta",I710="Exc","Excelsa",I710="Ara","Arabica",I710="Lib","Liberica")</f>
        <v>Arabica</v>
      </c>
      <c r="O710" t="str" cm="1">
        <f t="array" ref="O710">_xlfn.IFS(J710="M","Medium",J710="L","Large",J710="D","Dark")</f>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_xlfn.XLOOKUP(C711,customers!$A$1:$A$1001,customers!$B$1:$B$1001,,0)</f>
        <v>Lyell Murch</v>
      </c>
      <c r="G711" s="2" t="str">
        <f>IF(_xlfn.XLOOKUP(C711,customers!$A$1:$A$1001,customers!$C$1:$C$1001,,0)=0,"",_xlfn.XLOOKUP(C711,customers!$A$1:$A$1001,customers!$C$1:$C$1001,,0))</f>
        <v/>
      </c>
      <c r="H711" s="2" t="str">
        <f>_xlfn.XLOOKUP(C711,customers!$A$1:$A$1001,customers!$G$1:$G$1001,,0)</f>
        <v>United States</v>
      </c>
      <c r="I711" t="str">
        <f>INDEX(products!$A$1:$G$49,MATCH(orders!$D711,products!$A$1:$A$49,0),MATCH(orders!I$1,products!$A$1:$G$1,0))</f>
        <v>Exc</v>
      </c>
      <c r="J711" t="str">
        <f>INDEX(products!$A$1:$G$49,MATCH(orders!$D711,products!$A$1:$A$49,0),MATCH(orders!J$1,products!$A$1:$G$1,0))</f>
        <v>L</v>
      </c>
      <c r="K711" s="7">
        <f>INDEX(products!$A$1:$G$49,MATCH(orders!$D711,products!$A$1:$A$49,0),MATCH(orders!K$1,products!$A$1:$G$1,0))</f>
        <v>0.5</v>
      </c>
      <c r="L711" s="4">
        <f>INDEX(products!$A$1:$G$49,MATCH(orders!$D711,products!$A$1:$A$49,0),MATCH(orders!L$1,products!$A$1:$G$1,0))</f>
        <v>8.91</v>
      </c>
      <c r="M711" s="4">
        <f t="shared" si="11"/>
        <v>17.82</v>
      </c>
      <c r="N711" t="str" cm="1">
        <f t="array" ref="N711">_xlfn.IFS(I711="Rob","Robusta",I711="Exc","Excelsa",I711="Ara","Arabica",I711="Lib","Liberica")</f>
        <v>Excelsa</v>
      </c>
      <c r="O711" t="str" cm="1">
        <f t="array" ref="O711">_xlfn.IFS(J711="M","Medium",J711="L","Large",J711="D","Dark")</f>
        <v>Large</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_xlfn.XLOOKUP(C712,customers!$A$1:$A$1001,customers!$B$1:$B$1001,,0)</f>
        <v>Stearne Count</v>
      </c>
      <c r="G712" s="2" t="str">
        <f>IF(_xlfn.XLOOKUP(C712,customers!$A$1:$A$1001,customers!$C$1:$C$1001,,0)=0,"",_xlfn.XLOOKUP(C712,customers!$A$1:$A$1001,customers!$C$1:$C$1001,,0))</f>
        <v>scountjq@nba.com</v>
      </c>
      <c r="H712" s="2" t="str">
        <f>_xlfn.XLOOKUP(C712,customers!$A$1:$A$1001,customers!$G$1:$G$1001,,0)</f>
        <v>United States</v>
      </c>
      <c r="I712" t="str">
        <f>INDEX(products!$A$1:$G$49,MATCH(orders!$D712,products!$A$1:$A$49,0),MATCH(orders!I$1,products!$A$1:$G$1,0))</f>
        <v>Exc</v>
      </c>
      <c r="J712" t="str">
        <f>INDEX(products!$A$1:$G$49,MATCH(orders!$D712,products!$A$1:$A$49,0),MATCH(orders!J$1,products!$A$1:$G$1,0))</f>
        <v>M</v>
      </c>
      <c r="K712" s="7">
        <f>INDEX(products!$A$1:$G$49,MATCH(orders!$D712,products!$A$1:$A$49,0),MATCH(orders!K$1,products!$A$1:$G$1,0))</f>
        <v>0.5</v>
      </c>
      <c r="L712" s="4">
        <f>INDEX(products!$A$1:$G$49,MATCH(orders!$D712,products!$A$1:$A$49,0),MATCH(orders!L$1,products!$A$1:$G$1,0))</f>
        <v>8.25</v>
      </c>
      <c r="M712" s="4">
        <f t="shared" si="11"/>
        <v>24.75</v>
      </c>
      <c r="N712" t="str" cm="1">
        <f t="array" ref="N712">_xlfn.IFS(I712="Rob","Robusta",I712="Exc","Excelsa",I712="Ara","Arabica",I712="Lib","Liberica")</f>
        <v>Excelsa</v>
      </c>
      <c r="O712" t="str" cm="1">
        <f t="array" ref="O712">_xlfn.IFS(J712="M","Medium",J712="L","Large",J712="D","Dark")</f>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_xlfn.XLOOKUP(C713,customers!$A$1:$A$1001,customers!$B$1:$B$1001,,0)</f>
        <v>Selia Ragles</v>
      </c>
      <c r="G713" s="2" t="str">
        <f>IF(_xlfn.XLOOKUP(C713,customers!$A$1:$A$1001,customers!$C$1:$C$1001,,0)=0,"",_xlfn.XLOOKUP(C713,customers!$A$1:$A$1001,customers!$C$1:$C$1001,,0))</f>
        <v>sraglesjr@blogtalkradio.com</v>
      </c>
      <c r="H713" s="2" t="str">
        <f>_xlfn.XLOOKUP(C713,customers!$A$1:$A$1001,customers!$G$1:$G$1001,,0)</f>
        <v>United States</v>
      </c>
      <c r="I713" t="str">
        <f>INDEX(products!$A$1:$G$49,MATCH(orders!$D713,products!$A$1:$A$49,0),MATCH(orders!I$1,products!$A$1:$G$1,0))</f>
        <v>Rob</v>
      </c>
      <c r="J713" t="str">
        <f>INDEX(products!$A$1:$G$49,MATCH(orders!$D713,products!$A$1:$A$49,0),MATCH(orders!J$1,products!$A$1:$G$1,0))</f>
        <v>M</v>
      </c>
      <c r="K713" s="7">
        <f>INDEX(products!$A$1:$G$49,MATCH(orders!$D713,products!$A$1:$A$49,0),MATCH(orders!K$1,products!$A$1:$G$1,0))</f>
        <v>0.2</v>
      </c>
      <c r="L713" s="4">
        <f>INDEX(products!$A$1:$G$49,MATCH(orders!$D713,products!$A$1:$A$49,0),MATCH(orders!L$1,products!$A$1:$G$1,0))</f>
        <v>2.9849999999999999</v>
      </c>
      <c r="M713" s="4">
        <f t="shared" si="11"/>
        <v>17.91</v>
      </c>
      <c r="N713" t="str" cm="1">
        <f t="array" ref="N713">_xlfn.IFS(I713="Rob","Robusta",I713="Exc","Excelsa",I713="Ara","Arabica",I713="Lib","Liberica")</f>
        <v>Robusta</v>
      </c>
      <c r="O713" t="str" cm="1">
        <f t="array" ref="O713">_xlfn.IFS(J713="M","Medium",J713="L","Large",J713="D","Dark")</f>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_xlfn.XLOOKUP(C714,customers!$A$1:$A$1001,customers!$B$1:$B$1001,,0)</f>
        <v>Silas Deehan</v>
      </c>
      <c r="G714" s="2" t="str">
        <f>IF(_xlfn.XLOOKUP(C714,customers!$A$1:$A$1001,customers!$C$1:$C$1001,,0)=0,"",_xlfn.XLOOKUP(C714,customers!$A$1:$A$1001,customers!$C$1:$C$1001,,0))</f>
        <v/>
      </c>
      <c r="H714" s="2" t="str">
        <f>_xlfn.XLOOKUP(C714,customers!$A$1:$A$1001,customers!$G$1:$G$1001,,0)</f>
        <v>United Kingdom</v>
      </c>
      <c r="I714" t="str">
        <f>INDEX(products!$A$1:$G$49,MATCH(orders!$D714,products!$A$1:$A$49,0),MATCH(orders!I$1,products!$A$1:$G$1,0))</f>
        <v>Exc</v>
      </c>
      <c r="J714" t="str">
        <f>INDEX(products!$A$1:$G$49,MATCH(orders!$D714,products!$A$1:$A$49,0),MATCH(orders!J$1,products!$A$1:$G$1,0))</f>
        <v>M</v>
      </c>
      <c r="K714" s="7">
        <f>INDEX(products!$A$1:$G$49,MATCH(orders!$D714,products!$A$1:$A$49,0),MATCH(orders!K$1,products!$A$1:$G$1,0))</f>
        <v>0.5</v>
      </c>
      <c r="L714" s="4">
        <f>INDEX(products!$A$1:$G$49,MATCH(orders!$D714,products!$A$1:$A$49,0),MATCH(orders!L$1,products!$A$1:$G$1,0))</f>
        <v>8.25</v>
      </c>
      <c r="M714" s="4">
        <f t="shared" si="11"/>
        <v>16.5</v>
      </c>
      <c r="N714" t="str" cm="1">
        <f t="array" ref="N714">_xlfn.IFS(I714="Rob","Robusta",I714="Exc","Excelsa",I714="Ara","Arabica",I714="Lib","Liberica")</f>
        <v>Excelsa</v>
      </c>
      <c r="O714" t="str" cm="1">
        <f t="array" ref="O714">_xlfn.IFS(J714="M","Medium",J714="L","Large",J714="D","Dark")</f>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_xlfn.XLOOKUP(C715,customers!$A$1:$A$1001,customers!$B$1:$B$1001,,0)</f>
        <v>Sacha Bruun</v>
      </c>
      <c r="G715" s="2" t="str">
        <f>IF(_xlfn.XLOOKUP(C715,customers!$A$1:$A$1001,customers!$C$1:$C$1001,,0)=0,"",_xlfn.XLOOKUP(C715,customers!$A$1:$A$1001,customers!$C$1:$C$1001,,0))</f>
        <v>sbruunjt@blogtalkradio.com</v>
      </c>
      <c r="H715" s="2" t="str">
        <f>_xlfn.XLOOKUP(C715,customers!$A$1:$A$1001,customers!$G$1:$G$1001,,0)</f>
        <v>United States</v>
      </c>
      <c r="I715" t="str">
        <f>INDEX(products!$A$1:$G$49,MATCH(orders!$D715,products!$A$1:$A$49,0),MATCH(orders!I$1,products!$A$1:$G$1,0))</f>
        <v>Rob</v>
      </c>
      <c r="J715" t="str">
        <f>INDEX(products!$A$1:$G$49,MATCH(orders!$D715,products!$A$1:$A$49,0),MATCH(orders!J$1,products!$A$1:$G$1,0))</f>
        <v>M</v>
      </c>
      <c r="K715" s="7">
        <f>INDEX(products!$A$1:$G$49,MATCH(orders!$D715,products!$A$1:$A$49,0),MATCH(orders!K$1,products!$A$1:$G$1,0))</f>
        <v>0.2</v>
      </c>
      <c r="L715" s="4">
        <f>INDEX(products!$A$1:$G$49,MATCH(orders!$D715,products!$A$1:$A$49,0),MATCH(orders!L$1,products!$A$1:$G$1,0))</f>
        <v>2.9849999999999999</v>
      </c>
      <c r="M715" s="4">
        <f t="shared" si="11"/>
        <v>2.9849999999999999</v>
      </c>
      <c r="N715" t="str" cm="1">
        <f t="array" ref="N715">_xlfn.IFS(I715="Rob","Robusta",I715="Exc","Excelsa",I715="Ara","Arabica",I715="Lib","Liberica")</f>
        <v>Robusta</v>
      </c>
      <c r="O715" t="str" cm="1">
        <f t="array" ref="O715">_xlfn.IFS(J715="M","Medium",J715="L","Large",J715="D","Dark")</f>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_xlfn.XLOOKUP(C716,customers!$A$1:$A$1001,customers!$B$1:$B$1001,,0)</f>
        <v>Alon Pllu</v>
      </c>
      <c r="G716" s="2" t="str">
        <f>IF(_xlfn.XLOOKUP(C716,customers!$A$1:$A$1001,customers!$C$1:$C$1001,,0)=0,"",_xlfn.XLOOKUP(C716,customers!$A$1:$A$1001,customers!$C$1:$C$1001,,0))</f>
        <v>aplluju@dagondesign.com</v>
      </c>
      <c r="H716" s="2" t="str">
        <f>_xlfn.XLOOKUP(C716,customers!$A$1:$A$1001,customers!$G$1:$G$1001,,0)</f>
        <v>Ireland</v>
      </c>
      <c r="I716" t="str">
        <f>INDEX(products!$A$1:$G$49,MATCH(orders!$D716,products!$A$1:$A$49,0),MATCH(orders!I$1,products!$A$1:$G$1,0))</f>
        <v>Exc</v>
      </c>
      <c r="J716" t="str">
        <f>INDEX(products!$A$1:$G$49,MATCH(orders!$D716,products!$A$1:$A$49,0),MATCH(orders!J$1,products!$A$1:$G$1,0))</f>
        <v>D</v>
      </c>
      <c r="K716" s="7">
        <f>INDEX(products!$A$1:$G$49,MATCH(orders!$D716,products!$A$1:$A$49,0),MATCH(orders!K$1,products!$A$1:$G$1,0))</f>
        <v>0.2</v>
      </c>
      <c r="L716" s="4">
        <f>INDEX(products!$A$1:$G$49,MATCH(orders!$D716,products!$A$1:$A$49,0),MATCH(orders!L$1,products!$A$1:$G$1,0))</f>
        <v>3.645</v>
      </c>
      <c r="M716" s="4">
        <f t="shared" si="11"/>
        <v>14.58</v>
      </c>
      <c r="N716" t="str" cm="1">
        <f t="array" ref="N716">_xlfn.IFS(I716="Rob","Robusta",I716="Exc","Excelsa",I716="Ara","Arabica",I716="Lib","Liberica")</f>
        <v>Excelsa</v>
      </c>
      <c r="O716" t="str" cm="1">
        <f t="array" ref="O716">_xlfn.IFS(J716="M","Medium",J716="L","Large",J716="D","Dark")</f>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_xlfn.XLOOKUP(C717,customers!$A$1:$A$1001,customers!$B$1:$B$1001,,0)</f>
        <v>Gilberto Cornier</v>
      </c>
      <c r="G717" s="2" t="str">
        <f>IF(_xlfn.XLOOKUP(C717,customers!$A$1:$A$1001,customers!$C$1:$C$1001,,0)=0,"",_xlfn.XLOOKUP(C717,customers!$A$1:$A$1001,customers!$C$1:$C$1001,,0))</f>
        <v>gcornierjv@techcrunch.com</v>
      </c>
      <c r="H717" s="2" t="str">
        <f>_xlfn.XLOOKUP(C717,customers!$A$1:$A$1001,customers!$G$1:$G$1001,,0)</f>
        <v>United States</v>
      </c>
      <c r="I717" t="str">
        <f>INDEX(products!$A$1:$G$49,MATCH(orders!$D717,products!$A$1:$A$49,0),MATCH(orders!I$1,products!$A$1:$G$1,0))</f>
        <v>Exc</v>
      </c>
      <c r="J717" t="str">
        <f>INDEX(products!$A$1:$G$49,MATCH(orders!$D717,products!$A$1:$A$49,0),MATCH(orders!J$1,products!$A$1:$G$1,0))</f>
        <v>L</v>
      </c>
      <c r="K717" s="7">
        <f>INDEX(products!$A$1:$G$49,MATCH(orders!$D717,products!$A$1:$A$49,0),MATCH(orders!K$1,products!$A$1:$G$1,0))</f>
        <v>1</v>
      </c>
      <c r="L717" s="4">
        <f>INDEX(products!$A$1:$G$49,MATCH(orders!$D717,products!$A$1:$A$49,0),MATCH(orders!L$1,products!$A$1:$G$1,0))</f>
        <v>14.85</v>
      </c>
      <c r="M717" s="4">
        <f t="shared" si="11"/>
        <v>89.1</v>
      </c>
      <c r="N717" t="str" cm="1">
        <f t="array" ref="N717">_xlfn.IFS(I717="Rob","Robusta",I717="Exc","Excelsa",I717="Ara","Arabica",I717="Lib","Liberica")</f>
        <v>Excelsa</v>
      </c>
      <c r="O717" t="str" cm="1">
        <f t="array" ref="O717">_xlfn.IFS(J717="M","Medium",J717="L","Large",J717="D","Dark")</f>
        <v>Large</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_xlfn.XLOOKUP(C718,customers!$A$1:$A$1001,customers!$B$1:$B$1001,,0)</f>
        <v>Jimmy Dymoke</v>
      </c>
      <c r="G718" s="2" t="str">
        <f>IF(_xlfn.XLOOKUP(C718,customers!$A$1:$A$1001,customers!$C$1:$C$1001,,0)=0,"",_xlfn.XLOOKUP(C718,customers!$A$1:$A$1001,customers!$C$1:$C$1001,,0))</f>
        <v>jdymokeje@prnewswire.com</v>
      </c>
      <c r="H718" s="2" t="str">
        <f>_xlfn.XLOOKUP(C718,customers!$A$1:$A$1001,customers!$G$1:$G$1001,,0)</f>
        <v>Ireland</v>
      </c>
      <c r="I718" t="str">
        <f>INDEX(products!$A$1:$G$49,MATCH(orders!$D718,products!$A$1:$A$49,0),MATCH(orders!I$1,products!$A$1:$G$1,0))</f>
        <v>Rob</v>
      </c>
      <c r="J718" t="str">
        <f>INDEX(products!$A$1:$G$49,MATCH(orders!$D718,products!$A$1:$A$49,0),MATCH(orders!J$1,products!$A$1:$G$1,0))</f>
        <v>L</v>
      </c>
      <c r="K718" s="7">
        <f>INDEX(products!$A$1:$G$49,MATCH(orders!$D718,products!$A$1:$A$49,0),MATCH(orders!K$1,products!$A$1:$G$1,0))</f>
        <v>1</v>
      </c>
      <c r="L718" s="4">
        <f>INDEX(products!$A$1:$G$49,MATCH(orders!$D718,products!$A$1:$A$49,0),MATCH(orders!L$1,products!$A$1:$G$1,0))</f>
        <v>11.95</v>
      </c>
      <c r="M718" s="4">
        <f t="shared" si="11"/>
        <v>35.849999999999994</v>
      </c>
      <c r="N718" t="str" cm="1">
        <f t="array" ref="N718">_xlfn.IFS(I718="Rob","Robusta",I718="Exc","Excelsa",I718="Ara","Arabica",I718="Lib","Liberica")</f>
        <v>Robusta</v>
      </c>
      <c r="O718" t="str" cm="1">
        <f t="array" ref="O718">_xlfn.IFS(J718="M","Medium",J718="L","Large",J718="D","Dark")</f>
        <v>Large</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_xlfn.XLOOKUP(C719,customers!$A$1:$A$1001,customers!$B$1:$B$1001,,0)</f>
        <v>Willabella Harvison</v>
      </c>
      <c r="G719" s="2" t="str">
        <f>IF(_xlfn.XLOOKUP(C719,customers!$A$1:$A$1001,customers!$C$1:$C$1001,,0)=0,"",_xlfn.XLOOKUP(C719,customers!$A$1:$A$1001,customers!$C$1:$C$1001,,0))</f>
        <v>wharvisonjx@gizmodo.com</v>
      </c>
      <c r="H719" s="2" t="str">
        <f>_xlfn.XLOOKUP(C719,customers!$A$1:$A$1001,customers!$G$1:$G$1001,,0)</f>
        <v>United States</v>
      </c>
      <c r="I719" t="str">
        <f>INDEX(products!$A$1:$G$49,MATCH(orders!$D719,products!$A$1:$A$49,0),MATCH(orders!I$1,products!$A$1:$G$1,0))</f>
        <v>Ara</v>
      </c>
      <c r="J719" t="str">
        <f>INDEX(products!$A$1:$G$49,MATCH(orders!$D719,products!$A$1:$A$49,0),MATCH(orders!J$1,products!$A$1:$G$1,0))</f>
        <v>D</v>
      </c>
      <c r="K719" s="7">
        <f>INDEX(products!$A$1:$G$49,MATCH(orders!$D719,products!$A$1:$A$49,0),MATCH(orders!K$1,products!$A$1:$G$1,0))</f>
        <v>2.5</v>
      </c>
      <c r="L719" s="4">
        <f>INDEX(products!$A$1:$G$49,MATCH(orders!$D719,products!$A$1:$A$49,0),MATCH(orders!L$1,products!$A$1:$G$1,0))</f>
        <v>22.884999999999998</v>
      </c>
      <c r="M719" s="4">
        <f t="shared" si="11"/>
        <v>68.655000000000001</v>
      </c>
      <c r="N719" t="str" cm="1">
        <f t="array" ref="N719">_xlfn.IFS(I719="Rob","Robusta",I719="Exc","Excelsa",I719="Ara","Arabica",I719="Lib","Liberica")</f>
        <v>Arabica</v>
      </c>
      <c r="O719" t="str" cm="1">
        <f t="array" ref="O719">_xlfn.IFS(J719="M","Medium",J719="L","Large",J719="D","Dark")</f>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_xlfn.XLOOKUP(C720,customers!$A$1:$A$1001,customers!$B$1:$B$1001,,0)</f>
        <v>Darice Heaford</v>
      </c>
      <c r="G720" s="2" t="str">
        <f>IF(_xlfn.XLOOKUP(C720,customers!$A$1:$A$1001,customers!$C$1:$C$1001,,0)=0,"",_xlfn.XLOOKUP(C720,customers!$A$1:$A$1001,customers!$C$1:$C$1001,,0))</f>
        <v>dheafordjy@twitpic.com</v>
      </c>
      <c r="H720" s="2" t="str">
        <f>_xlfn.XLOOKUP(C720,customers!$A$1:$A$1001,customers!$G$1:$G$1001,,0)</f>
        <v>United States</v>
      </c>
      <c r="I720" t="str">
        <f>INDEX(products!$A$1:$G$49,MATCH(orders!$D720,products!$A$1:$A$49,0),MATCH(orders!I$1,products!$A$1:$G$1,0))</f>
        <v>Lib</v>
      </c>
      <c r="J720" t="str">
        <f>INDEX(products!$A$1:$G$49,MATCH(orders!$D720,products!$A$1:$A$49,0),MATCH(orders!J$1,products!$A$1:$G$1,0))</f>
        <v>D</v>
      </c>
      <c r="K720" s="7">
        <f>INDEX(products!$A$1:$G$49,MATCH(orders!$D720,products!$A$1:$A$49,0),MATCH(orders!K$1,products!$A$1:$G$1,0))</f>
        <v>1</v>
      </c>
      <c r="L720" s="4">
        <f>INDEX(products!$A$1:$G$49,MATCH(orders!$D720,products!$A$1:$A$49,0),MATCH(orders!L$1,products!$A$1:$G$1,0))</f>
        <v>12.95</v>
      </c>
      <c r="M720" s="4">
        <f t="shared" si="11"/>
        <v>38.849999999999994</v>
      </c>
      <c r="N720" t="str" cm="1">
        <f t="array" ref="N720">_xlfn.IFS(I720="Rob","Robusta",I720="Exc","Excelsa",I720="Ara","Arabica",I720="Lib","Liberica")</f>
        <v>Liberica</v>
      </c>
      <c r="O720" t="str" cm="1">
        <f t="array" ref="O720">_xlfn.IFS(J720="M","Medium",J720="L","Large",J720="D","Dark")</f>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_xlfn.XLOOKUP(C721,customers!$A$1:$A$1001,customers!$B$1:$B$1001,,0)</f>
        <v>Granger Fantham</v>
      </c>
      <c r="G721" s="2" t="str">
        <f>IF(_xlfn.XLOOKUP(C721,customers!$A$1:$A$1001,customers!$C$1:$C$1001,,0)=0,"",_xlfn.XLOOKUP(C721,customers!$A$1:$A$1001,customers!$C$1:$C$1001,,0))</f>
        <v>gfanthamjz@hexun.com</v>
      </c>
      <c r="H721" s="2" t="str">
        <f>_xlfn.XLOOKUP(C721,customers!$A$1:$A$1001,customers!$G$1:$G$1001,,0)</f>
        <v>United States</v>
      </c>
      <c r="I721" t="str">
        <f>INDEX(products!$A$1:$G$49,MATCH(orders!$D721,products!$A$1:$A$49,0),MATCH(orders!I$1,products!$A$1:$G$1,0))</f>
        <v>Lib</v>
      </c>
      <c r="J721" t="str">
        <f>INDEX(products!$A$1:$G$49,MATCH(orders!$D721,products!$A$1:$A$49,0),MATCH(orders!J$1,products!$A$1:$G$1,0))</f>
        <v>L</v>
      </c>
      <c r="K721" s="7">
        <f>INDEX(products!$A$1:$G$49,MATCH(orders!$D721,products!$A$1:$A$49,0),MATCH(orders!K$1,products!$A$1:$G$1,0))</f>
        <v>1</v>
      </c>
      <c r="L721" s="4">
        <f>INDEX(products!$A$1:$G$49,MATCH(orders!$D721,products!$A$1:$A$49,0),MATCH(orders!L$1,products!$A$1:$G$1,0))</f>
        <v>15.85</v>
      </c>
      <c r="M721" s="4">
        <f t="shared" si="11"/>
        <v>79.25</v>
      </c>
      <c r="N721" t="str" cm="1">
        <f t="array" ref="N721">_xlfn.IFS(I721="Rob","Robusta",I721="Exc","Excelsa",I721="Ara","Arabica",I721="Lib","Liberica")</f>
        <v>Liberica</v>
      </c>
      <c r="O721" t="str" cm="1">
        <f t="array" ref="O721">_xlfn.IFS(J721="M","Medium",J721="L","Large",J721="D","Dark")</f>
        <v>Large</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_xlfn.XLOOKUP(C722,customers!$A$1:$A$1001,customers!$B$1:$B$1001,,0)</f>
        <v>Reynolds Crookshanks</v>
      </c>
      <c r="G722" s="2" t="str">
        <f>IF(_xlfn.XLOOKUP(C722,customers!$A$1:$A$1001,customers!$C$1:$C$1001,,0)=0,"",_xlfn.XLOOKUP(C722,customers!$A$1:$A$1001,customers!$C$1:$C$1001,,0))</f>
        <v>rcrookshanksk0@unc.edu</v>
      </c>
      <c r="H722" s="2" t="str">
        <f>_xlfn.XLOOKUP(C722,customers!$A$1:$A$1001,customers!$G$1:$G$1001,,0)</f>
        <v>United States</v>
      </c>
      <c r="I722" t="str">
        <f>INDEX(products!$A$1:$G$49,MATCH(orders!$D722,products!$A$1:$A$49,0),MATCH(orders!I$1,products!$A$1:$G$1,0))</f>
        <v>Exc</v>
      </c>
      <c r="J722" t="str">
        <f>INDEX(products!$A$1:$G$49,MATCH(orders!$D722,products!$A$1:$A$49,0),MATCH(orders!J$1,products!$A$1:$G$1,0))</f>
        <v>D</v>
      </c>
      <c r="K722" s="7">
        <f>INDEX(products!$A$1:$G$49,MATCH(orders!$D722,products!$A$1:$A$49,0),MATCH(orders!K$1,products!$A$1:$G$1,0))</f>
        <v>0.5</v>
      </c>
      <c r="L722" s="4">
        <f>INDEX(products!$A$1:$G$49,MATCH(orders!$D722,products!$A$1:$A$49,0),MATCH(orders!L$1,products!$A$1:$G$1,0))</f>
        <v>7.29</v>
      </c>
      <c r="M722" s="4">
        <f t="shared" si="11"/>
        <v>36.450000000000003</v>
      </c>
      <c r="N722" t="str" cm="1">
        <f t="array" ref="N722">_xlfn.IFS(I722="Rob","Robusta",I722="Exc","Excelsa",I722="Ara","Arabica",I722="Lib","Liberica")</f>
        <v>Excelsa</v>
      </c>
      <c r="O722" t="str" cm="1">
        <f t="array" ref="O722">_xlfn.IFS(J722="M","Medium",J722="L","Large",J722="D","Dark")</f>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_xlfn.XLOOKUP(C723,customers!$A$1:$A$1001,customers!$B$1:$B$1001,,0)</f>
        <v>Niels Leake</v>
      </c>
      <c r="G723" s="2" t="str">
        <f>IF(_xlfn.XLOOKUP(C723,customers!$A$1:$A$1001,customers!$C$1:$C$1001,,0)=0,"",_xlfn.XLOOKUP(C723,customers!$A$1:$A$1001,customers!$C$1:$C$1001,,0))</f>
        <v>nleakek1@cmu.edu</v>
      </c>
      <c r="H723" s="2" t="str">
        <f>_xlfn.XLOOKUP(C723,customers!$A$1:$A$1001,customers!$G$1:$G$1001,,0)</f>
        <v>United States</v>
      </c>
      <c r="I723" t="str">
        <f>INDEX(products!$A$1:$G$49,MATCH(orders!$D723,products!$A$1:$A$49,0),MATCH(orders!I$1,products!$A$1:$G$1,0))</f>
        <v>Rob</v>
      </c>
      <c r="J723" t="str">
        <f>INDEX(products!$A$1:$G$49,MATCH(orders!$D723,products!$A$1:$A$49,0),MATCH(orders!J$1,products!$A$1:$G$1,0))</f>
        <v>M</v>
      </c>
      <c r="K723" s="7">
        <f>INDEX(products!$A$1:$G$49,MATCH(orders!$D723,products!$A$1:$A$49,0),MATCH(orders!K$1,products!$A$1:$G$1,0))</f>
        <v>0.2</v>
      </c>
      <c r="L723" s="4">
        <f>INDEX(products!$A$1:$G$49,MATCH(orders!$D723,products!$A$1:$A$49,0),MATCH(orders!L$1,products!$A$1:$G$1,0))</f>
        <v>2.9849999999999999</v>
      </c>
      <c r="M723" s="4">
        <f t="shared" si="11"/>
        <v>8.9550000000000001</v>
      </c>
      <c r="N723" t="str" cm="1">
        <f t="array" ref="N723">_xlfn.IFS(I723="Rob","Robusta",I723="Exc","Excelsa",I723="Ara","Arabica",I723="Lib","Liberica")</f>
        <v>Robusta</v>
      </c>
      <c r="O723" t="str" cm="1">
        <f t="array" ref="O723">_xlfn.IFS(J723="M","Medium",J723="L","Large",J723="D","Dark")</f>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_xlfn.XLOOKUP(C724,customers!$A$1:$A$1001,customers!$B$1:$B$1001,,0)</f>
        <v>Hetti Measures</v>
      </c>
      <c r="G724" s="2" t="str">
        <f>IF(_xlfn.XLOOKUP(C724,customers!$A$1:$A$1001,customers!$C$1:$C$1001,,0)=0,"",_xlfn.XLOOKUP(C724,customers!$A$1:$A$1001,customers!$C$1:$C$1001,,0))</f>
        <v/>
      </c>
      <c r="H724" s="2" t="str">
        <f>_xlfn.XLOOKUP(C724,customers!$A$1:$A$1001,customers!$G$1:$G$1001,,0)</f>
        <v>United States</v>
      </c>
      <c r="I724" t="str">
        <f>INDEX(products!$A$1:$G$49,MATCH(orders!$D724,products!$A$1:$A$49,0),MATCH(orders!I$1,products!$A$1:$G$1,0))</f>
        <v>Exc</v>
      </c>
      <c r="J724" t="str">
        <f>INDEX(products!$A$1:$G$49,MATCH(orders!$D724,products!$A$1:$A$49,0),MATCH(orders!J$1,products!$A$1:$G$1,0))</f>
        <v>D</v>
      </c>
      <c r="K724" s="7">
        <f>INDEX(products!$A$1:$G$49,MATCH(orders!$D724,products!$A$1:$A$49,0),MATCH(orders!K$1,products!$A$1:$G$1,0))</f>
        <v>1</v>
      </c>
      <c r="L724" s="4">
        <f>INDEX(products!$A$1:$G$49,MATCH(orders!$D724,products!$A$1:$A$49,0),MATCH(orders!L$1,products!$A$1:$G$1,0))</f>
        <v>12.15</v>
      </c>
      <c r="M724" s="4">
        <f t="shared" si="11"/>
        <v>24.3</v>
      </c>
      <c r="N724" t="str" cm="1">
        <f t="array" ref="N724">_xlfn.IFS(I724="Rob","Robusta",I724="Exc","Excelsa",I724="Ara","Arabica",I724="Lib","Liberica")</f>
        <v>Excelsa</v>
      </c>
      <c r="O724" t="str" cm="1">
        <f t="array" ref="O724">_xlfn.IFS(J724="M","Medium",J724="L","Large",J724="D","Dark")</f>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_xlfn.XLOOKUP(C725,customers!$A$1:$A$1001,customers!$B$1:$B$1001,,0)</f>
        <v>Gay Eilhersen</v>
      </c>
      <c r="G725" s="2" t="str">
        <f>IF(_xlfn.XLOOKUP(C725,customers!$A$1:$A$1001,customers!$C$1:$C$1001,,0)=0,"",_xlfn.XLOOKUP(C725,customers!$A$1:$A$1001,customers!$C$1:$C$1001,,0))</f>
        <v>geilhersenk3@networksolutions.com</v>
      </c>
      <c r="H725" s="2" t="str">
        <f>_xlfn.XLOOKUP(C725,customers!$A$1:$A$1001,customers!$G$1:$G$1001,,0)</f>
        <v>United States</v>
      </c>
      <c r="I725" t="str">
        <f>INDEX(products!$A$1:$G$49,MATCH(orders!$D725,products!$A$1:$A$49,0),MATCH(orders!I$1,products!$A$1:$G$1,0))</f>
        <v>Exc</v>
      </c>
      <c r="J725" t="str">
        <f>INDEX(products!$A$1:$G$49,MATCH(orders!$D725,products!$A$1:$A$49,0),MATCH(orders!J$1,products!$A$1:$G$1,0))</f>
        <v>M</v>
      </c>
      <c r="K725" s="7">
        <f>INDEX(products!$A$1:$G$49,MATCH(orders!$D725,products!$A$1:$A$49,0),MATCH(orders!K$1,products!$A$1:$G$1,0))</f>
        <v>2.5</v>
      </c>
      <c r="L725" s="4">
        <f>INDEX(products!$A$1:$G$49,MATCH(orders!$D725,products!$A$1:$A$49,0),MATCH(orders!L$1,products!$A$1:$G$1,0))</f>
        <v>31.624999999999996</v>
      </c>
      <c r="M725" s="4">
        <f t="shared" si="11"/>
        <v>63.249999999999993</v>
      </c>
      <c r="N725" t="str" cm="1">
        <f t="array" ref="N725">_xlfn.IFS(I725="Rob","Robusta",I725="Exc","Excelsa",I725="Ara","Arabica",I725="Lib","Liberica")</f>
        <v>Excelsa</v>
      </c>
      <c r="O725" t="str" cm="1">
        <f t="array" ref="O725">_xlfn.IFS(J725="M","Medium",J725="L","Large",J725="D","Dark")</f>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_xlfn.XLOOKUP(C726,customers!$A$1:$A$1001,customers!$B$1:$B$1001,,0)</f>
        <v>Nico Hubert</v>
      </c>
      <c r="G726" s="2" t="str">
        <f>IF(_xlfn.XLOOKUP(C726,customers!$A$1:$A$1001,customers!$C$1:$C$1001,,0)=0,"",_xlfn.XLOOKUP(C726,customers!$A$1:$A$1001,customers!$C$1:$C$1001,,0))</f>
        <v/>
      </c>
      <c r="H726" s="2" t="str">
        <f>_xlfn.XLOOKUP(C726,customers!$A$1:$A$1001,customers!$G$1:$G$1001,,0)</f>
        <v>United States</v>
      </c>
      <c r="I726" t="str">
        <f>INDEX(products!$A$1:$G$49,MATCH(orders!$D726,products!$A$1:$A$49,0),MATCH(orders!I$1,products!$A$1:$G$1,0))</f>
        <v>Ara</v>
      </c>
      <c r="J726" t="str">
        <f>INDEX(products!$A$1:$G$49,MATCH(orders!$D726,products!$A$1:$A$49,0),MATCH(orders!J$1,products!$A$1:$G$1,0))</f>
        <v>M</v>
      </c>
      <c r="K726" s="7">
        <f>INDEX(products!$A$1:$G$49,MATCH(orders!$D726,products!$A$1:$A$49,0),MATCH(orders!K$1,products!$A$1:$G$1,0))</f>
        <v>0.2</v>
      </c>
      <c r="L726" s="4">
        <f>INDEX(products!$A$1:$G$49,MATCH(orders!$D726,products!$A$1:$A$49,0),MATCH(orders!L$1,products!$A$1:$G$1,0))</f>
        <v>3.375</v>
      </c>
      <c r="M726" s="4">
        <f t="shared" si="11"/>
        <v>6.75</v>
      </c>
      <c r="N726" t="str" cm="1">
        <f t="array" ref="N726">_xlfn.IFS(I726="Rob","Robusta",I726="Exc","Excelsa",I726="Ara","Arabica",I726="Lib","Liberica")</f>
        <v>Arabica</v>
      </c>
      <c r="O726" t="str" cm="1">
        <f t="array" ref="O726">_xlfn.IFS(J726="M","Medium",J726="L","Large",J726="D","Dark")</f>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_xlfn.XLOOKUP(C727,customers!$A$1:$A$1001,customers!$B$1:$B$1001,,0)</f>
        <v>Cristina Aleixo</v>
      </c>
      <c r="G727" s="2" t="str">
        <f>IF(_xlfn.XLOOKUP(C727,customers!$A$1:$A$1001,customers!$C$1:$C$1001,,0)=0,"",_xlfn.XLOOKUP(C727,customers!$A$1:$A$1001,customers!$C$1:$C$1001,,0))</f>
        <v>caleixok5@globo.com</v>
      </c>
      <c r="H727" s="2" t="str">
        <f>_xlfn.XLOOKUP(C727,customers!$A$1:$A$1001,customers!$G$1:$G$1001,,0)</f>
        <v>United States</v>
      </c>
      <c r="I727" t="str">
        <f>INDEX(products!$A$1:$G$49,MATCH(orders!$D727,products!$A$1:$A$49,0),MATCH(orders!I$1,products!$A$1:$G$1,0))</f>
        <v>Ara</v>
      </c>
      <c r="J727" t="str">
        <f>INDEX(products!$A$1:$G$49,MATCH(orders!$D727,products!$A$1:$A$49,0),MATCH(orders!J$1,products!$A$1:$G$1,0))</f>
        <v>L</v>
      </c>
      <c r="K727" s="7">
        <f>INDEX(products!$A$1:$G$49,MATCH(orders!$D727,products!$A$1:$A$49,0),MATCH(orders!K$1,products!$A$1:$G$1,0))</f>
        <v>0.2</v>
      </c>
      <c r="L727" s="4">
        <f>INDEX(products!$A$1:$G$49,MATCH(orders!$D727,products!$A$1:$A$49,0),MATCH(orders!L$1,products!$A$1:$G$1,0))</f>
        <v>3.8849999999999998</v>
      </c>
      <c r="M727" s="4">
        <f t="shared" si="11"/>
        <v>23.31</v>
      </c>
      <c r="N727" t="str" cm="1">
        <f t="array" ref="N727">_xlfn.IFS(I727="Rob","Robusta",I727="Exc","Excelsa",I727="Ara","Arabica",I727="Lib","Liberica")</f>
        <v>Arabica</v>
      </c>
      <c r="O727" t="str" cm="1">
        <f t="array" ref="O727">_xlfn.IFS(J727="M","Medium",J727="L","Large",J727="D","Dark")</f>
        <v>Large</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_xlfn.XLOOKUP(C728,customers!$A$1:$A$1001,customers!$B$1:$B$1001,,0)</f>
        <v>Derrek Allpress</v>
      </c>
      <c r="G728" s="2" t="str">
        <f>IF(_xlfn.XLOOKUP(C728,customers!$A$1:$A$1001,customers!$C$1:$C$1001,,0)=0,"",_xlfn.XLOOKUP(C728,customers!$A$1:$A$1001,customers!$C$1:$C$1001,,0))</f>
        <v/>
      </c>
      <c r="H728" s="2" t="str">
        <f>_xlfn.XLOOKUP(C728,customers!$A$1:$A$1001,customers!$G$1:$G$1001,,0)</f>
        <v>United States</v>
      </c>
      <c r="I728" t="str">
        <f>INDEX(products!$A$1:$G$49,MATCH(orders!$D728,products!$A$1:$A$49,0),MATCH(orders!I$1,products!$A$1:$G$1,0))</f>
        <v>Lib</v>
      </c>
      <c r="J728" t="str">
        <f>INDEX(products!$A$1:$G$49,MATCH(orders!$D728,products!$A$1:$A$49,0),MATCH(orders!J$1,products!$A$1:$G$1,0))</f>
        <v>L</v>
      </c>
      <c r="K728" s="7">
        <f>INDEX(products!$A$1:$G$49,MATCH(orders!$D728,products!$A$1:$A$49,0),MATCH(orders!K$1,products!$A$1:$G$1,0))</f>
        <v>2.5</v>
      </c>
      <c r="L728" s="4">
        <f>INDEX(products!$A$1:$G$49,MATCH(orders!$D728,products!$A$1:$A$49,0),MATCH(orders!L$1,products!$A$1:$G$1,0))</f>
        <v>36.454999999999998</v>
      </c>
      <c r="M728" s="4">
        <f t="shared" si="11"/>
        <v>145.82</v>
      </c>
      <c r="N728" t="str" cm="1">
        <f t="array" ref="N728">_xlfn.IFS(I728="Rob","Robusta",I728="Exc","Excelsa",I728="Ara","Arabica",I728="Lib","Liberica")</f>
        <v>Liberica</v>
      </c>
      <c r="O728" t="str" cm="1">
        <f t="array" ref="O728">_xlfn.IFS(J728="M","Medium",J728="L","Large",J728="D","Dark")</f>
        <v>Large</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_xlfn.XLOOKUP(C729,customers!$A$1:$A$1001,customers!$B$1:$B$1001,,0)</f>
        <v>Rikki Tomkowicz</v>
      </c>
      <c r="G729" s="2" t="str">
        <f>IF(_xlfn.XLOOKUP(C729,customers!$A$1:$A$1001,customers!$C$1:$C$1001,,0)=0,"",_xlfn.XLOOKUP(C729,customers!$A$1:$A$1001,customers!$C$1:$C$1001,,0))</f>
        <v>rtomkowiczk7@bravesites.com</v>
      </c>
      <c r="H729" s="2" t="str">
        <f>_xlfn.XLOOKUP(C729,customers!$A$1:$A$1001,customers!$G$1:$G$1001,,0)</f>
        <v>Ireland</v>
      </c>
      <c r="I729" t="str">
        <f>INDEX(products!$A$1:$G$49,MATCH(orders!$D729,products!$A$1:$A$49,0),MATCH(orders!I$1,products!$A$1:$G$1,0))</f>
        <v>Rob</v>
      </c>
      <c r="J729" t="str">
        <f>INDEX(products!$A$1:$G$49,MATCH(orders!$D729,products!$A$1:$A$49,0),MATCH(orders!J$1,products!$A$1:$G$1,0))</f>
        <v>M</v>
      </c>
      <c r="K729" s="7">
        <f>INDEX(products!$A$1:$G$49,MATCH(orders!$D729,products!$A$1:$A$49,0),MATCH(orders!K$1,products!$A$1:$G$1,0))</f>
        <v>0.5</v>
      </c>
      <c r="L729" s="4">
        <f>INDEX(products!$A$1:$G$49,MATCH(orders!$D729,products!$A$1:$A$49,0),MATCH(orders!L$1,products!$A$1:$G$1,0))</f>
        <v>5.97</v>
      </c>
      <c r="M729" s="4">
        <f t="shared" si="11"/>
        <v>29.849999999999998</v>
      </c>
      <c r="N729" t="str" cm="1">
        <f t="array" ref="N729">_xlfn.IFS(I729="Rob","Robusta",I729="Exc","Excelsa",I729="Ara","Arabica",I729="Lib","Liberica")</f>
        <v>Robusta</v>
      </c>
      <c r="O729" t="str" cm="1">
        <f t="array" ref="O729">_xlfn.IFS(J729="M","Medium",J729="L","Large",J729="D","Dark")</f>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_xlfn.XLOOKUP(C730,customers!$A$1:$A$1001,customers!$B$1:$B$1001,,0)</f>
        <v>Rochette Huscroft</v>
      </c>
      <c r="G730" s="2" t="str">
        <f>IF(_xlfn.XLOOKUP(C730,customers!$A$1:$A$1001,customers!$C$1:$C$1001,,0)=0,"",_xlfn.XLOOKUP(C730,customers!$A$1:$A$1001,customers!$C$1:$C$1001,,0))</f>
        <v>rhuscroftk8@jimdo.com</v>
      </c>
      <c r="H730" s="2" t="str">
        <f>_xlfn.XLOOKUP(C730,customers!$A$1:$A$1001,customers!$G$1:$G$1001,,0)</f>
        <v>United States</v>
      </c>
      <c r="I730" t="str">
        <f>INDEX(products!$A$1:$G$49,MATCH(orders!$D730,products!$A$1:$A$49,0),MATCH(orders!I$1,products!$A$1:$G$1,0))</f>
        <v>Exc</v>
      </c>
      <c r="J730" t="str">
        <f>INDEX(products!$A$1:$G$49,MATCH(orders!$D730,products!$A$1:$A$49,0),MATCH(orders!J$1,products!$A$1:$G$1,0))</f>
        <v>D</v>
      </c>
      <c r="K730" s="7">
        <f>INDEX(products!$A$1:$G$49,MATCH(orders!$D730,products!$A$1:$A$49,0),MATCH(orders!K$1,products!$A$1:$G$1,0))</f>
        <v>0.5</v>
      </c>
      <c r="L730" s="4">
        <f>INDEX(products!$A$1:$G$49,MATCH(orders!$D730,products!$A$1:$A$49,0),MATCH(orders!L$1,products!$A$1:$G$1,0))</f>
        <v>7.29</v>
      </c>
      <c r="M730" s="4">
        <f t="shared" si="11"/>
        <v>21.87</v>
      </c>
      <c r="N730" t="str" cm="1">
        <f t="array" ref="N730">_xlfn.IFS(I730="Rob","Robusta",I730="Exc","Excelsa",I730="Ara","Arabica",I730="Lib","Liberica")</f>
        <v>Excelsa</v>
      </c>
      <c r="O730" t="str" cm="1">
        <f t="array" ref="O730">_xlfn.IFS(J730="M","Medium",J730="L","Large",J730="D","Dark")</f>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_xlfn.XLOOKUP(C731,customers!$A$1:$A$1001,customers!$B$1:$B$1001,,0)</f>
        <v>Selle Scurrer</v>
      </c>
      <c r="G731" s="2" t="str">
        <f>IF(_xlfn.XLOOKUP(C731,customers!$A$1:$A$1001,customers!$C$1:$C$1001,,0)=0,"",_xlfn.XLOOKUP(C731,customers!$A$1:$A$1001,customers!$C$1:$C$1001,,0))</f>
        <v>sscurrerk9@flavors.me</v>
      </c>
      <c r="H731" s="2" t="str">
        <f>_xlfn.XLOOKUP(C731,customers!$A$1:$A$1001,customers!$G$1:$G$1001,,0)</f>
        <v>United Kingdom</v>
      </c>
      <c r="I731" t="str">
        <f>INDEX(products!$A$1:$G$49,MATCH(orders!$D731,products!$A$1:$A$49,0),MATCH(orders!I$1,products!$A$1:$G$1,0))</f>
        <v>Lib</v>
      </c>
      <c r="J731" t="str">
        <f>INDEX(products!$A$1:$G$49,MATCH(orders!$D731,products!$A$1:$A$49,0),MATCH(orders!J$1,products!$A$1:$G$1,0))</f>
        <v>M</v>
      </c>
      <c r="K731" s="7">
        <f>INDEX(products!$A$1:$G$49,MATCH(orders!$D731,products!$A$1:$A$49,0),MATCH(orders!K$1,products!$A$1:$G$1,0))</f>
        <v>0.2</v>
      </c>
      <c r="L731" s="4">
        <f>INDEX(products!$A$1:$G$49,MATCH(orders!$D731,products!$A$1:$A$49,0),MATCH(orders!L$1,products!$A$1:$G$1,0))</f>
        <v>4.3650000000000002</v>
      </c>
      <c r="M731" s="4">
        <f t="shared" si="11"/>
        <v>4.3650000000000002</v>
      </c>
      <c r="N731" t="str" cm="1">
        <f t="array" ref="N731">_xlfn.IFS(I731="Rob","Robusta",I731="Exc","Excelsa",I731="Ara","Arabica",I731="Lib","Liberica")</f>
        <v>Liberica</v>
      </c>
      <c r="O731" t="str" cm="1">
        <f t="array" ref="O731">_xlfn.IFS(J731="M","Medium",J731="L","Large",J731="D","Dark")</f>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_xlfn.XLOOKUP(C732,customers!$A$1:$A$1001,customers!$B$1:$B$1001,,0)</f>
        <v>Andie Rudram</v>
      </c>
      <c r="G732" s="2" t="str">
        <f>IF(_xlfn.XLOOKUP(C732,customers!$A$1:$A$1001,customers!$C$1:$C$1001,,0)=0,"",_xlfn.XLOOKUP(C732,customers!$A$1:$A$1001,customers!$C$1:$C$1001,,0))</f>
        <v>arudramka@prnewswire.com</v>
      </c>
      <c r="H732" s="2" t="str">
        <f>_xlfn.XLOOKUP(C732,customers!$A$1:$A$1001,customers!$G$1:$G$1001,,0)</f>
        <v>United States</v>
      </c>
      <c r="I732" t="str">
        <f>INDEX(products!$A$1:$G$49,MATCH(orders!$D732,products!$A$1:$A$49,0),MATCH(orders!I$1,products!$A$1:$G$1,0))</f>
        <v>Lib</v>
      </c>
      <c r="J732" t="str">
        <f>INDEX(products!$A$1:$G$49,MATCH(orders!$D732,products!$A$1:$A$49,0),MATCH(orders!J$1,products!$A$1:$G$1,0))</f>
        <v>L</v>
      </c>
      <c r="K732" s="7">
        <f>INDEX(products!$A$1:$G$49,MATCH(orders!$D732,products!$A$1:$A$49,0),MATCH(orders!K$1,products!$A$1:$G$1,0))</f>
        <v>2.5</v>
      </c>
      <c r="L732" s="4">
        <f>INDEX(products!$A$1:$G$49,MATCH(orders!$D732,products!$A$1:$A$49,0),MATCH(orders!L$1,products!$A$1:$G$1,0))</f>
        <v>36.454999999999998</v>
      </c>
      <c r="M732" s="4">
        <f t="shared" si="11"/>
        <v>36.454999999999998</v>
      </c>
      <c r="N732" t="str" cm="1">
        <f t="array" ref="N732">_xlfn.IFS(I732="Rob","Robusta",I732="Exc","Excelsa",I732="Ara","Arabica",I732="Lib","Liberica")</f>
        <v>Liberica</v>
      </c>
      <c r="O732" t="str" cm="1">
        <f t="array" ref="O732">_xlfn.IFS(J732="M","Medium",J732="L","Large",J732="D","Dark")</f>
        <v>Large</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_xlfn.XLOOKUP(C733,customers!$A$1:$A$1001,customers!$B$1:$B$1001,,0)</f>
        <v>Leta Clarricoates</v>
      </c>
      <c r="G733" s="2" t="str">
        <f>IF(_xlfn.XLOOKUP(C733,customers!$A$1:$A$1001,customers!$C$1:$C$1001,,0)=0,"",_xlfn.XLOOKUP(C733,customers!$A$1:$A$1001,customers!$C$1:$C$1001,,0))</f>
        <v/>
      </c>
      <c r="H733" s="2" t="str">
        <f>_xlfn.XLOOKUP(C733,customers!$A$1:$A$1001,customers!$G$1:$G$1001,,0)</f>
        <v>United States</v>
      </c>
      <c r="I733" t="str">
        <f>INDEX(products!$A$1:$G$49,MATCH(orders!$D733,products!$A$1:$A$49,0),MATCH(orders!I$1,products!$A$1:$G$1,0))</f>
        <v>Lib</v>
      </c>
      <c r="J733" t="str">
        <f>INDEX(products!$A$1:$G$49,MATCH(orders!$D733,products!$A$1:$A$49,0),MATCH(orders!J$1,products!$A$1:$G$1,0))</f>
        <v>D</v>
      </c>
      <c r="K733" s="7">
        <f>INDEX(products!$A$1:$G$49,MATCH(orders!$D733,products!$A$1:$A$49,0),MATCH(orders!K$1,products!$A$1:$G$1,0))</f>
        <v>0.2</v>
      </c>
      <c r="L733" s="4">
        <f>INDEX(products!$A$1:$G$49,MATCH(orders!$D733,products!$A$1:$A$49,0),MATCH(orders!L$1,products!$A$1:$G$1,0))</f>
        <v>3.8849999999999998</v>
      </c>
      <c r="M733" s="4">
        <f t="shared" si="11"/>
        <v>15.54</v>
      </c>
      <c r="N733" t="str" cm="1">
        <f t="array" ref="N733">_xlfn.IFS(I733="Rob","Robusta",I733="Exc","Excelsa",I733="Ara","Arabica",I733="Lib","Liberica")</f>
        <v>Liberica</v>
      </c>
      <c r="O733" t="str" cm="1">
        <f t="array" ref="O733">_xlfn.IFS(J733="M","Medium",J733="L","Large",J733="D","Dark")</f>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_xlfn.XLOOKUP(C734,customers!$A$1:$A$1001,customers!$B$1:$B$1001,,0)</f>
        <v>Jacquelyn Maha</v>
      </c>
      <c r="G734" s="2" t="str">
        <f>IF(_xlfn.XLOOKUP(C734,customers!$A$1:$A$1001,customers!$C$1:$C$1001,,0)=0,"",_xlfn.XLOOKUP(C734,customers!$A$1:$A$1001,customers!$C$1:$C$1001,,0))</f>
        <v>jmahakc@cyberchimps.com</v>
      </c>
      <c r="H734" s="2" t="str">
        <f>_xlfn.XLOOKUP(C734,customers!$A$1:$A$1001,customers!$G$1:$G$1001,,0)</f>
        <v>United States</v>
      </c>
      <c r="I734" t="str">
        <f>INDEX(products!$A$1:$G$49,MATCH(orders!$D734,products!$A$1:$A$49,0),MATCH(orders!I$1,products!$A$1:$G$1,0))</f>
        <v>Exc</v>
      </c>
      <c r="J734" t="str">
        <f>INDEX(products!$A$1:$G$49,MATCH(orders!$D734,products!$A$1:$A$49,0),MATCH(orders!J$1,products!$A$1:$G$1,0))</f>
        <v>L</v>
      </c>
      <c r="K734" s="7">
        <f>INDEX(products!$A$1:$G$49,MATCH(orders!$D734,products!$A$1:$A$49,0),MATCH(orders!K$1,products!$A$1:$G$1,0))</f>
        <v>0.2</v>
      </c>
      <c r="L734" s="4">
        <f>INDEX(products!$A$1:$G$49,MATCH(orders!$D734,products!$A$1:$A$49,0),MATCH(orders!L$1,products!$A$1:$G$1,0))</f>
        <v>4.4550000000000001</v>
      </c>
      <c r="M734" s="4">
        <f t="shared" si="11"/>
        <v>8.91</v>
      </c>
      <c r="N734" t="str" cm="1">
        <f t="array" ref="N734">_xlfn.IFS(I734="Rob","Robusta",I734="Exc","Excelsa",I734="Ara","Arabica",I734="Lib","Liberica")</f>
        <v>Excelsa</v>
      </c>
      <c r="O734" t="str" cm="1">
        <f t="array" ref="O734">_xlfn.IFS(J734="M","Medium",J734="L","Large",J734="D","Dark")</f>
        <v>Large</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_xlfn.XLOOKUP(C735,customers!$A$1:$A$1001,customers!$B$1:$B$1001,,0)</f>
        <v>Glory Clemon</v>
      </c>
      <c r="G735" s="2" t="str">
        <f>IF(_xlfn.XLOOKUP(C735,customers!$A$1:$A$1001,customers!$C$1:$C$1001,,0)=0,"",_xlfn.XLOOKUP(C735,customers!$A$1:$A$1001,customers!$C$1:$C$1001,,0))</f>
        <v>gclemonkd@networksolutions.com</v>
      </c>
      <c r="H735" s="2" t="str">
        <f>_xlfn.XLOOKUP(C735,customers!$A$1:$A$1001,customers!$G$1:$G$1001,,0)</f>
        <v>United States</v>
      </c>
      <c r="I735" t="str">
        <f>INDEX(products!$A$1:$G$49,MATCH(orders!$D735,products!$A$1:$A$49,0),MATCH(orders!I$1,products!$A$1:$G$1,0))</f>
        <v>Lib</v>
      </c>
      <c r="J735" t="str">
        <f>INDEX(products!$A$1:$G$49,MATCH(orders!$D735,products!$A$1:$A$49,0),MATCH(orders!J$1,products!$A$1:$G$1,0))</f>
        <v>M</v>
      </c>
      <c r="K735" s="7">
        <f>INDEX(products!$A$1:$G$49,MATCH(orders!$D735,products!$A$1:$A$49,0),MATCH(orders!K$1,products!$A$1:$G$1,0))</f>
        <v>2.5</v>
      </c>
      <c r="L735" s="4">
        <f>INDEX(products!$A$1:$G$49,MATCH(orders!$D735,products!$A$1:$A$49,0),MATCH(orders!L$1,products!$A$1:$G$1,0))</f>
        <v>33.464999999999996</v>
      </c>
      <c r="M735" s="4">
        <f t="shared" si="11"/>
        <v>100.39499999999998</v>
      </c>
      <c r="N735" t="str" cm="1">
        <f t="array" ref="N735">_xlfn.IFS(I735="Rob","Robusta",I735="Exc","Excelsa",I735="Ara","Arabica",I735="Lib","Liberica")</f>
        <v>Liberica</v>
      </c>
      <c r="O735" t="str" cm="1">
        <f t="array" ref="O735">_xlfn.IFS(J735="M","Medium",J735="L","Large",J735="D","Dark")</f>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_xlfn.XLOOKUP(C736,customers!$A$1:$A$1001,customers!$B$1:$B$1001,,0)</f>
        <v>Alica Kift</v>
      </c>
      <c r="G736" s="2" t="str">
        <f>IF(_xlfn.XLOOKUP(C736,customers!$A$1:$A$1001,customers!$C$1:$C$1001,,0)=0,"",_xlfn.XLOOKUP(C736,customers!$A$1:$A$1001,customers!$C$1:$C$1001,,0))</f>
        <v/>
      </c>
      <c r="H736" s="2" t="str">
        <f>_xlfn.XLOOKUP(C736,customers!$A$1:$A$1001,customers!$G$1:$G$1001,,0)</f>
        <v>United States</v>
      </c>
      <c r="I736" t="str">
        <f>INDEX(products!$A$1:$G$49,MATCH(orders!$D736,products!$A$1:$A$49,0),MATCH(orders!I$1,products!$A$1:$G$1,0))</f>
        <v>Rob</v>
      </c>
      <c r="J736" t="str">
        <f>INDEX(products!$A$1:$G$49,MATCH(orders!$D736,products!$A$1:$A$49,0),MATCH(orders!J$1,products!$A$1:$G$1,0))</f>
        <v>D</v>
      </c>
      <c r="K736" s="7">
        <f>INDEX(products!$A$1:$G$49,MATCH(orders!$D736,products!$A$1:$A$49,0),MATCH(orders!K$1,products!$A$1:$G$1,0))</f>
        <v>0.2</v>
      </c>
      <c r="L736" s="4">
        <f>INDEX(products!$A$1:$G$49,MATCH(orders!$D736,products!$A$1:$A$49,0),MATCH(orders!L$1,products!$A$1:$G$1,0))</f>
        <v>2.6849999999999996</v>
      </c>
      <c r="M736" s="4">
        <f t="shared" si="11"/>
        <v>13.424999999999997</v>
      </c>
      <c r="N736" t="str" cm="1">
        <f t="array" ref="N736">_xlfn.IFS(I736="Rob","Robusta",I736="Exc","Excelsa",I736="Ara","Arabica",I736="Lib","Liberica")</f>
        <v>Robusta</v>
      </c>
      <c r="O736" t="str" cm="1">
        <f t="array" ref="O736">_xlfn.IFS(J736="M","Medium",J736="L","Large",J736="D","Dark")</f>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_xlfn.XLOOKUP(C737,customers!$A$1:$A$1001,customers!$B$1:$B$1001,,0)</f>
        <v>Babb Pollins</v>
      </c>
      <c r="G737" s="2" t="str">
        <f>IF(_xlfn.XLOOKUP(C737,customers!$A$1:$A$1001,customers!$C$1:$C$1001,,0)=0,"",_xlfn.XLOOKUP(C737,customers!$A$1:$A$1001,customers!$C$1:$C$1001,,0))</f>
        <v>bpollinskf@shinystat.com</v>
      </c>
      <c r="H737" s="2" t="str">
        <f>_xlfn.XLOOKUP(C737,customers!$A$1:$A$1001,customers!$G$1:$G$1001,,0)</f>
        <v>United States</v>
      </c>
      <c r="I737" t="str">
        <f>INDEX(products!$A$1:$G$49,MATCH(orders!$D737,products!$A$1:$A$49,0),MATCH(orders!I$1,products!$A$1:$G$1,0))</f>
        <v>Exc</v>
      </c>
      <c r="J737" t="str">
        <f>INDEX(products!$A$1:$G$49,MATCH(orders!$D737,products!$A$1:$A$49,0),MATCH(orders!J$1,products!$A$1:$G$1,0))</f>
        <v>D</v>
      </c>
      <c r="K737" s="7">
        <f>INDEX(products!$A$1:$G$49,MATCH(orders!$D737,products!$A$1:$A$49,0),MATCH(orders!K$1,products!$A$1:$G$1,0))</f>
        <v>0.2</v>
      </c>
      <c r="L737" s="4">
        <f>INDEX(products!$A$1:$G$49,MATCH(orders!$D737,products!$A$1:$A$49,0),MATCH(orders!L$1,products!$A$1:$G$1,0))</f>
        <v>3.645</v>
      </c>
      <c r="M737" s="4">
        <f t="shared" si="11"/>
        <v>21.87</v>
      </c>
      <c r="N737" t="str" cm="1">
        <f t="array" ref="N737">_xlfn.IFS(I737="Rob","Robusta",I737="Exc","Excelsa",I737="Ara","Arabica",I737="Lib","Liberica")</f>
        <v>Excelsa</v>
      </c>
      <c r="O737" t="str" cm="1">
        <f t="array" ref="O737">_xlfn.IFS(J737="M","Medium",J737="L","Large",J737="D","Dark")</f>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_xlfn.XLOOKUP(C738,customers!$A$1:$A$1001,customers!$B$1:$B$1001,,0)</f>
        <v>Jarret Toye</v>
      </c>
      <c r="G738" s="2" t="str">
        <f>IF(_xlfn.XLOOKUP(C738,customers!$A$1:$A$1001,customers!$C$1:$C$1001,,0)=0,"",_xlfn.XLOOKUP(C738,customers!$A$1:$A$1001,customers!$C$1:$C$1001,,0))</f>
        <v>jtoyekg@pinterest.com</v>
      </c>
      <c r="H738" s="2" t="str">
        <f>_xlfn.XLOOKUP(C738,customers!$A$1:$A$1001,customers!$G$1:$G$1001,,0)</f>
        <v>Ireland</v>
      </c>
      <c r="I738" t="str">
        <f>INDEX(products!$A$1:$G$49,MATCH(orders!$D738,products!$A$1:$A$49,0),MATCH(orders!I$1,products!$A$1:$G$1,0))</f>
        <v>Lib</v>
      </c>
      <c r="J738" t="str">
        <f>INDEX(products!$A$1:$G$49,MATCH(orders!$D738,products!$A$1:$A$49,0),MATCH(orders!J$1,products!$A$1:$G$1,0))</f>
        <v>D</v>
      </c>
      <c r="K738" s="7">
        <f>INDEX(products!$A$1:$G$49,MATCH(orders!$D738,products!$A$1:$A$49,0),MATCH(orders!K$1,products!$A$1:$G$1,0))</f>
        <v>1</v>
      </c>
      <c r="L738" s="4">
        <f>INDEX(products!$A$1:$G$49,MATCH(orders!$D738,products!$A$1:$A$49,0),MATCH(orders!L$1,products!$A$1:$G$1,0))</f>
        <v>12.95</v>
      </c>
      <c r="M738" s="4">
        <f t="shared" si="11"/>
        <v>25.9</v>
      </c>
      <c r="N738" t="str" cm="1">
        <f t="array" ref="N738">_xlfn.IFS(I738="Rob","Robusta",I738="Exc","Excelsa",I738="Ara","Arabica",I738="Lib","Liberica")</f>
        <v>Liberica</v>
      </c>
      <c r="O738" t="str" cm="1">
        <f t="array" ref="O738">_xlfn.IFS(J738="M","Medium",J738="L","Large",J738="D","Dark")</f>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_xlfn.XLOOKUP(C739,customers!$A$1:$A$1001,customers!$B$1:$B$1001,,0)</f>
        <v>Carlie Linskill</v>
      </c>
      <c r="G739" s="2" t="str">
        <f>IF(_xlfn.XLOOKUP(C739,customers!$A$1:$A$1001,customers!$C$1:$C$1001,,0)=0,"",_xlfn.XLOOKUP(C739,customers!$A$1:$A$1001,customers!$C$1:$C$1001,,0))</f>
        <v>clinskillkh@sphinn.com</v>
      </c>
      <c r="H739" s="2" t="str">
        <f>_xlfn.XLOOKUP(C739,customers!$A$1:$A$1001,customers!$G$1:$G$1001,,0)</f>
        <v>United States</v>
      </c>
      <c r="I739" t="str">
        <f>INDEX(products!$A$1:$G$49,MATCH(orders!$D739,products!$A$1:$A$49,0),MATCH(orders!I$1,products!$A$1:$G$1,0))</f>
        <v>Ara</v>
      </c>
      <c r="J739" t="str">
        <f>INDEX(products!$A$1:$G$49,MATCH(orders!$D739,products!$A$1:$A$49,0),MATCH(orders!J$1,products!$A$1:$G$1,0))</f>
        <v>M</v>
      </c>
      <c r="K739" s="7">
        <f>INDEX(products!$A$1:$G$49,MATCH(orders!$D739,products!$A$1:$A$49,0),MATCH(orders!K$1,products!$A$1:$G$1,0))</f>
        <v>1</v>
      </c>
      <c r="L739" s="4">
        <f>INDEX(products!$A$1:$G$49,MATCH(orders!$D739,products!$A$1:$A$49,0),MATCH(orders!L$1,products!$A$1:$G$1,0))</f>
        <v>11.25</v>
      </c>
      <c r="M739" s="4">
        <f t="shared" si="11"/>
        <v>56.25</v>
      </c>
      <c r="N739" t="str" cm="1">
        <f t="array" ref="N739">_xlfn.IFS(I739="Rob","Robusta",I739="Exc","Excelsa",I739="Ara","Arabica",I739="Lib","Liberica")</f>
        <v>Arabica</v>
      </c>
      <c r="O739" t="str" cm="1">
        <f t="array" ref="O739">_xlfn.IFS(J739="M","Medium",J739="L","Large",J739="D","Dark")</f>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_xlfn.XLOOKUP(C740,customers!$A$1:$A$1001,customers!$B$1:$B$1001,,0)</f>
        <v>Natal Vigrass</v>
      </c>
      <c r="G740" s="2" t="str">
        <f>IF(_xlfn.XLOOKUP(C740,customers!$A$1:$A$1001,customers!$C$1:$C$1001,,0)=0,"",_xlfn.XLOOKUP(C740,customers!$A$1:$A$1001,customers!$C$1:$C$1001,,0))</f>
        <v>nvigrasski@ezinearticles.com</v>
      </c>
      <c r="H740" s="2" t="str">
        <f>_xlfn.XLOOKUP(C740,customers!$A$1:$A$1001,customers!$G$1:$G$1001,,0)</f>
        <v>United Kingdom</v>
      </c>
      <c r="I740" t="str">
        <f>INDEX(products!$A$1:$G$49,MATCH(orders!$D740,products!$A$1:$A$49,0),MATCH(orders!I$1,products!$A$1:$G$1,0))</f>
        <v>Rob</v>
      </c>
      <c r="J740" t="str">
        <f>INDEX(products!$A$1:$G$49,MATCH(orders!$D740,products!$A$1:$A$49,0),MATCH(orders!J$1,products!$A$1:$G$1,0))</f>
        <v>L</v>
      </c>
      <c r="K740" s="7">
        <f>INDEX(products!$A$1:$G$49,MATCH(orders!$D740,products!$A$1:$A$49,0),MATCH(orders!K$1,products!$A$1:$G$1,0))</f>
        <v>0.2</v>
      </c>
      <c r="L740" s="4">
        <f>INDEX(products!$A$1:$G$49,MATCH(orders!$D740,products!$A$1:$A$49,0),MATCH(orders!L$1,products!$A$1:$G$1,0))</f>
        <v>3.5849999999999995</v>
      </c>
      <c r="M740" s="4">
        <f t="shared" si="11"/>
        <v>10.754999999999999</v>
      </c>
      <c r="N740" t="str" cm="1">
        <f t="array" ref="N740">_xlfn.IFS(I740="Rob","Robusta",I740="Exc","Excelsa",I740="Ara","Arabica",I740="Lib","Liberica")</f>
        <v>Robusta</v>
      </c>
      <c r="O740" t="str" cm="1">
        <f t="array" ref="O740">_xlfn.IFS(J740="M","Medium",J740="L","Large",J740="D","Dark")</f>
        <v>Large</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_xlfn.XLOOKUP(C741,customers!$A$1:$A$1001,customers!$B$1:$B$1001,,0)</f>
        <v>Jimmy Dymoke</v>
      </c>
      <c r="G741" s="2" t="str">
        <f>IF(_xlfn.XLOOKUP(C741,customers!$A$1:$A$1001,customers!$C$1:$C$1001,,0)=0,"",_xlfn.XLOOKUP(C741,customers!$A$1:$A$1001,customers!$C$1:$C$1001,,0))</f>
        <v>jdymokeje@prnewswire.com</v>
      </c>
      <c r="H741" s="2" t="str">
        <f>_xlfn.XLOOKUP(C741,customers!$A$1:$A$1001,customers!$G$1:$G$1001,,0)</f>
        <v>Ireland</v>
      </c>
      <c r="I741" t="str">
        <f>INDEX(products!$A$1:$G$49,MATCH(orders!$D741,products!$A$1:$A$49,0),MATCH(orders!I$1,products!$A$1:$G$1,0))</f>
        <v>Exc</v>
      </c>
      <c r="J741" t="str">
        <f>INDEX(products!$A$1:$G$49,MATCH(orders!$D741,products!$A$1:$A$49,0),MATCH(orders!J$1,products!$A$1:$G$1,0))</f>
        <v>D</v>
      </c>
      <c r="K741" s="7">
        <f>INDEX(products!$A$1:$G$49,MATCH(orders!$D741,products!$A$1:$A$49,0),MATCH(orders!K$1,products!$A$1:$G$1,0))</f>
        <v>0.2</v>
      </c>
      <c r="L741" s="4">
        <f>INDEX(products!$A$1:$G$49,MATCH(orders!$D741,products!$A$1:$A$49,0),MATCH(orders!L$1,products!$A$1:$G$1,0))</f>
        <v>3.645</v>
      </c>
      <c r="M741" s="4">
        <f t="shared" si="11"/>
        <v>18.225000000000001</v>
      </c>
      <c r="N741" t="str" cm="1">
        <f t="array" ref="N741">_xlfn.IFS(I741="Rob","Robusta",I741="Exc","Excelsa",I741="Ara","Arabica",I741="Lib","Liberica")</f>
        <v>Excelsa</v>
      </c>
      <c r="O741" t="str" cm="1">
        <f t="array" ref="O741">_xlfn.IFS(J741="M","Medium",J741="L","Large",J741="D","Dark")</f>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_xlfn.XLOOKUP(C742,customers!$A$1:$A$1001,customers!$B$1:$B$1001,,0)</f>
        <v>Kandace Cragell</v>
      </c>
      <c r="G742" s="2" t="str">
        <f>IF(_xlfn.XLOOKUP(C742,customers!$A$1:$A$1001,customers!$C$1:$C$1001,,0)=0,"",_xlfn.XLOOKUP(C742,customers!$A$1:$A$1001,customers!$C$1:$C$1001,,0))</f>
        <v>kcragellkk@google.com</v>
      </c>
      <c r="H742" s="2" t="str">
        <f>_xlfn.XLOOKUP(C742,customers!$A$1:$A$1001,customers!$G$1:$G$1001,,0)</f>
        <v>Ireland</v>
      </c>
      <c r="I742" t="str">
        <f>INDEX(products!$A$1:$G$49,MATCH(orders!$D742,products!$A$1:$A$49,0),MATCH(orders!I$1,products!$A$1:$G$1,0))</f>
        <v>Rob</v>
      </c>
      <c r="J742" t="str">
        <f>INDEX(products!$A$1:$G$49,MATCH(orders!$D742,products!$A$1:$A$49,0),MATCH(orders!J$1,products!$A$1:$G$1,0))</f>
        <v>L</v>
      </c>
      <c r="K742" s="7">
        <f>INDEX(products!$A$1:$G$49,MATCH(orders!$D742,products!$A$1:$A$49,0),MATCH(orders!K$1,products!$A$1:$G$1,0))</f>
        <v>0.5</v>
      </c>
      <c r="L742" s="4">
        <f>INDEX(products!$A$1:$G$49,MATCH(orders!$D742,products!$A$1:$A$49,0),MATCH(orders!L$1,products!$A$1:$G$1,0))</f>
        <v>7.169999999999999</v>
      </c>
      <c r="M742" s="4">
        <f t="shared" si="11"/>
        <v>28.679999999999996</v>
      </c>
      <c r="N742" t="str" cm="1">
        <f t="array" ref="N742">_xlfn.IFS(I742="Rob","Robusta",I742="Exc","Excelsa",I742="Ara","Arabica",I742="Lib","Liberica")</f>
        <v>Robusta</v>
      </c>
      <c r="O742" t="str" cm="1">
        <f t="array" ref="O742">_xlfn.IFS(J742="M","Medium",J742="L","Large",J742="D","Dark")</f>
        <v>Large</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_xlfn.XLOOKUP(C743,customers!$A$1:$A$1001,customers!$B$1:$B$1001,,0)</f>
        <v>Lyon Ibert</v>
      </c>
      <c r="G743" s="2" t="str">
        <f>IF(_xlfn.XLOOKUP(C743,customers!$A$1:$A$1001,customers!$C$1:$C$1001,,0)=0,"",_xlfn.XLOOKUP(C743,customers!$A$1:$A$1001,customers!$C$1:$C$1001,,0))</f>
        <v>libertkl@huffingtonpost.com</v>
      </c>
      <c r="H743" s="2" t="str">
        <f>_xlfn.XLOOKUP(C743,customers!$A$1:$A$1001,customers!$G$1:$G$1001,,0)</f>
        <v>United States</v>
      </c>
      <c r="I743" t="str">
        <f>INDEX(products!$A$1:$G$49,MATCH(orders!$D743,products!$A$1:$A$49,0),MATCH(orders!I$1,products!$A$1:$G$1,0))</f>
        <v>Lib</v>
      </c>
      <c r="J743" t="str">
        <f>INDEX(products!$A$1:$G$49,MATCH(orders!$D743,products!$A$1:$A$49,0),MATCH(orders!J$1,products!$A$1:$G$1,0))</f>
        <v>M</v>
      </c>
      <c r="K743" s="7">
        <f>INDEX(products!$A$1:$G$49,MATCH(orders!$D743,products!$A$1:$A$49,0),MATCH(orders!K$1,products!$A$1:$G$1,0))</f>
        <v>0.2</v>
      </c>
      <c r="L743" s="4">
        <f>INDEX(products!$A$1:$G$49,MATCH(orders!$D743,products!$A$1:$A$49,0),MATCH(orders!L$1,products!$A$1:$G$1,0))</f>
        <v>4.3650000000000002</v>
      </c>
      <c r="M743" s="4">
        <f t="shared" si="11"/>
        <v>8.73</v>
      </c>
      <c r="N743" t="str" cm="1">
        <f t="array" ref="N743">_xlfn.IFS(I743="Rob","Robusta",I743="Exc","Excelsa",I743="Ara","Arabica",I743="Lib","Liberica")</f>
        <v>Liberica</v>
      </c>
      <c r="O743" t="str" cm="1">
        <f t="array" ref="O743">_xlfn.IFS(J743="M","Medium",J743="L","Large",J743="D","Dark")</f>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_xlfn.XLOOKUP(C744,customers!$A$1:$A$1001,customers!$B$1:$B$1001,,0)</f>
        <v>Reese Lidgey</v>
      </c>
      <c r="G744" s="2" t="str">
        <f>IF(_xlfn.XLOOKUP(C744,customers!$A$1:$A$1001,customers!$C$1:$C$1001,,0)=0,"",_xlfn.XLOOKUP(C744,customers!$A$1:$A$1001,customers!$C$1:$C$1001,,0))</f>
        <v>rlidgeykm@vimeo.com</v>
      </c>
      <c r="H744" s="2" t="str">
        <f>_xlfn.XLOOKUP(C744,customers!$A$1:$A$1001,customers!$G$1:$G$1001,,0)</f>
        <v>United States</v>
      </c>
      <c r="I744" t="str">
        <f>INDEX(products!$A$1:$G$49,MATCH(orders!$D744,products!$A$1:$A$49,0),MATCH(orders!I$1,products!$A$1:$G$1,0))</f>
        <v>Lib</v>
      </c>
      <c r="J744" t="str">
        <f>INDEX(products!$A$1:$G$49,MATCH(orders!$D744,products!$A$1:$A$49,0),MATCH(orders!J$1,products!$A$1:$G$1,0))</f>
        <v>M</v>
      </c>
      <c r="K744" s="7">
        <f>INDEX(products!$A$1:$G$49,MATCH(orders!$D744,products!$A$1:$A$49,0),MATCH(orders!K$1,products!$A$1:$G$1,0))</f>
        <v>1</v>
      </c>
      <c r="L744" s="4">
        <f>INDEX(products!$A$1:$G$49,MATCH(orders!$D744,products!$A$1:$A$49,0),MATCH(orders!L$1,products!$A$1:$G$1,0))</f>
        <v>14.55</v>
      </c>
      <c r="M744" s="4">
        <f t="shared" si="11"/>
        <v>58.2</v>
      </c>
      <c r="N744" t="str" cm="1">
        <f t="array" ref="N744">_xlfn.IFS(I744="Rob","Robusta",I744="Exc","Excelsa",I744="Ara","Arabica",I744="Lib","Liberica")</f>
        <v>Liberica</v>
      </c>
      <c r="O744" t="str" cm="1">
        <f t="array" ref="O744">_xlfn.IFS(J744="M","Medium",J744="L","Large",J744="D","Dark")</f>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_xlfn.XLOOKUP(C745,customers!$A$1:$A$1001,customers!$B$1:$B$1001,,0)</f>
        <v>Tersina Castagne</v>
      </c>
      <c r="G745" s="2" t="str">
        <f>IF(_xlfn.XLOOKUP(C745,customers!$A$1:$A$1001,customers!$C$1:$C$1001,,0)=0,"",_xlfn.XLOOKUP(C745,customers!$A$1:$A$1001,customers!$C$1:$C$1001,,0))</f>
        <v>tcastagnekn@wikia.com</v>
      </c>
      <c r="H745" s="2" t="str">
        <f>_xlfn.XLOOKUP(C745,customers!$A$1:$A$1001,customers!$G$1:$G$1001,,0)</f>
        <v>United States</v>
      </c>
      <c r="I745" t="str">
        <f>INDEX(products!$A$1:$G$49,MATCH(orders!$D745,products!$A$1:$A$49,0),MATCH(orders!I$1,products!$A$1:$G$1,0))</f>
        <v>Ara</v>
      </c>
      <c r="J745" t="str">
        <f>INDEX(products!$A$1:$G$49,MATCH(orders!$D745,products!$A$1:$A$49,0),MATCH(orders!J$1,products!$A$1:$G$1,0))</f>
        <v>D</v>
      </c>
      <c r="K745" s="7">
        <f>INDEX(products!$A$1:$G$49,MATCH(orders!$D745,products!$A$1:$A$49,0),MATCH(orders!K$1,products!$A$1:$G$1,0))</f>
        <v>0.5</v>
      </c>
      <c r="L745" s="4">
        <f>INDEX(products!$A$1:$G$49,MATCH(orders!$D745,products!$A$1:$A$49,0),MATCH(orders!L$1,products!$A$1:$G$1,0))</f>
        <v>5.97</v>
      </c>
      <c r="M745" s="4">
        <f t="shared" si="11"/>
        <v>17.91</v>
      </c>
      <c r="N745" t="str" cm="1">
        <f t="array" ref="N745">_xlfn.IFS(I745="Rob","Robusta",I745="Exc","Excelsa",I745="Ara","Arabica",I745="Lib","Liberica")</f>
        <v>Arabica</v>
      </c>
      <c r="O745" t="str" cm="1">
        <f t="array" ref="O745">_xlfn.IFS(J745="M","Medium",J745="L","Large",J745="D","Dark")</f>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_xlfn.XLOOKUP(C746,customers!$A$1:$A$1001,customers!$B$1:$B$1001,,0)</f>
        <v>Samuele Klaaassen</v>
      </c>
      <c r="G746" s="2" t="str">
        <f>IF(_xlfn.XLOOKUP(C746,customers!$A$1:$A$1001,customers!$C$1:$C$1001,,0)=0,"",_xlfn.XLOOKUP(C746,customers!$A$1:$A$1001,customers!$C$1:$C$1001,,0))</f>
        <v/>
      </c>
      <c r="H746" s="2" t="str">
        <f>_xlfn.XLOOKUP(C746,customers!$A$1:$A$1001,customers!$G$1:$G$1001,,0)</f>
        <v>United States</v>
      </c>
      <c r="I746" t="str">
        <f>INDEX(products!$A$1:$G$49,MATCH(orders!$D746,products!$A$1:$A$49,0),MATCH(orders!I$1,products!$A$1:$G$1,0))</f>
        <v>Rob</v>
      </c>
      <c r="J746" t="str">
        <f>INDEX(products!$A$1:$G$49,MATCH(orders!$D746,products!$A$1:$A$49,0),MATCH(orders!J$1,products!$A$1:$G$1,0))</f>
        <v>M</v>
      </c>
      <c r="K746" s="7">
        <f>INDEX(products!$A$1:$G$49,MATCH(orders!$D746,products!$A$1:$A$49,0),MATCH(orders!K$1,products!$A$1:$G$1,0))</f>
        <v>0.2</v>
      </c>
      <c r="L746" s="4">
        <f>INDEX(products!$A$1:$G$49,MATCH(orders!$D746,products!$A$1:$A$49,0),MATCH(orders!L$1,products!$A$1:$G$1,0))</f>
        <v>2.9849999999999999</v>
      </c>
      <c r="M746" s="4">
        <f t="shared" si="11"/>
        <v>17.91</v>
      </c>
      <c r="N746" t="str" cm="1">
        <f t="array" ref="N746">_xlfn.IFS(I746="Rob","Robusta",I746="Exc","Excelsa",I746="Ara","Arabica",I746="Lib","Liberica")</f>
        <v>Robusta</v>
      </c>
      <c r="O746" t="str" cm="1">
        <f t="array" ref="O746">_xlfn.IFS(J746="M","Medium",J746="L","Large",J746="D","Dark")</f>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_xlfn.XLOOKUP(C747,customers!$A$1:$A$1001,customers!$B$1:$B$1001,,0)</f>
        <v>Jordana Halden</v>
      </c>
      <c r="G747" s="2" t="str">
        <f>IF(_xlfn.XLOOKUP(C747,customers!$A$1:$A$1001,customers!$C$1:$C$1001,,0)=0,"",_xlfn.XLOOKUP(C747,customers!$A$1:$A$1001,customers!$C$1:$C$1001,,0))</f>
        <v>jhaldenkp@comcast.net</v>
      </c>
      <c r="H747" s="2" t="str">
        <f>_xlfn.XLOOKUP(C747,customers!$A$1:$A$1001,customers!$G$1:$G$1001,,0)</f>
        <v>Ireland</v>
      </c>
      <c r="I747" t="str">
        <f>INDEX(products!$A$1:$G$49,MATCH(orders!$D747,products!$A$1:$A$49,0),MATCH(orders!I$1,products!$A$1:$G$1,0))</f>
        <v>Exc</v>
      </c>
      <c r="J747" t="str">
        <f>INDEX(products!$A$1:$G$49,MATCH(orders!$D747,products!$A$1:$A$49,0),MATCH(orders!J$1,products!$A$1:$G$1,0))</f>
        <v>D</v>
      </c>
      <c r="K747" s="7">
        <f>INDEX(products!$A$1:$G$49,MATCH(orders!$D747,products!$A$1:$A$49,0),MATCH(orders!K$1,products!$A$1:$G$1,0))</f>
        <v>0.5</v>
      </c>
      <c r="L747" s="4">
        <f>INDEX(products!$A$1:$G$49,MATCH(orders!$D747,products!$A$1:$A$49,0),MATCH(orders!L$1,products!$A$1:$G$1,0))</f>
        <v>7.29</v>
      </c>
      <c r="M747" s="4">
        <f t="shared" si="11"/>
        <v>14.58</v>
      </c>
      <c r="N747" t="str" cm="1">
        <f t="array" ref="N747">_xlfn.IFS(I747="Rob","Robusta",I747="Exc","Excelsa",I747="Ara","Arabica",I747="Lib","Liberica")</f>
        <v>Excelsa</v>
      </c>
      <c r="O747" t="str" cm="1">
        <f t="array" ref="O747">_xlfn.IFS(J747="M","Medium",J747="L","Large",J747="D","Dark")</f>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_xlfn.XLOOKUP(C748,customers!$A$1:$A$1001,customers!$B$1:$B$1001,,0)</f>
        <v>Hussein Olliff</v>
      </c>
      <c r="G748" s="2" t="str">
        <f>IF(_xlfn.XLOOKUP(C748,customers!$A$1:$A$1001,customers!$C$1:$C$1001,,0)=0,"",_xlfn.XLOOKUP(C748,customers!$A$1:$A$1001,customers!$C$1:$C$1001,,0))</f>
        <v>holliffkq@sciencedirect.com</v>
      </c>
      <c r="H748" s="2" t="str">
        <f>_xlfn.XLOOKUP(C748,customers!$A$1:$A$1001,customers!$G$1:$G$1001,,0)</f>
        <v>Ireland</v>
      </c>
      <c r="I748" t="str">
        <f>INDEX(products!$A$1:$G$49,MATCH(orders!$D748,products!$A$1:$A$49,0),MATCH(orders!I$1,products!$A$1:$G$1,0))</f>
        <v>Ara</v>
      </c>
      <c r="J748" t="str">
        <f>INDEX(products!$A$1:$G$49,MATCH(orders!$D748,products!$A$1:$A$49,0),MATCH(orders!J$1,products!$A$1:$G$1,0))</f>
        <v>M</v>
      </c>
      <c r="K748" s="7">
        <f>INDEX(products!$A$1:$G$49,MATCH(orders!$D748,products!$A$1:$A$49,0),MATCH(orders!K$1,products!$A$1:$G$1,0))</f>
        <v>1</v>
      </c>
      <c r="L748" s="4">
        <f>INDEX(products!$A$1:$G$49,MATCH(orders!$D748,products!$A$1:$A$49,0),MATCH(orders!L$1,products!$A$1:$G$1,0))</f>
        <v>11.25</v>
      </c>
      <c r="M748" s="4">
        <f t="shared" si="11"/>
        <v>33.75</v>
      </c>
      <c r="N748" t="str" cm="1">
        <f t="array" ref="N748">_xlfn.IFS(I748="Rob","Robusta",I748="Exc","Excelsa",I748="Ara","Arabica",I748="Lib","Liberica")</f>
        <v>Arabica</v>
      </c>
      <c r="O748" t="str" cm="1">
        <f t="array" ref="O748">_xlfn.IFS(J748="M","Medium",J748="L","Large",J748="D","Dark")</f>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_xlfn.XLOOKUP(C749,customers!$A$1:$A$1001,customers!$B$1:$B$1001,,0)</f>
        <v>Teddi Quadri</v>
      </c>
      <c r="G749" s="2" t="str">
        <f>IF(_xlfn.XLOOKUP(C749,customers!$A$1:$A$1001,customers!$C$1:$C$1001,,0)=0,"",_xlfn.XLOOKUP(C749,customers!$A$1:$A$1001,customers!$C$1:$C$1001,,0))</f>
        <v>tquadrikr@opensource.org</v>
      </c>
      <c r="H749" s="2" t="str">
        <f>_xlfn.XLOOKUP(C749,customers!$A$1:$A$1001,customers!$G$1:$G$1001,,0)</f>
        <v>Ireland</v>
      </c>
      <c r="I749" t="str">
        <f>INDEX(products!$A$1:$G$49,MATCH(orders!$D749,products!$A$1:$A$49,0),MATCH(orders!I$1,products!$A$1:$G$1,0))</f>
        <v>Lib</v>
      </c>
      <c r="J749" t="str">
        <f>INDEX(products!$A$1:$G$49,MATCH(orders!$D749,products!$A$1:$A$49,0),MATCH(orders!J$1,products!$A$1:$G$1,0))</f>
        <v>M</v>
      </c>
      <c r="K749" s="7">
        <f>INDEX(products!$A$1:$G$49,MATCH(orders!$D749,products!$A$1:$A$49,0),MATCH(orders!K$1,products!$A$1:$G$1,0))</f>
        <v>0.5</v>
      </c>
      <c r="L749" s="4">
        <f>INDEX(products!$A$1:$G$49,MATCH(orders!$D749,products!$A$1:$A$49,0),MATCH(orders!L$1,products!$A$1:$G$1,0))</f>
        <v>8.73</v>
      </c>
      <c r="M749" s="4">
        <f t="shared" si="11"/>
        <v>34.92</v>
      </c>
      <c r="N749" t="str" cm="1">
        <f t="array" ref="N749">_xlfn.IFS(I749="Rob","Robusta",I749="Exc","Excelsa",I749="Ara","Arabica",I749="Lib","Liberica")</f>
        <v>Liberica</v>
      </c>
      <c r="O749" t="str" cm="1">
        <f t="array" ref="O749">_xlfn.IFS(J749="M","Medium",J749="L","Large",J749="D","Dark")</f>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_xlfn.XLOOKUP(C750,customers!$A$1:$A$1001,customers!$B$1:$B$1001,,0)</f>
        <v>Felita Eshmade</v>
      </c>
      <c r="G750" s="2" t="str">
        <f>IF(_xlfn.XLOOKUP(C750,customers!$A$1:$A$1001,customers!$C$1:$C$1001,,0)=0,"",_xlfn.XLOOKUP(C750,customers!$A$1:$A$1001,customers!$C$1:$C$1001,,0))</f>
        <v>feshmadeks@umn.edu</v>
      </c>
      <c r="H750" s="2" t="str">
        <f>_xlfn.XLOOKUP(C750,customers!$A$1:$A$1001,customers!$G$1:$G$1001,,0)</f>
        <v>United States</v>
      </c>
      <c r="I750" t="str">
        <f>INDEX(products!$A$1:$G$49,MATCH(orders!$D750,products!$A$1:$A$49,0),MATCH(orders!I$1,products!$A$1:$G$1,0))</f>
        <v>Exc</v>
      </c>
      <c r="J750" t="str">
        <f>INDEX(products!$A$1:$G$49,MATCH(orders!$D750,products!$A$1:$A$49,0),MATCH(orders!J$1,products!$A$1:$G$1,0))</f>
        <v>D</v>
      </c>
      <c r="K750" s="7">
        <f>INDEX(products!$A$1:$G$49,MATCH(orders!$D750,products!$A$1:$A$49,0),MATCH(orders!K$1,products!$A$1:$G$1,0))</f>
        <v>0.5</v>
      </c>
      <c r="L750" s="4">
        <f>INDEX(products!$A$1:$G$49,MATCH(orders!$D750,products!$A$1:$A$49,0),MATCH(orders!L$1,products!$A$1:$G$1,0))</f>
        <v>7.29</v>
      </c>
      <c r="M750" s="4">
        <f t="shared" si="11"/>
        <v>14.58</v>
      </c>
      <c r="N750" t="str" cm="1">
        <f t="array" ref="N750">_xlfn.IFS(I750="Rob","Robusta",I750="Exc","Excelsa",I750="Ara","Arabica",I750="Lib","Liberica")</f>
        <v>Excelsa</v>
      </c>
      <c r="O750" t="str" cm="1">
        <f t="array" ref="O750">_xlfn.IFS(J750="M","Medium",J750="L","Large",J750="D","Dark")</f>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_xlfn.XLOOKUP(C751,customers!$A$1:$A$1001,customers!$B$1:$B$1001,,0)</f>
        <v>Melodie OIlier</v>
      </c>
      <c r="G751" s="2" t="str">
        <f>IF(_xlfn.XLOOKUP(C751,customers!$A$1:$A$1001,customers!$C$1:$C$1001,,0)=0,"",_xlfn.XLOOKUP(C751,customers!$A$1:$A$1001,customers!$C$1:$C$1001,,0))</f>
        <v>moilierkt@paginegialle.it</v>
      </c>
      <c r="H751" s="2" t="str">
        <f>_xlfn.XLOOKUP(C751,customers!$A$1:$A$1001,customers!$G$1:$G$1001,,0)</f>
        <v>Ireland</v>
      </c>
      <c r="I751" t="str">
        <f>INDEX(products!$A$1:$G$49,MATCH(orders!$D751,products!$A$1:$A$49,0),MATCH(orders!I$1,products!$A$1:$G$1,0))</f>
        <v>Rob</v>
      </c>
      <c r="J751" t="str">
        <f>INDEX(products!$A$1:$G$49,MATCH(orders!$D751,products!$A$1:$A$49,0),MATCH(orders!J$1,products!$A$1:$G$1,0))</f>
        <v>D</v>
      </c>
      <c r="K751" s="7">
        <f>INDEX(products!$A$1:$G$49,MATCH(orders!$D751,products!$A$1:$A$49,0),MATCH(orders!K$1,products!$A$1:$G$1,0))</f>
        <v>0.2</v>
      </c>
      <c r="L751" s="4">
        <f>INDEX(products!$A$1:$G$49,MATCH(orders!$D751,products!$A$1:$A$49,0),MATCH(orders!L$1,products!$A$1:$G$1,0))</f>
        <v>2.6849999999999996</v>
      </c>
      <c r="M751" s="4">
        <f t="shared" si="11"/>
        <v>5.3699999999999992</v>
      </c>
      <c r="N751" t="str" cm="1">
        <f t="array" ref="N751">_xlfn.IFS(I751="Rob","Robusta",I751="Exc","Excelsa",I751="Ara","Arabica",I751="Lib","Liberica")</f>
        <v>Robusta</v>
      </c>
      <c r="O751" t="str" cm="1">
        <f t="array" ref="O751">_xlfn.IFS(J751="M","Medium",J751="L","Large",J751="D","Dark")</f>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_xlfn.XLOOKUP(C752,customers!$A$1:$A$1001,customers!$B$1:$B$1001,,0)</f>
        <v>Hazel Iacopini</v>
      </c>
      <c r="G752" s="2" t="str">
        <f>IF(_xlfn.XLOOKUP(C752,customers!$A$1:$A$1001,customers!$C$1:$C$1001,,0)=0,"",_xlfn.XLOOKUP(C752,customers!$A$1:$A$1001,customers!$C$1:$C$1001,,0))</f>
        <v/>
      </c>
      <c r="H752" s="2" t="str">
        <f>_xlfn.XLOOKUP(C752,customers!$A$1:$A$1001,customers!$G$1:$G$1001,,0)</f>
        <v>United States</v>
      </c>
      <c r="I752" t="str">
        <f>INDEX(products!$A$1:$G$49,MATCH(orders!$D752,products!$A$1:$A$49,0),MATCH(orders!I$1,products!$A$1:$G$1,0))</f>
        <v>Rob</v>
      </c>
      <c r="J752" t="str">
        <f>INDEX(products!$A$1:$G$49,MATCH(orders!$D752,products!$A$1:$A$49,0),MATCH(orders!J$1,products!$A$1:$G$1,0))</f>
        <v>M</v>
      </c>
      <c r="K752" s="7">
        <f>INDEX(products!$A$1:$G$49,MATCH(orders!$D752,products!$A$1:$A$49,0),MATCH(orders!K$1,products!$A$1:$G$1,0))</f>
        <v>0.5</v>
      </c>
      <c r="L752" s="4">
        <f>INDEX(products!$A$1:$G$49,MATCH(orders!$D752,products!$A$1:$A$49,0),MATCH(orders!L$1,products!$A$1:$G$1,0))</f>
        <v>5.97</v>
      </c>
      <c r="M752" s="4">
        <f t="shared" si="11"/>
        <v>5.97</v>
      </c>
      <c r="N752" t="str" cm="1">
        <f t="array" ref="N752">_xlfn.IFS(I752="Rob","Robusta",I752="Exc","Excelsa",I752="Ara","Arabica",I752="Lib","Liberica")</f>
        <v>Robusta</v>
      </c>
      <c r="O752" t="str" cm="1">
        <f t="array" ref="O752">_xlfn.IFS(J752="M","Medium",J752="L","Large",J752="D","Dark")</f>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_xlfn.XLOOKUP(C753,customers!$A$1:$A$1001,customers!$B$1:$B$1001,,0)</f>
        <v>Vinny Shoebotham</v>
      </c>
      <c r="G753" s="2" t="str">
        <f>IF(_xlfn.XLOOKUP(C753,customers!$A$1:$A$1001,customers!$C$1:$C$1001,,0)=0,"",_xlfn.XLOOKUP(C753,customers!$A$1:$A$1001,customers!$C$1:$C$1001,,0))</f>
        <v>vshoebothamkv@redcross.org</v>
      </c>
      <c r="H753" s="2" t="str">
        <f>_xlfn.XLOOKUP(C753,customers!$A$1:$A$1001,customers!$G$1:$G$1001,,0)</f>
        <v>United States</v>
      </c>
      <c r="I753" t="str">
        <f>INDEX(products!$A$1:$G$49,MATCH(orders!$D753,products!$A$1:$A$49,0),MATCH(orders!I$1,products!$A$1:$G$1,0))</f>
        <v>Lib</v>
      </c>
      <c r="J753" t="str">
        <f>INDEX(products!$A$1:$G$49,MATCH(orders!$D753,products!$A$1:$A$49,0),MATCH(orders!J$1,products!$A$1:$G$1,0))</f>
        <v>L</v>
      </c>
      <c r="K753" s="7">
        <f>INDEX(products!$A$1:$G$49,MATCH(orders!$D753,products!$A$1:$A$49,0),MATCH(orders!K$1,products!$A$1:$G$1,0))</f>
        <v>0.5</v>
      </c>
      <c r="L753" s="4">
        <f>INDEX(products!$A$1:$G$49,MATCH(orders!$D753,products!$A$1:$A$49,0),MATCH(orders!L$1,products!$A$1:$G$1,0))</f>
        <v>9.51</v>
      </c>
      <c r="M753" s="4">
        <f t="shared" si="11"/>
        <v>19.02</v>
      </c>
      <c r="N753" t="str" cm="1">
        <f t="array" ref="N753">_xlfn.IFS(I753="Rob","Robusta",I753="Exc","Excelsa",I753="Ara","Arabica",I753="Lib","Liberica")</f>
        <v>Liberica</v>
      </c>
      <c r="O753" t="str" cm="1">
        <f t="array" ref="O753">_xlfn.IFS(J753="M","Medium",J753="L","Large",J753="D","Dark")</f>
        <v>Large</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_xlfn.XLOOKUP(C754,customers!$A$1:$A$1001,customers!$B$1:$B$1001,,0)</f>
        <v>Bran Sterke</v>
      </c>
      <c r="G754" s="2" t="str">
        <f>IF(_xlfn.XLOOKUP(C754,customers!$A$1:$A$1001,customers!$C$1:$C$1001,,0)=0,"",_xlfn.XLOOKUP(C754,customers!$A$1:$A$1001,customers!$C$1:$C$1001,,0))</f>
        <v>bsterkekw@biblegateway.com</v>
      </c>
      <c r="H754" s="2" t="str">
        <f>_xlfn.XLOOKUP(C754,customers!$A$1:$A$1001,customers!$G$1:$G$1001,,0)</f>
        <v>United States</v>
      </c>
      <c r="I754" t="str">
        <f>INDEX(products!$A$1:$G$49,MATCH(orders!$D754,products!$A$1:$A$49,0),MATCH(orders!I$1,products!$A$1:$G$1,0))</f>
        <v>Exc</v>
      </c>
      <c r="J754" t="str">
        <f>INDEX(products!$A$1:$G$49,MATCH(orders!$D754,products!$A$1:$A$49,0),MATCH(orders!J$1,products!$A$1:$G$1,0))</f>
        <v>M</v>
      </c>
      <c r="K754" s="7">
        <f>INDEX(products!$A$1:$G$49,MATCH(orders!$D754,products!$A$1:$A$49,0),MATCH(orders!K$1,products!$A$1:$G$1,0))</f>
        <v>1</v>
      </c>
      <c r="L754" s="4">
        <f>INDEX(products!$A$1:$G$49,MATCH(orders!$D754,products!$A$1:$A$49,0),MATCH(orders!L$1,products!$A$1:$G$1,0))</f>
        <v>13.75</v>
      </c>
      <c r="M754" s="4">
        <f t="shared" si="11"/>
        <v>27.5</v>
      </c>
      <c r="N754" t="str" cm="1">
        <f t="array" ref="N754">_xlfn.IFS(I754="Rob","Robusta",I754="Exc","Excelsa",I754="Ara","Arabica",I754="Lib","Liberica")</f>
        <v>Excelsa</v>
      </c>
      <c r="O754" t="str" cm="1">
        <f t="array" ref="O754">_xlfn.IFS(J754="M","Medium",J754="L","Large",J754="D","Dark")</f>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_xlfn.XLOOKUP(C755,customers!$A$1:$A$1001,customers!$B$1:$B$1001,,0)</f>
        <v>Simone Capon</v>
      </c>
      <c r="G755" s="2" t="str">
        <f>IF(_xlfn.XLOOKUP(C755,customers!$A$1:$A$1001,customers!$C$1:$C$1001,,0)=0,"",_xlfn.XLOOKUP(C755,customers!$A$1:$A$1001,customers!$C$1:$C$1001,,0))</f>
        <v>scaponkx@craigslist.org</v>
      </c>
      <c r="H755" s="2" t="str">
        <f>_xlfn.XLOOKUP(C755,customers!$A$1:$A$1001,customers!$G$1:$G$1001,,0)</f>
        <v>United States</v>
      </c>
      <c r="I755" t="str">
        <f>INDEX(products!$A$1:$G$49,MATCH(orders!$D755,products!$A$1:$A$49,0),MATCH(orders!I$1,products!$A$1:$G$1,0))</f>
        <v>Ara</v>
      </c>
      <c r="J755" t="str">
        <f>INDEX(products!$A$1:$G$49,MATCH(orders!$D755,products!$A$1:$A$49,0),MATCH(orders!J$1,products!$A$1:$G$1,0))</f>
        <v>D</v>
      </c>
      <c r="K755" s="7">
        <f>INDEX(products!$A$1:$G$49,MATCH(orders!$D755,products!$A$1:$A$49,0),MATCH(orders!K$1,products!$A$1:$G$1,0))</f>
        <v>0.5</v>
      </c>
      <c r="L755" s="4">
        <f>INDEX(products!$A$1:$G$49,MATCH(orders!$D755,products!$A$1:$A$49,0),MATCH(orders!L$1,products!$A$1:$G$1,0))</f>
        <v>5.97</v>
      </c>
      <c r="M755" s="4">
        <f t="shared" si="11"/>
        <v>29.849999999999998</v>
      </c>
      <c r="N755" t="str" cm="1">
        <f t="array" ref="N755">_xlfn.IFS(I755="Rob","Robusta",I755="Exc","Excelsa",I755="Ara","Arabica",I755="Lib","Liberica")</f>
        <v>Arabica</v>
      </c>
      <c r="O755" t="str" cm="1">
        <f t="array" ref="O755">_xlfn.IFS(J755="M","Medium",J755="L","Large",J755="D","Dark")</f>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_xlfn.XLOOKUP(C756,customers!$A$1:$A$1001,customers!$B$1:$B$1001,,0)</f>
        <v>Jimmy Dymoke</v>
      </c>
      <c r="G756" s="2" t="str">
        <f>IF(_xlfn.XLOOKUP(C756,customers!$A$1:$A$1001,customers!$C$1:$C$1001,,0)=0,"",_xlfn.XLOOKUP(C756,customers!$A$1:$A$1001,customers!$C$1:$C$1001,,0))</f>
        <v>jdymokeje@prnewswire.com</v>
      </c>
      <c r="H756" s="2" t="str">
        <f>_xlfn.XLOOKUP(C756,customers!$A$1:$A$1001,customers!$G$1:$G$1001,,0)</f>
        <v>Ireland</v>
      </c>
      <c r="I756" t="str">
        <f>INDEX(products!$A$1:$G$49,MATCH(orders!$D756,products!$A$1:$A$49,0),MATCH(orders!I$1,products!$A$1:$G$1,0))</f>
        <v>Ara</v>
      </c>
      <c r="J756" t="str">
        <f>INDEX(products!$A$1:$G$49,MATCH(orders!$D756,products!$A$1:$A$49,0),MATCH(orders!J$1,products!$A$1:$G$1,0))</f>
        <v>D</v>
      </c>
      <c r="K756" s="7">
        <f>INDEX(products!$A$1:$G$49,MATCH(orders!$D756,products!$A$1:$A$49,0),MATCH(orders!K$1,products!$A$1:$G$1,0))</f>
        <v>0.2</v>
      </c>
      <c r="L756" s="4">
        <f>INDEX(products!$A$1:$G$49,MATCH(orders!$D756,products!$A$1:$A$49,0),MATCH(orders!L$1,products!$A$1:$G$1,0))</f>
        <v>2.9849999999999999</v>
      </c>
      <c r="M756" s="4">
        <f t="shared" si="11"/>
        <v>17.91</v>
      </c>
      <c r="N756" t="str" cm="1">
        <f t="array" ref="N756">_xlfn.IFS(I756="Rob","Robusta",I756="Exc","Excelsa",I756="Ara","Arabica",I756="Lib","Liberica")</f>
        <v>Arabica</v>
      </c>
      <c r="O756" t="str" cm="1">
        <f t="array" ref="O756">_xlfn.IFS(J756="M","Medium",J756="L","Large",J756="D","Dark")</f>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_xlfn.XLOOKUP(C757,customers!$A$1:$A$1001,customers!$B$1:$B$1001,,0)</f>
        <v>Foster Constance</v>
      </c>
      <c r="G757" s="2" t="str">
        <f>IF(_xlfn.XLOOKUP(C757,customers!$A$1:$A$1001,customers!$C$1:$C$1001,,0)=0,"",_xlfn.XLOOKUP(C757,customers!$A$1:$A$1001,customers!$C$1:$C$1001,,0))</f>
        <v>fconstancekz@ifeng.com</v>
      </c>
      <c r="H757" s="2" t="str">
        <f>_xlfn.XLOOKUP(C757,customers!$A$1:$A$1001,customers!$G$1:$G$1001,,0)</f>
        <v>United States</v>
      </c>
      <c r="I757" t="str">
        <f>INDEX(products!$A$1:$G$49,MATCH(orders!$D757,products!$A$1:$A$49,0),MATCH(orders!I$1,products!$A$1:$G$1,0))</f>
        <v>Lib</v>
      </c>
      <c r="J757" t="str">
        <f>INDEX(products!$A$1:$G$49,MATCH(orders!$D757,products!$A$1:$A$49,0),MATCH(orders!J$1,products!$A$1:$G$1,0))</f>
        <v>L</v>
      </c>
      <c r="K757" s="7">
        <f>INDEX(products!$A$1:$G$49,MATCH(orders!$D757,products!$A$1:$A$49,0),MATCH(orders!K$1,products!$A$1:$G$1,0))</f>
        <v>0.2</v>
      </c>
      <c r="L757" s="4">
        <f>INDEX(products!$A$1:$G$49,MATCH(orders!$D757,products!$A$1:$A$49,0),MATCH(orders!L$1,products!$A$1:$G$1,0))</f>
        <v>4.7549999999999999</v>
      </c>
      <c r="M757" s="4">
        <f t="shared" si="11"/>
        <v>28.53</v>
      </c>
      <c r="N757" t="str" cm="1">
        <f t="array" ref="N757">_xlfn.IFS(I757="Rob","Robusta",I757="Exc","Excelsa",I757="Ara","Arabica",I757="Lib","Liberica")</f>
        <v>Liberica</v>
      </c>
      <c r="O757" t="str" cm="1">
        <f t="array" ref="O757">_xlfn.IFS(J757="M","Medium",J757="L","Large",J757="D","Dark")</f>
        <v>Large</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_xlfn.XLOOKUP(C758,customers!$A$1:$A$1001,customers!$B$1:$B$1001,,0)</f>
        <v>Fernando Sulman</v>
      </c>
      <c r="G758" s="2" t="str">
        <f>IF(_xlfn.XLOOKUP(C758,customers!$A$1:$A$1001,customers!$C$1:$C$1001,,0)=0,"",_xlfn.XLOOKUP(C758,customers!$A$1:$A$1001,customers!$C$1:$C$1001,,0))</f>
        <v>fsulmanl0@washington.edu</v>
      </c>
      <c r="H758" s="2" t="str">
        <f>_xlfn.XLOOKUP(C758,customers!$A$1:$A$1001,customers!$G$1:$G$1001,,0)</f>
        <v>United States</v>
      </c>
      <c r="I758" t="str">
        <f>INDEX(products!$A$1:$G$49,MATCH(orders!$D758,products!$A$1:$A$49,0),MATCH(orders!I$1,products!$A$1:$G$1,0))</f>
        <v>Rob</v>
      </c>
      <c r="J758" t="str">
        <f>INDEX(products!$A$1:$G$49,MATCH(orders!$D758,products!$A$1:$A$49,0),MATCH(orders!J$1,products!$A$1:$G$1,0))</f>
        <v>D</v>
      </c>
      <c r="K758" s="7">
        <f>INDEX(products!$A$1:$G$49,MATCH(orders!$D758,products!$A$1:$A$49,0),MATCH(orders!K$1,products!$A$1:$G$1,0))</f>
        <v>1</v>
      </c>
      <c r="L758" s="4">
        <f>INDEX(products!$A$1:$G$49,MATCH(orders!$D758,products!$A$1:$A$49,0),MATCH(orders!L$1,products!$A$1:$G$1,0))</f>
        <v>8.9499999999999993</v>
      </c>
      <c r="M758" s="4">
        <f t="shared" si="11"/>
        <v>35.799999999999997</v>
      </c>
      <c r="N758" t="str" cm="1">
        <f t="array" ref="N758">_xlfn.IFS(I758="Rob","Robusta",I758="Exc","Excelsa",I758="Ara","Arabica",I758="Lib","Liberica")</f>
        <v>Robusta</v>
      </c>
      <c r="O758" t="str" cm="1">
        <f t="array" ref="O758">_xlfn.IFS(J758="M","Medium",J758="L","Large",J758="D","Dark")</f>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_xlfn.XLOOKUP(C759,customers!$A$1:$A$1001,customers!$B$1:$B$1001,,0)</f>
        <v>Dorotea Hollyman</v>
      </c>
      <c r="G759" s="2" t="str">
        <f>IF(_xlfn.XLOOKUP(C759,customers!$A$1:$A$1001,customers!$C$1:$C$1001,,0)=0,"",_xlfn.XLOOKUP(C759,customers!$A$1:$A$1001,customers!$C$1:$C$1001,,0))</f>
        <v>dhollymanl1@ibm.com</v>
      </c>
      <c r="H759" s="2" t="str">
        <f>_xlfn.XLOOKUP(C759,customers!$A$1:$A$1001,customers!$G$1:$G$1001,,0)</f>
        <v>United States</v>
      </c>
      <c r="I759" t="str">
        <f>INDEX(products!$A$1:$G$49,MATCH(orders!$D759,products!$A$1:$A$49,0),MATCH(orders!I$1,products!$A$1:$G$1,0))</f>
        <v>Ara</v>
      </c>
      <c r="J759" t="str">
        <f>INDEX(products!$A$1:$G$49,MATCH(orders!$D759,products!$A$1:$A$49,0),MATCH(orders!J$1,products!$A$1:$G$1,0))</f>
        <v>D</v>
      </c>
      <c r="K759" s="7">
        <f>INDEX(products!$A$1:$G$49,MATCH(orders!$D759,products!$A$1:$A$49,0),MATCH(orders!K$1,products!$A$1:$G$1,0))</f>
        <v>0.5</v>
      </c>
      <c r="L759" s="4">
        <f>INDEX(products!$A$1:$G$49,MATCH(orders!$D759,products!$A$1:$A$49,0),MATCH(orders!L$1,products!$A$1:$G$1,0))</f>
        <v>5.97</v>
      </c>
      <c r="M759" s="4">
        <f t="shared" si="11"/>
        <v>17.91</v>
      </c>
      <c r="N759" t="str" cm="1">
        <f t="array" ref="N759">_xlfn.IFS(I759="Rob","Robusta",I759="Exc","Excelsa",I759="Ara","Arabica",I759="Lib","Liberica")</f>
        <v>Arabica</v>
      </c>
      <c r="O759" t="str" cm="1">
        <f t="array" ref="O759">_xlfn.IFS(J759="M","Medium",J759="L","Large",J759="D","Dark")</f>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_xlfn.XLOOKUP(C760,customers!$A$1:$A$1001,customers!$B$1:$B$1001,,0)</f>
        <v>Lorelei Nardoni</v>
      </c>
      <c r="G760" s="2" t="str">
        <f>IF(_xlfn.XLOOKUP(C760,customers!$A$1:$A$1001,customers!$C$1:$C$1001,,0)=0,"",_xlfn.XLOOKUP(C760,customers!$A$1:$A$1001,customers!$C$1:$C$1001,,0))</f>
        <v>lnardonil2@hao123.com</v>
      </c>
      <c r="H760" s="2" t="str">
        <f>_xlfn.XLOOKUP(C760,customers!$A$1:$A$1001,customers!$G$1:$G$1001,,0)</f>
        <v>United States</v>
      </c>
      <c r="I760" t="str">
        <f>INDEX(products!$A$1:$G$49,MATCH(orders!$D760,products!$A$1:$A$49,0),MATCH(orders!I$1,products!$A$1:$G$1,0))</f>
        <v>Rob</v>
      </c>
      <c r="J760" t="str">
        <f>INDEX(products!$A$1:$G$49,MATCH(orders!$D760,products!$A$1:$A$49,0),MATCH(orders!J$1,products!$A$1:$G$1,0))</f>
        <v>D</v>
      </c>
      <c r="K760" s="7">
        <f>INDEX(products!$A$1:$G$49,MATCH(orders!$D760,products!$A$1:$A$49,0),MATCH(orders!K$1,products!$A$1:$G$1,0))</f>
        <v>1</v>
      </c>
      <c r="L760" s="4">
        <f>INDEX(products!$A$1:$G$49,MATCH(orders!$D760,products!$A$1:$A$49,0),MATCH(orders!L$1,products!$A$1:$G$1,0))</f>
        <v>8.9499999999999993</v>
      </c>
      <c r="M760" s="4">
        <f t="shared" si="11"/>
        <v>8.9499999999999993</v>
      </c>
      <c r="N760" t="str" cm="1">
        <f t="array" ref="N760">_xlfn.IFS(I760="Rob","Robusta",I760="Exc","Excelsa",I760="Ara","Arabica",I760="Lib","Liberica")</f>
        <v>Robusta</v>
      </c>
      <c r="O760" t="str" cm="1">
        <f t="array" ref="O760">_xlfn.IFS(J760="M","Medium",J760="L","Large",J760="D","Dark")</f>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_xlfn.XLOOKUP(C761,customers!$A$1:$A$1001,customers!$B$1:$B$1001,,0)</f>
        <v>Dallas Yarham</v>
      </c>
      <c r="G761" s="2" t="str">
        <f>IF(_xlfn.XLOOKUP(C761,customers!$A$1:$A$1001,customers!$C$1:$C$1001,,0)=0,"",_xlfn.XLOOKUP(C761,customers!$A$1:$A$1001,customers!$C$1:$C$1001,,0))</f>
        <v>dyarhaml3@moonfruit.com</v>
      </c>
      <c r="H761" s="2" t="str">
        <f>_xlfn.XLOOKUP(C761,customers!$A$1:$A$1001,customers!$G$1:$G$1001,,0)</f>
        <v>United States</v>
      </c>
      <c r="I761" t="str">
        <f>INDEX(products!$A$1:$G$49,MATCH(orders!$D761,products!$A$1:$A$49,0),MATCH(orders!I$1,products!$A$1:$G$1,0))</f>
        <v>Lib</v>
      </c>
      <c r="J761" t="str">
        <f>INDEX(products!$A$1:$G$49,MATCH(orders!$D761,products!$A$1:$A$49,0),MATCH(orders!J$1,products!$A$1:$G$1,0))</f>
        <v>D</v>
      </c>
      <c r="K761" s="7">
        <f>INDEX(products!$A$1:$G$49,MATCH(orders!$D761,products!$A$1:$A$49,0),MATCH(orders!K$1,products!$A$1:$G$1,0))</f>
        <v>2.5</v>
      </c>
      <c r="L761" s="4">
        <f>INDEX(products!$A$1:$G$49,MATCH(orders!$D761,products!$A$1:$A$49,0),MATCH(orders!L$1,products!$A$1:$G$1,0))</f>
        <v>29.784999999999997</v>
      </c>
      <c r="M761" s="4">
        <f t="shared" si="11"/>
        <v>29.784999999999997</v>
      </c>
      <c r="N761" t="str" cm="1">
        <f t="array" ref="N761">_xlfn.IFS(I761="Rob","Robusta",I761="Exc","Excelsa",I761="Ara","Arabica",I761="Lib","Liberica")</f>
        <v>Liberica</v>
      </c>
      <c r="O761" t="str" cm="1">
        <f t="array" ref="O761">_xlfn.IFS(J761="M","Medium",J761="L","Large",J761="D","Dark")</f>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_xlfn.XLOOKUP(C762,customers!$A$1:$A$1001,customers!$B$1:$B$1001,,0)</f>
        <v>Arlana Ferrea</v>
      </c>
      <c r="G762" s="2" t="str">
        <f>IF(_xlfn.XLOOKUP(C762,customers!$A$1:$A$1001,customers!$C$1:$C$1001,,0)=0,"",_xlfn.XLOOKUP(C762,customers!$A$1:$A$1001,customers!$C$1:$C$1001,,0))</f>
        <v>aferreal4@wikia.com</v>
      </c>
      <c r="H762" s="2" t="str">
        <f>_xlfn.XLOOKUP(C762,customers!$A$1:$A$1001,customers!$G$1:$G$1001,,0)</f>
        <v>United States</v>
      </c>
      <c r="I762" t="str">
        <f>INDEX(products!$A$1:$G$49,MATCH(orders!$D762,products!$A$1:$A$49,0),MATCH(orders!I$1,products!$A$1:$G$1,0))</f>
        <v>Exc</v>
      </c>
      <c r="J762" t="str">
        <f>INDEX(products!$A$1:$G$49,MATCH(orders!$D762,products!$A$1:$A$49,0),MATCH(orders!J$1,products!$A$1:$G$1,0))</f>
        <v>L</v>
      </c>
      <c r="K762" s="7">
        <f>INDEX(products!$A$1:$G$49,MATCH(orders!$D762,products!$A$1:$A$49,0),MATCH(orders!K$1,products!$A$1:$G$1,0))</f>
        <v>0.5</v>
      </c>
      <c r="L762" s="4">
        <f>INDEX(products!$A$1:$G$49,MATCH(orders!$D762,products!$A$1:$A$49,0),MATCH(orders!L$1,products!$A$1:$G$1,0))</f>
        <v>8.91</v>
      </c>
      <c r="M762" s="4">
        <f t="shared" si="11"/>
        <v>44.55</v>
      </c>
      <c r="N762" t="str" cm="1">
        <f t="array" ref="N762">_xlfn.IFS(I762="Rob","Robusta",I762="Exc","Excelsa",I762="Ara","Arabica",I762="Lib","Liberica")</f>
        <v>Excelsa</v>
      </c>
      <c r="O762" t="str" cm="1">
        <f t="array" ref="O762">_xlfn.IFS(J762="M","Medium",J762="L","Large",J762="D","Dark")</f>
        <v>Large</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_xlfn.XLOOKUP(C763,customers!$A$1:$A$1001,customers!$B$1:$B$1001,,0)</f>
        <v>Chuck Kendrick</v>
      </c>
      <c r="G763" s="2" t="str">
        <f>IF(_xlfn.XLOOKUP(C763,customers!$A$1:$A$1001,customers!$C$1:$C$1001,,0)=0,"",_xlfn.XLOOKUP(C763,customers!$A$1:$A$1001,customers!$C$1:$C$1001,,0))</f>
        <v>ckendrickl5@webnode.com</v>
      </c>
      <c r="H763" s="2" t="str">
        <f>_xlfn.XLOOKUP(C763,customers!$A$1:$A$1001,customers!$G$1:$G$1001,,0)</f>
        <v>United States</v>
      </c>
      <c r="I763" t="str">
        <f>INDEX(products!$A$1:$G$49,MATCH(orders!$D763,products!$A$1:$A$49,0),MATCH(orders!I$1,products!$A$1:$G$1,0))</f>
        <v>Exc</v>
      </c>
      <c r="J763" t="str">
        <f>INDEX(products!$A$1:$G$49,MATCH(orders!$D763,products!$A$1:$A$49,0),MATCH(orders!J$1,products!$A$1:$G$1,0))</f>
        <v>L</v>
      </c>
      <c r="K763" s="7">
        <f>INDEX(products!$A$1:$G$49,MATCH(orders!$D763,products!$A$1:$A$49,0),MATCH(orders!K$1,products!$A$1:$G$1,0))</f>
        <v>1</v>
      </c>
      <c r="L763" s="4">
        <f>INDEX(products!$A$1:$G$49,MATCH(orders!$D763,products!$A$1:$A$49,0),MATCH(orders!L$1,products!$A$1:$G$1,0))</f>
        <v>14.85</v>
      </c>
      <c r="M763" s="4">
        <f t="shared" si="11"/>
        <v>89.1</v>
      </c>
      <c r="N763" t="str" cm="1">
        <f t="array" ref="N763">_xlfn.IFS(I763="Rob","Robusta",I763="Exc","Excelsa",I763="Ara","Arabica",I763="Lib","Liberica")</f>
        <v>Excelsa</v>
      </c>
      <c r="O763" t="str" cm="1">
        <f t="array" ref="O763">_xlfn.IFS(J763="M","Medium",J763="L","Large",J763="D","Dark")</f>
        <v>Large</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_xlfn.XLOOKUP(C764,customers!$A$1:$A$1001,customers!$B$1:$B$1001,,0)</f>
        <v>Sharona Danilchik</v>
      </c>
      <c r="G764" s="2" t="str">
        <f>IF(_xlfn.XLOOKUP(C764,customers!$A$1:$A$1001,customers!$C$1:$C$1001,,0)=0,"",_xlfn.XLOOKUP(C764,customers!$A$1:$A$1001,customers!$C$1:$C$1001,,0))</f>
        <v>sdanilchikl6@mit.edu</v>
      </c>
      <c r="H764" s="2" t="str">
        <f>_xlfn.XLOOKUP(C764,customers!$A$1:$A$1001,customers!$G$1:$G$1001,,0)</f>
        <v>United Kingdom</v>
      </c>
      <c r="I764" t="str">
        <f>INDEX(products!$A$1:$G$49,MATCH(orders!$D764,products!$A$1:$A$49,0),MATCH(orders!I$1,products!$A$1:$G$1,0))</f>
        <v>Lib</v>
      </c>
      <c r="J764" t="str">
        <f>INDEX(products!$A$1:$G$49,MATCH(orders!$D764,products!$A$1:$A$49,0),MATCH(orders!J$1,products!$A$1:$G$1,0))</f>
        <v>M</v>
      </c>
      <c r="K764" s="7">
        <f>INDEX(products!$A$1:$G$49,MATCH(orders!$D764,products!$A$1:$A$49,0),MATCH(orders!K$1,products!$A$1:$G$1,0))</f>
        <v>0.5</v>
      </c>
      <c r="L764" s="4">
        <f>INDEX(products!$A$1:$G$49,MATCH(orders!$D764,products!$A$1:$A$49,0),MATCH(orders!L$1,products!$A$1:$G$1,0))</f>
        <v>8.73</v>
      </c>
      <c r="M764" s="4">
        <f t="shared" si="11"/>
        <v>43.650000000000006</v>
      </c>
      <c r="N764" t="str" cm="1">
        <f t="array" ref="N764">_xlfn.IFS(I764="Rob","Robusta",I764="Exc","Excelsa",I764="Ara","Arabica",I764="Lib","Liberica")</f>
        <v>Liberica</v>
      </c>
      <c r="O764" t="str" cm="1">
        <f t="array" ref="O764">_xlfn.IFS(J764="M","Medium",J764="L","Large",J764="D","Dark")</f>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_xlfn.XLOOKUP(C765,customers!$A$1:$A$1001,customers!$B$1:$B$1001,,0)</f>
        <v>Sarajane Potter</v>
      </c>
      <c r="G765" s="2" t="str">
        <f>IF(_xlfn.XLOOKUP(C765,customers!$A$1:$A$1001,customers!$C$1:$C$1001,,0)=0,"",_xlfn.XLOOKUP(C765,customers!$A$1:$A$1001,customers!$C$1:$C$1001,,0))</f>
        <v/>
      </c>
      <c r="H765" s="2" t="str">
        <f>_xlfn.XLOOKUP(C765,customers!$A$1:$A$1001,customers!$G$1:$G$1001,,0)</f>
        <v>United States</v>
      </c>
      <c r="I765" t="str">
        <f>INDEX(products!$A$1:$G$49,MATCH(orders!$D765,products!$A$1:$A$49,0),MATCH(orders!I$1,products!$A$1:$G$1,0))</f>
        <v>Ara</v>
      </c>
      <c r="J765" t="str">
        <f>INDEX(products!$A$1:$G$49,MATCH(orders!$D765,products!$A$1:$A$49,0),MATCH(orders!J$1,products!$A$1:$G$1,0))</f>
        <v>L</v>
      </c>
      <c r="K765" s="7">
        <f>INDEX(products!$A$1:$G$49,MATCH(orders!$D765,products!$A$1:$A$49,0),MATCH(orders!K$1,products!$A$1:$G$1,0))</f>
        <v>0.5</v>
      </c>
      <c r="L765" s="4">
        <f>INDEX(products!$A$1:$G$49,MATCH(orders!$D765,products!$A$1:$A$49,0),MATCH(orders!L$1,products!$A$1:$G$1,0))</f>
        <v>7.77</v>
      </c>
      <c r="M765" s="4">
        <f t="shared" si="11"/>
        <v>23.31</v>
      </c>
      <c r="N765" t="str" cm="1">
        <f t="array" ref="N765">_xlfn.IFS(I765="Rob","Robusta",I765="Exc","Excelsa",I765="Ara","Arabica",I765="Lib","Liberica")</f>
        <v>Arabica</v>
      </c>
      <c r="O765" t="str" cm="1">
        <f t="array" ref="O765">_xlfn.IFS(J765="M","Medium",J765="L","Large",J765="D","Dark")</f>
        <v>Large</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_xlfn.XLOOKUP(C766,customers!$A$1:$A$1001,customers!$B$1:$B$1001,,0)</f>
        <v>Bobby Folomkin</v>
      </c>
      <c r="G766" s="2" t="str">
        <f>IF(_xlfn.XLOOKUP(C766,customers!$A$1:$A$1001,customers!$C$1:$C$1001,,0)=0,"",_xlfn.XLOOKUP(C766,customers!$A$1:$A$1001,customers!$C$1:$C$1001,,0))</f>
        <v>bfolomkinl8@yolasite.com</v>
      </c>
      <c r="H766" s="2" t="str">
        <f>_xlfn.XLOOKUP(C766,customers!$A$1:$A$1001,customers!$G$1:$G$1001,,0)</f>
        <v>United States</v>
      </c>
      <c r="I766" t="str">
        <f>INDEX(products!$A$1:$G$49,MATCH(orders!$D766,products!$A$1:$A$49,0),MATCH(orders!I$1,products!$A$1:$G$1,0))</f>
        <v>Ara</v>
      </c>
      <c r="J766" t="str">
        <f>INDEX(products!$A$1:$G$49,MATCH(orders!$D766,products!$A$1:$A$49,0),MATCH(orders!J$1,products!$A$1:$G$1,0))</f>
        <v>L</v>
      </c>
      <c r="K766" s="7">
        <f>INDEX(products!$A$1:$G$49,MATCH(orders!$D766,products!$A$1:$A$49,0),MATCH(orders!K$1,products!$A$1:$G$1,0))</f>
        <v>2.5</v>
      </c>
      <c r="L766" s="4">
        <f>INDEX(products!$A$1:$G$49,MATCH(orders!$D766,products!$A$1:$A$49,0),MATCH(orders!L$1,products!$A$1:$G$1,0))</f>
        <v>29.784999999999997</v>
      </c>
      <c r="M766" s="4">
        <f t="shared" si="11"/>
        <v>178.70999999999998</v>
      </c>
      <c r="N766" t="str" cm="1">
        <f t="array" ref="N766">_xlfn.IFS(I766="Rob","Robusta",I766="Exc","Excelsa",I766="Ara","Arabica",I766="Lib","Liberica")</f>
        <v>Arabica</v>
      </c>
      <c r="O766" t="str" cm="1">
        <f t="array" ref="O766">_xlfn.IFS(J766="M","Medium",J766="L","Large",J766="D","Dark")</f>
        <v>Large</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_xlfn.XLOOKUP(C767,customers!$A$1:$A$1001,customers!$B$1:$B$1001,,0)</f>
        <v>Rafferty Pursglove</v>
      </c>
      <c r="G767" s="2" t="str">
        <f>IF(_xlfn.XLOOKUP(C767,customers!$A$1:$A$1001,customers!$C$1:$C$1001,,0)=0,"",_xlfn.XLOOKUP(C767,customers!$A$1:$A$1001,customers!$C$1:$C$1001,,0))</f>
        <v>rpursglovel9@biblegateway.com</v>
      </c>
      <c r="H767" s="2" t="str">
        <f>_xlfn.XLOOKUP(C767,customers!$A$1:$A$1001,customers!$G$1:$G$1001,,0)</f>
        <v>United States</v>
      </c>
      <c r="I767" t="str">
        <f>INDEX(products!$A$1:$G$49,MATCH(orders!$D767,products!$A$1:$A$49,0),MATCH(orders!I$1,products!$A$1:$G$1,0))</f>
        <v>Rob</v>
      </c>
      <c r="J767" t="str">
        <f>INDEX(products!$A$1:$G$49,MATCH(orders!$D767,products!$A$1:$A$49,0),MATCH(orders!J$1,products!$A$1:$G$1,0))</f>
        <v>M</v>
      </c>
      <c r="K767" s="7">
        <f>INDEX(products!$A$1:$G$49,MATCH(orders!$D767,products!$A$1:$A$49,0),MATCH(orders!K$1,products!$A$1:$G$1,0))</f>
        <v>1</v>
      </c>
      <c r="L767" s="4">
        <f>INDEX(products!$A$1:$G$49,MATCH(orders!$D767,products!$A$1:$A$49,0),MATCH(orders!L$1,products!$A$1:$G$1,0))</f>
        <v>9.9499999999999993</v>
      </c>
      <c r="M767" s="4">
        <f t="shared" si="11"/>
        <v>59.699999999999996</v>
      </c>
      <c r="N767" t="str" cm="1">
        <f t="array" ref="N767">_xlfn.IFS(I767="Rob","Robusta",I767="Exc","Excelsa",I767="Ara","Arabica",I767="Lib","Liberica")</f>
        <v>Robusta</v>
      </c>
      <c r="O767" t="str" cm="1">
        <f t="array" ref="O767">_xlfn.IFS(J767="M","Medium",J767="L","Large",J767="D","Dark")</f>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_xlfn.XLOOKUP(C768,customers!$A$1:$A$1001,customers!$B$1:$B$1001,,0)</f>
        <v>Rafferty Pursglove</v>
      </c>
      <c r="G768" s="2" t="str">
        <f>IF(_xlfn.XLOOKUP(C768,customers!$A$1:$A$1001,customers!$C$1:$C$1001,,0)=0,"",_xlfn.XLOOKUP(C768,customers!$A$1:$A$1001,customers!$C$1:$C$1001,,0))</f>
        <v>rpursglovel9@biblegateway.com</v>
      </c>
      <c r="H768" s="2" t="str">
        <f>_xlfn.XLOOKUP(C768,customers!$A$1:$A$1001,customers!$G$1:$G$1001,,0)</f>
        <v>United States</v>
      </c>
      <c r="I768" t="str">
        <f>INDEX(products!$A$1:$G$49,MATCH(orders!$D768,products!$A$1:$A$49,0),MATCH(orders!I$1,products!$A$1:$G$1,0))</f>
        <v>Ara</v>
      </c>
      <c r="J768" t="str">
        <f>INDEX(products!$A$1:$G$49,MATCH(orders!$D768,products!$A$1:$A$49,0),MATCH(orders!J$1,products!$A$1:$G$1,0))</f>
        <v>L</v>
      </c>
      <c r="K768" s="7">
        <f>INDEX(products!$A$1:$G$49,MATCH(orders!$D768,products!$A$1:$A$49,0),MATCH(orders!K$1,products!$A$1:$G$1,0))</f>
        <v>0.5</v>
      </c>
      <c r="L768" s="4">
        <f>INDEX(products!$A$1:$G$49,MATCH(orders!$D768,products!$A$1:$A$49,0),MATCH(orders!L$1,products!$A$1:$G$1,0))</f>
        <v>7.77</v>
      </c>
      <c r="M768" s="4">
        <f t="shared" si="11"/>
        <v>15.54</v>
      </c>
      <c r="N768" t="str" cm="1">
        <f t="array" ref="N768">_xlfn.IFS(I768="Rob","Robusta",I768="Exc","Excelsa",I768="Ara","Arabica",I768="Lib","Liberica")</f>
        <v>Arabica</v>
      </c>
      <c r="O768" t="str" cm="1">
        <f t="array" ref="O768">_xlfn.IFS(J768="M","Medium",J768="L","Large",J768="D","Dark")</f>
        <v>Large</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_xlfn.XLOOKUP(C769,customers!$A$1:$A$1001,customers!$B$1:$B$1001,,0)</f>
        <v>Foster Constance</v>
      </c>
      <c r="G769" s="2" t="str">
        <f>IF(_xlfn.XLOOKUP(C769,customers!$A$1:$A$1001,customers!$C$1:$C$1001,,0)=0,"",_xlfn.XLOOKUP(C769,customers!$A$1:$A$1001,customers!$C$1:$C$1001,,0))</f>
        <v>fconstancekz@ifeng.com</v>
      </c>
      <c r="H769" s="2" t="str">
        <f>_xlfn.XLOOKUP(C769,customers!$A$1:$A$1001,customers!$G$1:$G$1001,,0)</f>
        <v>United States</v>
      </c>
      <c r="I769" t="str">
        <f>INDEX(products!$A$1:$G$49,MATCH(orders!$D769,products!$A$1:$A$49,0),MATCH(orders!I$1,products!$A$1:$G$1,0))</f>
        <v>Ara</v>
      </c>
      <c r="J769" t="str">
        <f>INDEX(products!$A$1:$G$49,MATCH(orders!$D769,products!$A$1:$A$49,0),MATCH(orders!J$1,products!$A$1:$G$1,0))</f>
        <v>L</v>
      </c>
      <c r="K769" s="7">
        <f>INDEX(products!$A$1:$G$49,MATCH(orders!$D769,products!$A$1:$A$49,0),MATCH(orders!K$1,products!$A$1:$G$1,0))</f>
        <v>2.5</v>
      </c>
      <c r="L769" s="4">
        <f>INDEX(products!$A$1:$G$49,MATCH(orders!$D769,products!$A$1:$A$49,0),MATCH(orders!L$1,products!$A$1:$G$1,0))</f>
        <v>29.784999999999997</v>
      </c>
      <c r="M769" s="4">
        <f t="shared" si="11"/>
        <v>89.35499999999999</v>
      </c>
      <c r="N769" t="str" cm="1">
        <f t="array" ref="N769">_xlfn.IFS(I769="Rob","Robusta",I769="Exc","Excelsa",I769="Ara","Arabica",I769="Lib","Liberica")</f>
        <v>Arabica</v>
      </c>
      <c r="O769" t="str" cm="1">
        <f t="array" ref="O769">_xlfn.IFS(J769="M","Medium",J769="L","Large",J769="D","Dark")</f>
        <v>Large</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_xlfn.XLOOKUP(C770,customers!$A$1:$A$1001,customers!$B$1:$B$1001,,0)</f>
        <v>Foster Constance</v>
      </c>
      <c r="G770" s="2" t="str">
        <f>IF(_xlfn.XLOOKUP(C770,customers!$A$1:$A$1001,customers!$C$1:$C$1001,,0)=0,"",_xlfn.XLOOKUP(C770,customers!$A$1:$A$1001,customers!$C$1:$C$1001,,0))</f>
        <v>fconstancekz@ifeng.com</v>
      </c>
      <c r="H770" s="2" t="str">
        <f>_xlfn.XLOOKUP(C770,customers!$A$1:$A$1001,customers!$G$1:$G$1001,,0)</f>
        <v>United States</v>
      </c>
      <c r="I770" t="str">
        <f>INDEX(products!$A$1:$G$49,MATCH(orders!$D770,products!$A$1:$A$49,0),MATCH(orders!I$1,products!$A$1:$G$1,0))</f>
        <v>Rob</v>
      </c>
      <c r="J770" t="str">
        <f>INDEX(products!$A$1:$G$49,MATCH(orders!$D770,products!$A$1:$A$49,0),MATCH(orders!J$1,products!$A$1:$G$1,0))</f>
        <v>L</v>
      </c>
      <c r="K770" s="7">
        <f>INDEX(products!$A$1:$G$49,MATCH(orders!$D770,products!$A$1:$A$49,0),MATCH(orders!K$1,products!$A$1:$G$1,0))</f>
        <v>1</v>
      </c>
      <c r="L770" s="4">
        <f>INDEX(products!$A$1:$G$49,MATCH(orders!$D770,products!$A$1:$A$49,0),MATCH(orders!L$1,products!$A$1:$G$1,0))</f>
        <v>11.95</v>
      </c>
      <c r="M770" s="4">
        <f t="shared" si="11"/>
        <v>23.9</v>
      </c>
      <c r="N770" t="str" cm="1">
        <f t="array" ref="N770">_xlfn.IFS(I770="Rob","Robusta",I770="Exc","Excelsa",I770="Ara","Arabica",I770="Lib","Liberica")</f>
        <v>Robusta</v>
      </c>
      <c r="O770" t="str" cm="1">
        <f t="array" ref="O770">_xlfn.IFS(J770="M","Medium",J770="L","Large",J770="D","Dark")</f>
        <v>Large</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_xlfn.XLOOKUP(C771,customers!$A$1:$A$1001,customers!$B$1:$B$1001,,0)</f>
        <v>Dalia Eburah</v>
      </c>
      <c r="G771" s="2" t="str">
        <f>IF(_xlfn.XLOOKUP(C771,customers!$A$1:$A$1001,customers!$C$1:$C$1001,,0)=0,"",_xlfn.XLOOKUP(C771,customers!$A$1:$A$1001,customers!$C$1:$C$1001,,0))</f>
        <v>deburahld@google.co.jp</v>
      </c>
      <c r="H771" s="2" t="str">
        <f>_xlfn.XLOOKUP(C771,customers!$A$1:$A$1001,customers!$G$1:$G$1001,,0)</f>
        <v>United Kingdom</v>
      </c>
      <c r="I771" t="str">
        <f>INDEX(products!$A$1:$G$49,MATCH(orders!$D771,products!$A$1:$A$49,0),MATCH(orders!I$1,products!$A$1:$G$1,0))</f>
        <v>Rob</v>
      </c>
      <c r="J771" t="str">
        <f>INDEX(products!$A$1:$G$49,MATCH(orders!$D771,products!$A$1:$A$49,0),MATCH(orders!J$1,products!$A$1:$G$1,0))</f>
        <v>M</v>
      </c>
      <c r="K771" s="7">
        <f>INDEX(products!$A$1:$G$49,MATCH(orders!$D771,products!$A$1:$A$49,0),MATCH(orders!K$1,products!$A$1:$G$1,0))</f>
        <v>2.5</v>
      </c>
      <c r="L771" s="4">
        <f>INDEX(products!$A$1:$G$49,MATCH(orders!$D771,products!$A$1:$A$49,0),MATCH(orders!L$1,products!$A$1:$G$1,0))</f>
        <v>22.884999999999998</v>
      </c>
      <c r="M771" s="4">
        <f t="shared" ref="M771:M834" si="12">L771*E771</f>
        <v>137.31</v>
      </c>
      <c r="N771" t="str" cm="1">
        <f t="array" ref="N771">_xlfn.IFS(I771="Rob","Robusta",I771="Exc","Excelsa",I771="Ara","Arabica",I771="Lib","Liberica")</f>
        <v>Robusta</v>
      </c>
      <c r="O771" t="str" cm="1">
        <f t="array" ref="O771">_xlfn.IFS(J771="M","Medium",J771="L","Large",J771="D","Dark")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_xlfn.XLOOKUP(C772,customers!$A$1:$A$1001,customers!$B$1:$B$1001,,0)</f>
        <v>Martie Brimilcombe</v>
      </c>
      <c r="G772" s="2" t="str">
        <f>IF(_xlfn.XLOOKUP(C772,customers!$A$1:$A$1001,customers!$C$1:$C$1001,,0)=0,"",_xlfn.XLOOKUP(C772,customers!$A$1:$A$1001,customers!$C$1:$C$1001,,0))</f>
        <v>mbrimilcombele@cnn.com</v>
      </c>
      <c r="H772" s="2" t="str">
        <f>_xlfn.XLOOKUP(C772,customers!$A$1:$A$1001,customers!$G$1:$G$1001,,0)</f>
        <v>United States</v>
      </c>
      <c r="I772" t="str">
        <f>INDEX(products!$A$1:$G$49,MATCH(orders!$D772,products!$A$1:$A$49,0),MATCH(orders!I$1,products!$A$1:$G$1,0))</f>
        <v>Ara</v>
      </c>
      <c r="J772" t="str">
        <f>INDEX(products!$A$1:$G$49,MATCH(orders!$D772,products!$A$1:$A$49,0),MATCH(orders!J$1,products!$A$1:$G$1,0))</f>
        <v>D</v>
      </c>
      <c r="K772" s="7">
        <f>INDEX(products!$A$1:$G$49,MATCH(orders!$D772,products!$A$1:$A$49,0),MATCH(orders!K$1,products!$A$1:$G$1,0))</f>
        <v>1</v>
      </c>
      <c r="L772" s="4">
        <f>INDEX(products!$A$1:$G$49,MATCH(orders!$D772,products!$A$1:$A$49,0),MATCH(orders!L$1,products!$A$1:$G$1,0))</f>
        <v>9.9499999999999993</v>
      </c>
      <c r="M772" s="4">
        <f t="shared" si="12"/>
        <v>9.9499999999999993</v>
      </c>
      <c r="N772" t="str" cm="1">
        <f t="array" ref="N772">_xlfn.IFS(I772="Rob","Robusta",I772="Exc","Excelsa",I772="Ara","Arabica",I772="Lib","Liberica")</f>
        <v>Arabica</v>
      </c>
      <c r="O772" t="str" cm="1">
        <f t="array" ref="O772">_xlfn.IFS(J772="M","Medium",J772="L","Large",J772="D","Dark")</f>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_xlfn.XLOOKUP(C773,customers!$A$1:$A$1001,customers!$B$1:$B$1001,,0)</f>
        <v>Suzanna Bollam</v>
      </c>
      <c r="G773" s="2" t="str">
        <f>IF(_xlfn.XLOOKUP(C773,customers!$A$1:$A$1001,customers!$C$1:$C$1001,,0)=0,"",_xlfn.XLOOKUP(C773,customers!$A$1:$A$1001,customers!$C$1:$C$1001,,0))</f>
        <v>sbollamlf@list-manage.com</v>
      </c>
      <c r="H773" s="2" t="str">
        <f>_xlfn.XLOOKUP(C773,customers!$A$1:$A$1001,customers!$G$1:$G$1001,,0)</f>
        <v>United States</v>
      </c>
      <c r="I773" t="str">
        <f>INDEX(products!$A$1:$G$49,MATCH(orders!$D773,products!$A$1:$A$49,0),MATCH(orders!I$1,products!$A$1:$G$1,0))</f>
        <v>Rob</v>
      </c>
      <c r="J773" t="str">
        <f>INDEX(products!$A$1:$G$49,MATCH(orders!$D773,products!$A$1:$A$49,0),MATCH(orders!J$1,products!$A$1:$G$1,0))</f>
        <v>L</v>
      </c>
      <c r="K773" s="7">
        <f>INDEX(products!$A$1:$G$49,MATCH(orders!$D773,products!$A$1:$A$49,0),MATCH(orders!K$1,products!$A$1:$G$1,0))</f>
        <v>0.5</v>
      </c>
      <c r="L773" s="4">
        <f>INDEX(products!$A$1:$G$49,MATCH(orders!$D773,products!$A$1:$A$49,0),MATCH(orders!L$1,products!$A$1:$G$1,0))</f>
        <v>7.169999999999999</v>
      </c>
      <c r="M773" s="4">
        <f t="shared" si="12"/>
        <v>21.509999999999998</v>
      </c>
      <c r="N773" t="str" cm="1">
        <f t="array" ref="N773">_xlfn.IFS(I773="Rob","Robusta",I773="Exc","Excelsa",I773="Ara","Arabica",I773="Lib","Liberica")</f>
        <v>Robusta</v>
      </c>
      <c r="O773" t="str" cm="1">
        <f t="array" ref="O773">_xlfn.IFS(J773="M","Medium",J773="L","Large",J773="D","Dark")</f>
        <v>Large</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_xlfn.XLOOKUP(C774,customers!$A$1:$A$1001,customers!$B$1:$B$1001,,0)</f>
        <v>Mellisa Mebes</v>
      </c>
      <c r="G774" s="2" t="str">
        <f>IF(_xlfn.XLOOKUP(C774,customers!$A$1:$A$1001,customers!$C$1:$C$1001,,0)=0,"",_xlfn.XLOOKUP(C774,customers!$A$1:$A$1001,customers!$C$1:$C$1001,,0))</f>
        <v/>
      </c>
      <c r="H774" s="2" t="str">
        <f>_xlfn.XLOOKUP(C774,customers!$A$1:$A$1001,customers!$G$1:$G$1001,,0)</f>
        <v>United States</v>
      </c>
      <c r="I774" t="str">
        <f>INDEX(products!$A$1:$G$49,MATCH(orders!$D774,products!$A$1:$A$49,0),MATCH(orders!I$1,products!$A$1:$G$1,0))</f>
        <v>Exc</v>
      </c>
      <c r="J774" t="str">
        <f>INDEX(products!$A$1:$G$49,MATCH(orders!$D774,products!$A$1:$A$49,0),MATCH(orders!J$1,products!$A$1:$G$1,0))</f>
        <v>M</v>
      </c>
      <c r="K774" s="7">
        <f>INDEX(products!$A$1:$G$49,MATCH(orders!$D774,products!$A$1:$A$49,0),MATCH(orders!K$1,products!$A$1:$G$1,0))</f>
        <v>1</v>
      </c>
      <c r="L774" s="4">
        <f>INDEX(products!$A$1:$G$49,MATCH(orders!$D774,products!$A$1:$A$49,0),MATCH(orders!L$1,products!$A$1:$G$1,0))</f>
        <v>13.75</v>
      </c>
      <c r="M774" s="4">
        <f t="shared" si="12"/>
        <v>82.5</v>
      </c>
      <c r="N774" t="str" cm="1">
        <f t="array" ref="N774">_xlfn.IFS(I774="Rob","Robusta",I774="Exc","Excelsa",I774="Ara","Arabica",I774="Lib","Liberica")</f>
        <v>Excelsa</v>
      </c>
      <c r="O774" t="str" cm="1">
        <f t="array" ref="O774">_xlfn.IFS(J774="M","Medium",J774="L","Large",J774="D","Dark")</f>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_xlfn.XLOOKUP(C775,customers!$A$1:$A$1001,customers!$B$1:$B$1001,,0)</f>
        <v>Alva Filipczak</v>
      </c>
      <c r="G775" s="2" t="str">
        <f>IF(_xlfn.XLOOKUP(C775,customers!$A$1:$A$1001,customers!$C$1:$C$1001,,0)=0,"",_xlfn.XLOOKUP(C775,customers!$A$1:$A$1001,customers!$C$1:$C$1001,,0))</f>
        <v>afilipczaklh@ning.com</v>
      </c>
      <c r="H775" s="2" t="str">
        <f>_xlfn.XLOOKUP(C775,customers!$A$1:$A$1001,customers!$G$1:$G$1001,,0)</f>
        <v>Ireland</v>
      </c>
      <c r="I775" t="str">
        <f>INDEX(products!$A$1:$G$49,MATCH(orders!$D775,products!$A$1:$A$49,0),MATCH(orders!I$1,products!$A$1:$G$1,0))</f>
        <v>Lib</v>
      </c>
      <c r="J775" t="str">
        <f>INDEX(products!$A$1:$G$49,MATCH(orders!$D775,products!$A$1:$A$49,0),MATCH(orders!J$1,products!$A$1:$G$1,0))</f>
        <v>M</v>
      </c>
      <c r="K775" s="7">
        <f>INDEX(products!$A$1:$G$49,MATCH(orders!$D775,products!$A$1:$A$49,0),MATCH(orders!K$1,products!$A$1:$G$1,0))</f>
        <v>0.2</v>
      </c>
      <c r="L775" s="4">
        <f>INDEX(products!$A$1:$G$49,MATCH(orders!$D775,products!$A$1:$A$49,0),MATCH(orders!L$1,products!$A$1:$G$1,0))</f>
        <v>4.3650000000000002</v>
      </c>
      <c r="M775" s="4">
        <f t="shared" si="12"/>
        <v>8.73</v>
      </c>
      <c r="N775" t="str" cm="1">
        <f t="array" ref="N775">_xlfn.IFS(I775="Rob","Robusta",I775="Exc","Excelsa",I775="Ara","Arabica",I775="Lib","Liberica")</f>
        <v>Liberica</v>
      </c>
      <c r="O775" t="str" cm="1">
        <f t="array" ref="O775">_xlfn.IFS(J775="M","Medium",J775="L","Large",J775="D","Dark")</f>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_xlfn.XLOOKUP(C776,customers!$A$1:$A$1001,customers!$B$1:$B$1001,,0)</f>
        <v>Dorette Hinemoor</v>
      </c>
      <c r="G776" s="2" t="str">
        <f>IF(_xlfn.XLOOKUP(C776,customers!$A$1:$A$1001,customers!$C$1:$C$1001,,0)=0,"",_xlfn.XLOOKUP(C776,customers!$A$1:$A$1001,customers!$C$1:$C$1001,,0))</f>
        <v/>
      </c>
      <c r="H776" s="2" t="str">
        <f>_xlfn.XLOOKUP(C776,customers!$A$1:$A$1001,customers!$G$1:$G$1001,,0)</f>
        <v>United States</v>
      </c>
      <c r="I776" t="str">
        <f>INDEX(products!$A$1:$G$49,MATCH(orders!$D776,products!$A$1:$A$49,0),MATCH(orders!I$1,products!$A$1:$G$1,0))</f>
        <v>Rob</v>
      </c>
      <c r="J776" t="str">
        <f>INDEX(products!$A$1:$G$49,MATCH(orders!$D776,products!$A$1:$A$49,0),MATCH(orders!J$1,products!$A$1:$G$1,0))</f>
        <v>M</v>
      </c>
      <c r="K776" s="7">
        <f>INDEX(products!$A$1:$G$49,MATCH(orders!$D776,products!$A$1:$A$49,0),MATCH(orders!K$1,products!$A$1:$G$1,0))</f>
        <v>1</v>
      </c>
      <c r="L776" s="4">
        <f>INDEX(products!$A$1:$G$49,MATCH(orders!$D776,products!$A$1:$A$49,0),MATCH(orders!L$1,products!$A$1:$G$1,0))</f>
        <v>9.9499999999999993</v>
      </c>
      <c r="M776" s="4">
        <f t="shared" si="12"/>
        <v>19.899999999999999</v>
      </c>
      <c r="N776" t="str" cm="1">
        <f t="array" ref="N776">_xlfn.IFS(I776="Rob","Robusta",I776="Exc","Excelsa",I776="Ara","Arabica",I776="Lib","Liberica")</f>
        <v>Robusta</v>
      </c>
      <c r="O776" t="str" cm="1">
        <f t="array" ref="O776">_xlfn.IFS(J776="M","Medium",J776="L","Large",J776="D","Dark")</f>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_xlfn.XLOOKUP(C777,customers!$A$1:$A$1001,customers!$B$1:$B$1001,,0)</f>
        <v>Rhetta Elnaugh</v>
      </c>
      <c r="G777" s="2" t="str">
        <f>IF(_xlfn.XLOOKUP(C777,customers!$A$1:$A$1001,customers!$C$1:$C$1001,,0)=0,"",_xlfn.XLOOKUP(C777,customers!$A$1:$A$1001,customers!$C$1:$C$1001,,0))</f>
        <v>relnaughlj@comsenz.com</v>
      </c>
      <c r="H777" s="2" t="str">
        <f>_xlfn.XLOOKUP(C777,customers!$A$1:$A$1001,customers!$G$1:$G$1001,,0)</f>
        <v>United States</v>
      </c>
      <c r="I777" t="str">
        <f>INDEX(products!$A$1:$G$49,MATCH(orders!$D777,products!$A$1:$A$49,0),MATCH(orders!I$1,products!$A$1:$G$1,0))</f>
        <v>Exc</v>
      </c>
      <c r="J777" t="str">
        <f>INDEX(products!$A$1:$G$49,MATCH(orders!$D777,products!$A$1:$A$49,0),MATCH(orders!J$1,products!$A$1:$G$1,0))</f>
        <v>L</v>
      </c>
      <c r="K777" s="7">
        <f>INDEX(products!$A$1:$G$49,MATCH(orders!$D777,products!$A$1:$A$49,0),MATCH(orders!K$1,products!$A$1:$G$1,0))</f>
        <v>0.5</v>
      </c>
      <c r="L777" s="4">
        <f>INDEX(products!$A$1:$G$49,MATCH(orders!$D777,products!$A$1:$A$49,0),MATCH(orders!L$1,products!$A$1:$G$1,0))</f>
        <v>8.91</v>
      </c>
      <c r="M777" s="4">
        <f t="shared" si="12"/>
        <v>17.82</v>
      </c>
      <c r="N777" t="str" cm="1">
        <f t="array" ref="N777">_xlfn.IFS(I777="Rob","Robusta",I777="Exc","Excelsa",I777="Ara","Arabica",I777="Lib","Liberica")</f>
        <v>Excelsa</v>
      </c>
      <c r="O777" t="str" cm="1">
        <f t="array" ref="O777">_xlfn.IFS(J777="M","Medium",J777="L","Large",J777="D","Dark")</f>
        <v>Large</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_xlfn.XLOOKUP(C778,customers!$A$1:$A$1001,customers!$B$1:$B$1001,,0)</f>
        <v>Jule Deehan</v>
      </c>
      <c r="G778" s="2" t="str">
        <f>IF(_xlfn.XLOOKUP(C778,customers!$A$1:$A$1001,customers!$C$1:$C$1001,,0)=0,"",_xlfn.XLOOKUP(C778,customers!$A$1:$A$1001,customers!$C$1:$C$1001,,0))</f>
        <v>jdeehanlk@about.me</v>
      </c>
      <c r="H778" s="2" t="str">
        <f>_xlfn.XLOOKUP(C778,customers!$A$1:$A$1001,customers!$G$1:$G$1001,,0)</f>
        <v>United States</v>
      </c>
      <c r="I778" t="str">
        <f>INDEX(products!$A$1:$G$49,MATCH(orders!$D778,products!$A$1:$A$49,0),MATCH(orders!I$1,products!$A$1:$G$1,0))</f>
        <v>Ara</v>
      </c>
      <c r="J778" t="str">
        <f>INDEX(products!$A$1:$G$49,MATCH(orders!$D778,products!$A$1:$A$49,0),MATCH(orders!J$1,products!$A$1:$G$1,0))</f>
        <v>M</v>
      </c>
      <c r="K778" s="7">
        <f>INDEX(products!$A$1:$G$49,MATCH(orders!$D778,products!$A$1:$A$49,0),MATCH(orders!K$1,products!$A$1:$G$1,0))</f>
        <v>0.5</v>
      </c>
      <c r="L778" s="4">
        <f>INDEX(products!$A$1:$G$49,MATCH(orders!$D778,products!$A$1:$A$49,0),MATCH(orders!L$1,products!$A$1:$G$1,0))</f>
        <v>6.75</v>
      </c>
      <c r="M778" s="4">
        <f t="shared" si="12"/>
        <v>20.25</v>
      </c>
      <c r="N778" t="str" cm="1">
        <f t="array" ref="N778">_xlfn.IFS(I778="Rob","Robusta",I778="Exc","Excelsa",I778="Ara","Arabica",I778="Lib","Liberica")</f>
        <v>Arabica</v>
      </c>
      <c r="O778" t="str" cm="1">
        <f t="array" ref="O778">_xlfn.IFS(J778="M","Medium",J778="L","Large",J778="D","Dark")</f>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_xlfn.XLOOKUP(C779,customers!$A$1:$A$1001,customers!$B$1:$B$1001,,0)</f>
        <v>Janella Eden</v>
      </c>
      <c r="G779" s="2" t="str">
        <f>IF(_xlfn.XLOOKUP(C779,customers!$A$1:$A$1001,customers!$C$1:$C$1001,,0)=0,"",_xlfn.XLOOKUP(C779,customers!$A$1:$A$1001,customers!$C$1:$C$1001,,0))</f>
        <v>jedenll@e-recht24.de</v>
      </c>
      <c r="H779" s="2" t="str">
        <f>_xlfn.XLOOKUP(C779,customers!$A$1:$A$1001,customers!$G$1:$G$1001,,0)</f>
        <v>United States</v>
      </c>
      <c r="I779" t="str">
        <f>INDEX(products!$A$1:$G$49,MATCH(orders!$D779,products!$A$1:$A$49,0),MATCH(orders!I$1,products!$A$1:$G$1,0))</f>
        <v>Ara</v>
      </c>
      <c r="J779" t="str">
        <f>INDEX(products!$A$1:$G$49,MATCH(orders!$D779,products!$A$1:$A$49,0),MATCH(orders!J$1,products!$A$1:$G$1,0))</f>
        <v>L</v>
      </c>
      <c r="K779" s="7">
        <f>INDEX(products!$A$1:$G$49,MATCH(orders!$D779,products!$A$1:$A$49,0),MATCH(orders!K$1,products!$A$1:$G$1,0))</f>
        <v>2.5</v>
      </c>
      <c r="L779" s="4">
        <f>INDEX(products!$A$1:$G$49,MATCH(orders!$D779,products!$A$1:$A$49,0),MATCH(orders!L$1,products!$A$1:$G$1,0))</f>
        <v>29.784999999999997</v>
      </c>
      <c r="M779" s="4">
        <f t="shared" si="12"/>
        <v>59.569999999999993</v>
      </c>
      <c r="N779" t="str" cm="1">
        <f t="array" ref="N779">_xlfn.IFS(I779="Rob","Robusta",I779="Exc","Excelsa",I779="Ara","Arabica",I779="Lib","Liberica")</f>
        <v>Arabica</v>
      </c>
      <c r="O779" t="str" cm="1">
        <f t="array" ref="O779">_xlfn.IFS(J779="M","Medium",J779="L","Large",J779="D","Dark")</f>
        <v>Large</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_xlfn.XLOOKUP(C780,customers!$A$1:$A$1001,customers!$B$1:$B$1001,,0)</f>
        <v>Cam Jewster</v>
      </c>
      <c r="G780" s="2" t="str">
        <f>IF(_xlfn.XLOOKUP(C780,customers!$A$1:$A$1001,customers!$C$1:$C$1001,,0)=0,"",_xlfn.XLOOKUP(C780,customers!$A$1:$A$1001,customers!$C$1:$C$1001,,0))</f>
        <v>cjewsterlu@moonfruit.com</v>
      </c>
      <c r="H780" s="2" t="str">
        <f>_xlfn.XLOOKUP(C780,customers!$A$1:$A$1001,customers!$G$1:$G$1001,,0)</f>
        <v>United States</v>
      </c>
      <c r="I780" t="str">
        <f>INDEX(products!$A$1:$G$49,MATCH(orders!$D780,products!$A$1:$A$49,0),MATCH(orders!I$1,products!$A$1:$G$1,0))</f>
        <v>Lib</v>
      </c>
      <c r="J780" t="str">
        <f>INDEX(products!$A$1:$G$49,MATCH(orders!$D780,products!$A$1:$A$49,0),MATCH(orders!J$1,products!$A$1:$G$1,0))</f>
        <v>L</v>
      </c>
      <c r="K780" s="7">
        <f>INDEX(products!$A$1:$G$49,MATCH(orders!$D780,products!$A$1:$A$49,0),MATCH(orders!K$1,products!$A$1:$G$1,0))</f>
        <v>0.5</v>
      </c>
      <c r="L780" s="4">
        <f>INDEX(products!$A$1:$G$49,MATCH(orders!$D780,products!$A$1:$A$49,0),MATCH(orders!L$1,products!$A$1:$G$1,0))</f>
        <v>9.51</v>
      </c>
      <c r="M780" s="4">
        <f t="shared" si="12"/>
        <v>19.02</v>
      </c>
      <c r="N780" t="str" cm="1">
        <f t="array" ref="N780">_xlfn.IFS(I780="Rob","Robusta",I780="Exc","Excelsa",I780="Ara","Arabica",I780="Lib","Liberica")</f>
        <v>Liberica</v>
      </c>
      <c r="O780" t="str" cm="1">
        <f t="array" ref="O780">_xlfn.IFS(J780="M","Medium",J780="L","Large",J780="D","Dark")</f>
        <v>Large</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_xlfn.XLOOKUP(C781,customers!$A$1:$A$1001,customers!$B$1:$B$1001,,0)</f>
        <v>Ugo Southerden</v>
      </c>
      <c r="G781" s="2" t="str">
        <f>IF(_xlfn.XLOOKUP(C781,customers!$A$1:$A$1001,customers!$C$1:$C$1001,,0)=0,"",_xlfn.XLOOKUP(C781,customers!$A$1:$A$1001,customers!$C$1:$C$1001,,0))</f>
        <v>usoutherdenln@hao123.com</v>
      </c>
      <c r="H781" s="2" t="str">
        <f>_xlfn.XLOOKUP(C781,customers!$A$1:$A$1001,customers!$G$1:$G$1001,,0)</f>
        <v>United States</v>
      </c>
      <c r="I781" t="str">
        <f>INDEX(products!$A$1:$G$49,MATCH(orders!$D781,products!$A$1:$A$49,0),MATCH(orders!I$1,products!$A$1:$G$1,0))</f>
        <v>Lib</v>
      </c>
      <c r="J781" t="str">
        <f>INDEX(products!$A$1:$G$49,MATCH(orders!$D781,products!$A$1:$A$49,0),MATCH(orders!J$1,products!$A$1:$G$1,0))</f>
        <v>D</v>
      </c>
      <c r="K781" s="7">
        <f>INDEX(products!$A$1:$G$49,MATCH(orders!$D781,products!$A$1:$A$49,0),MATCH(orders!K$1,products!$A$1:$G$1,0))</f>
        <v>1</v>
      </c>
      <c r="L781" s="4">
        <f>INDEX(products!$A$1:$G$49,MATCH(orders!$D781,products!$A$1:$A$49,0),MATCH(orders!L$1,products!$A$1:$G$1,0))</f>
        <v>12.95</v>
      </c>
      <c r="M781" s="4">
        <f t="shared" si="12"/>
        <v>77.699999999999989</v>
      </c>
      <c r="N781" t="str" cm="1">
        <f t="array" ref="N781">_xlfn.IFS(I781="Rob","Robusta",I781="Exc","Excelsa",I781="Ara","Arabica",I781="Lib","Liberica")</f>
        <v>Liberica</v>
      </c>
      <c r="O781" t="str" cm="1">
        <f t="array" ref="O781">_xlfn.IFS(J781="M","Medium",J781="L","Large",J781="D","Dark")</f>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_xlfn.XLOOKUP(C782,customers!$A$1:$A$1001,customers!$B$1:$B$1001,,0)</f>
        <v>Verne Dunkerley</v>
      </c>
      <c r="G782" s="2" t="str">
        <f>IF(_xlfn.XLOOKUP(C782,customers!$A$1:$A$1001,customers!$C$1:$C$1001,,0)=0,"",_xlfn.XLOOKUP(C782,customers!$A$1:$A$1001,customers!$C$1:$C$1001,,0))</f>
        <v/>
      </c>
      <c r="H782" s="2" t="str">
        <f>_xlfn.XLOOKUP(C782,customers!$A$1:$A$1001,customers!$G$1:$G$1001,,0)</f>
        <v>United States</v>
      </c>
      <c r="I782" t="str">
        <f>INDEX(products!$A$1:$G$49,MATCH(orders!$D782,products!$A$1:$A$49,0),MATCH(orders!I$1,products!$A$1:$G$1,0))</f>
        <v>Exc</v>
      </c>
      <c r="J782" t="str">
        <f>INDEX(products!$A$1:$G$49,MATCH(orders!$D782,products!$A$1:$A$49,0),MATCH(orders!J$1,products!$A$1:$G$1,0))</f>
        <v>M</v>
      </c>
      <c r="K782" s="7">
        <f>INDEX(products!$A$1:$G$49,MATCH(orders!$D782,products!$A$1:$A$49,0),MATCH(orders!K$1,products!$A$1:$G$1,0))</f>
        <v>1</v>
      </c>
      <c r="L782" s="4">
        <f>INDEX(products!$A$1:$G$49,MATCH(orders!$D782,products!$A$1:$A$49,0),MATCH(orders!L$1,products!$A$1:$G$1,0))</f>
        <v>13.75</v>
      </c>
      <c r="M782" s="4">
        <f t="shared" si="12"/>
        <v>41.25</v>
      </c>
      <c r="N782" t="str" cm="1">
        <f t="array" ref="N782">_xlfn.IFS(I782="Rob","Robusta",I782="Exc","Excelsa",I782="Ara","Arabica",I782="Lib","Liberica")</f>
        <v>Excelsa</v>
      </c>
      <c r="O782" t="str" cm="1">
        <f t="array" ref="O782">_xlfn.IFS(J782="M","Medium",J782="L","Large",J782="D","Dark")</f>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_xlfn.XLOOKUP(C783,customers!$A$1:$A$1001,customers!$B$1:$B$1001,,0)</f>
        <v>Lacee Burtenshaw</v>
      </c>
      <c r="G783" s="2" t="str">
        <f>IF(_xlfn.XLOOKUP(C783,customers!$A$1:$A$1001,customers!$C$1:$C$1001,,0)=0,"",_xlfn.XLOOKUP(C783,customers!$A$1:$A$1001,customers!$C$1:$C$1001,,0))</f>
        <v>lburtenshawlp@shinystat.com</v>
      </c>
      <c r="H783" s="2" t="str">
        <f>_xlfn.XLOOKUP(C783,customers!$A$1:$A$1001,customers!$G$1:$G$1001,,0)</f>
        <v>United States</v>
      </c>
      <c r="I783" t="str">
        <f>INDEX(products!$A$1:$G$49,MATCH(orders!$D783,products!$A$1:$A$49,0),MATCH(orders!I$1,products!$A$1:$G$1,0))</f>
        <v>Lib</v>
      </c>
      <c r="J783" t="str">
        <f>INDEX(products!$A$1:$G$49,MATCH(orders!$D783,products!$A$1:$A$49,0),MATCH(orders!J$1,products!$A$1:$G$1,0))</f>
        <v>L</v>
      </c>
      <c r="K783" s="7">
        <f>INDEX(products!$A$1:$G$49,MATCH(orders!$D783,products!$A$1:$A$49,0),MATCH(orders!K$1,products!$A$1:$G$1,0))</f>
        <v>2.5</v>
      </c>
      <c r="L783" s="4">
        <f>INDEX(products!$A$1:$G$49,MATCH(orders!$D783,products!$A$1:$A$49,0),MATCH(orders!L$1,products!$A$1:$G$1,0))</f>
        <v>36.454999999999998</v>
      </c>
      <c r="M783" s="4">
        <f t="shared" si="12"/>
        <v>145.82</v>
      </c>
      <c r="N783" t="str" cm="1">
        <f t="array" ref="N783">_xlfn.IFS(I783="Rob","Robusta",I783="Exc","Excelsa",I783="Ara","Arabica",I783="Lib","Liberica")</f>
        <v>Liberica</v>
      </c>
      <c r="O783" t="str" cm="1">
        <f t="array" ref="O783">_xlfn.IFS(J783="M","Medium",J783="L","Large",J783="D","Dark")</f>
        <v>Large</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_xlfn.XLOOKUP(C784,customers!$A$1:$A$1001,customers!$B$1:$B$1001,,0)</f>
        <v>Adorne Gregoratti</v>
      </c>
      <c r="G784" s="2" t="str">
        <f>IF(_xlfn.XLOOKUP(C784,customers!$A$1:$A$1001,customers!$C$1:$C$1001,,0)=0,"",_xlfn.XLOOKUP(C784,customers!$A$1:$A$1001,customers!$C$1:$C$1001,,0))</f>
        <v>agregorattilq@vistaprint.com</v>
      </c>
      <c r="H784" s="2" t="str">
        <f>_xlfn.XLOOKUP(C784,customers!$A$1:$A$1001,customers!$G$1:$G$1001,,0)</f>
        <v>Ireland</v>
      </c>
      <c r="I784" t="str">
        <f>INDEX(products!$A$1:$G$49,MATCH(orders!$D784,products!$A$1:$A$49,0),MATCH(orders!I$1,products!$A$1:$G$1,0))</f>
        <v>Exc</v>
      </c>
      <c r="J784" t="str">
        <f>INDEX(products!$A$1:$G$49,MATCH(orders!$D784,products!$A$1:$A$49,0),MATCH(orders!J$1,products!$A$1:$G$1,0))</f>
        <v>L</v>
      </c>
      <c r="K784" s="7">
        <f>INDEX(products!$A$1:$G$49,MATCH(orders!$D784,products!$A$1:$A$49,0),MATCH(orders!K$1,products!$A$1:$G$1,0))</f>
        <v>0.2</v>
      </c>
      <c r="L784" s="4">
        <f>INDEX(products!$A$1:$G$49,MATCH(orders!$D784,products!$A$1:$A$49,0),MATCH(orders!L$1,products!$A$1:$G$1,0))</f>
        <v>4.4550000000000001</v>
      </c>
      <c r="M784" s="4">
        <f t="shared" si="12"/>
        <v>26.73</v>
      </c>
      <c r="N784" t="str" cm="1">
        <f t="array" ref="N784">_xlfn.IFS(I784="Rob","Robusta",I784="Exc","Excelsa",I784="Ara","Arabica",I784="Lib","Liberica")</f>
        <v>Excelsa</v>
      </c>
      <c r="O784" t="str" cm="1">
        <f t="array" ref="O784">_xlfn.IFS(J784="M","Medium",J784="L","Large",J784="D","Dark")</f>
        <v>Large</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_xlfn.XLOOKUP(C785,customers!$A$1:$A$1001,customers!$B$1:$B$1001,,0)</f>
        <v>Chris Croster</v>
      </c>
      <c r="G785" s="2" t="str">
        <f>IF(_xlfn.XLOOKUP(C785,customers!$A$1:$A$1001,customers!$C$1:$C$1001,,0)=0,"",_xlfn.XLOOKUP(C785,customers!$A$1:$A$1001,customers!$C$1:$C$1001,,0))</f>
        <v>ccrosterlr@gov.uk</v>
      </c>
      <c r="H785" s="2" t="str">
        <f>_xlfn.XLOOKUP(C785,customers!$A$1:$A$1001,customers!$G$1:$G$1001,,0)</f>
        <v>United States</v>
      </c>
      <c r="I785" t="str">
        <f>INDEX(products!$A$1:$G$49,MATCH(orders!$D785,products!$A$1:$A$49,0),MATCH(orders!I$1,products!$A$1:$G$1,0))</f>
        <v>Lib</v>
      </c>
      <c r="J785" t="str">
        <f>INDEX(products!$A$1:$G$49,MATCH(orders!$D785,products!$A$1:$A$49,0),MATCH(orders!J$1,products!$A$1:$G$1,0))</f>
        <v>M</v>
      </c>
      <c r="K785" s="7">
        <f>INDEX(products!$A$1:$G$49,MATCH(orders!$D785,products!$A$1:$A$49,0),MATCH(orders!K$1,products!$A$1:$G$1,0))</f>
        <v>0.5</v>
      </c>
      <c r="L785" s="4">
        <f>INDEX(products!$A$1:$G$49,MATCH(orders!$D785,products!$A$1:$A$49,0),MATCH(orders!L$1,products!$A$1:$G$1,0))</f>
        <v>8.73</v>
      </c>
      <c r="M785" s="4">
        <f t="shared" si="12"/>
        <v>43.650000000000006</v>
      </c>
      <c r="N785" t="str" cm="1">
        <f t="array" ref="N785">_xlfn.IFS(I785="Rob","Robusta",I785="Exc","Excelsa",I785="Ara","Arabica",I785="Lib","Liberica")</f>
        <v>Liberica</v>
      </c>
      <c r="O785" t="str" cm="1">
        <f t="array" ref="O785">_xlfn.IFS(J785="M","Medium",J785="L","Large",J785="D","Dark")</f>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_xlfn.XLOOKUP(C786,customers!$A$1:$A$1001,customers!$B$1:$B$1001,,0)</f>
        <v>Graeme Whitehead</v>
      </c>
      <c r="G786" s="2" t="str">
        <f>IF(_xlfn.XLOOKUP(C786,customers!$A$1:$A$1001,customers!$C$1:$C$1001,,0)=0,"",_xlfn.XLOOKUP(C786,customers!$A$1:$A$1001,customers!$C$1:$C$1001,,0))</f>
        <v>gwhiteheadls@hp.com</v>
      </c>
      <c r="H786" s="2" t="str">
        <f>_xlfn.XLOOKUP(C786,customers!$A$1:$A$1001,customers!$G$1:$G$1001,,0)</f>
        <v>United States</v>
      </c>
      <c r="I786" t="str">
        <f>INDEX(products!$A$1:$G$49,MATCH(orders!$D786,products!$A$1:$A$49,0),MATCH(orders!I$1,products!$A$1:$G$1,0))</f>
        <v>Lib</v>
      </c>
      <c r="J786" t="str">
        <f>INDEX(products!$A$1:$G$49,MATCH(orders!$D786,products!$A$1:$A$49,0),MATCH(orders!J$1,products!$A$1:$G$1,0))</f>
        <v>L</v>
      </c>
      <c r="K786" s="7">
        <f>INDEX(products!$A$1:$G$49,MATCH(orders!$D786,products!$A$1:$A$49,0),MATCH(orders!K$1,products!$A$1:$G$1,0))</f>
        <v>1</v>
      </c>
      <c r="L786" s="4">
        <f>INDEX(products!$A$1:$G$49,MATCH(orders!$D786,products!$A$1:$A$49,0),MATCH(orders!L$1,products!$A$1:$G$1,0))</f>
        <v>15.85</v>
      </c>
      <c r="M786" s="4">
        <f t="shared" si="12"/>
        <v>31.7</v>
      </c>
      <c r="N786" t="str" cm="1">
        <f t="array" ref="N786">_xlfn.IFS(I786="Rob","Robusta",I786="Exc","Excelsa",I786="Ara","Arabica",I786="Lib","Liberica")</f>
        <v>Liberica</v>
      </c>
      <c r="O786" t="str" cm="1">
        <f t="array" ref="O786">_xlfn.IFS(J786="M","Medium",J786="L","Large",J786="D","Dark")</f>
        <v>Large</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_xlfn.XLOOKUP(C787,customers!$A$1:$A$1001,customers!$B$1:$B$1001,,0)</f>
        <v>Haslett Jodrelle</v>
      </c>
      <c r="G787" s="2" t="str">
        <f>IF(_xlfn.XLOOKUP(C787,customers!$A$1:$A$1001,customers!$C$1:$C$1001,,0)=0,"",_xlfn.XLOOKUP(C787,customers!$A$1:$A$1001,customers!$C$1:$C$1001,,0))</f>
        <v>hjodrellelt@samsung.com</v>
      </c>
      <c r="H787" s="2" t="str">
        <f>_xlfn.XLOOKUP(C787,customers!$A$1:$A$1001,customers!$G$1:$G$1001,,0)</f>
        <v>United States</v>
      </c>
      <c r="I787" t="str">
        <f>INDEX(products!$A$1:$G$49,MATCH(orders!$D787,products!$A$1:$A$49,0),MATCH(orders!I$1,products!$A$1:$G$1,0))</f>
        <v>Ara</v>
      </c>
      <c r="J787" t="str">
        <f>INDEX(products!$A$1:$G$49,MATCH(orders!$D787,products!$A$1:$A$49,0),MATCH(orders!J$1,products!$A$1:$G$1,0))</f>
        <v>D</v>
      </c>
      <c r="K787" s="7">
        <f>INDEX(products!$A$1:$G$49,MATCH(orders!$D787,products!$A$1:$A$49,0),MATCH(orders!K$1,products!$A$1:$G$1,0))</f>
        <v>2.5</v>
      </c>
      <c r="L787" s="4">
        <f>INDEX(products!$A$1:$G$49,MATCH(orders!$D787,products!$A$1:$A$49,0),MATCH(orders!L$1,products!$A$1:$G$1,0))</f>
        <v>22.884999999999998</v>
      </c>
      <c r="M787" s="4">
        <f t="shared" si="12"/>
        <v>22.884999999999998</v>
      </c>
      <c r="N787" t="str" cm="1">
        <f t="array" ref="N787">_xlfn.IFS(I787="Rob","Robusta",I787="Exc","Excelsa",I787="Ara","Arabica",I787="Lib","Liberica")</f>
        <v>Arabica</v>
      </c>
      <c r="O787" t="str" cm="1">
        <f t="array" ref="O787">_xlfn.IFS(J787="M","Medium",J787="L","Large",J787="D","Dark")</f>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_xlfn.XLOOKUP(C788,customers!$A$1:$A$1001,customers!$B$1:$B$1001,,0)</f>
        <v>Cam Jewster</v>
      </c>
      <c r="G788" s="2" t="str">
        <f>IF(_xlfn.XLOOKUP(C788,customers!$A$1:$A$1001,customers!$C$1:$C$1001,,0)=0,"",_xlfn.XLOOKUP(C788,customers!$A$1:$A$1001,customers!$C$1:$C$1001,,0))</f>
        <v>cjewsterlu@moonfruit.com</v>
      </c>
      <c r="H788" s="2" t="str">
        <f>_xlfn.XLOOKUP(C788,customers!$A$1:$A$1001,customers!$G$1:$G$1001,,0)</f>
        <v>United States</v>
      </c>
      <c r="I788" t="str">
        <f>INDEX(products!$A$1:$G$49,MATCH(orders!$D788,products!$A$1:$A$49,0),MATCH(orders!I$1,products!$A$1:$G$1,0))</f>
        <v>Exc</v>
      </c>
      <c r="J788" t="str">
        <f>INDEX(products!$A$1:$G$49,MATCH(orders!$D788,products!$A$1:$A$49,0),MATCH(orders!J$1,products!$A$1:$G$1,0))</f>
        <v>D</v>
      </c>
      <c r="K788" s="7">
        <f>INDEX(products!$A$1:$G$49,MATCH(orders!$D788,products!$A$1:$A$49,0),MATCH(orders!K$1,products!$A$1:$G$1,0))</f>
        <v>2.5</v>
      </c>
      <c r="L788" s="4">
        <f>INDEX(products!$A$1:$G$49,MATCH(orders!$D788,products!$A$1:$A$49,0),MATCH(orders!L$1,products!$A$1:$G$1,0))</f>
        <v>27.945</v>
      </c>
      <c r="M788" s="4">
        <f t="shared" si="12"/>
        <v>27.945</v>
      </c>
      <c r="N788" t="str" cm="1">
        <f t="array" ref="N788">_xlfn.IFS(I788="Rob","Robusta",I788="Exc","Excelsa",I788="Ara","Arabica",I788="Lib","Liberica")</f>
        <v>Excelsa</v>
      </c>
      <c r="O788" t="str" cm="1">
        <f t="array" ref="O788">_xlfn.IFS(J788="M","Medium",J788="L","Large",J788="D","Dark")</f>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_xlfn.XLOOKUP(C789,customers!$A$1:$A$1001,customers!$B$1:$B$1001,,0)</f>
        <v>Beryl Osborn</v>
      </c>
      <c r="G789" s="2" t="str">
        <f>IF(_xlfn.XLOOKUP(C789,customers!$A$1:$A$1001,customers!$C$1:$C$1001,,0)=0,"",_xlfn.XLOOKUP(C789,customers!$A$1:$A$1001,customers!$C$1:$C$1001,,0))</f>
        <v/>
      </c>
      <c r="H789" s="2" t="str">
        <f>_xlfn.XLOOKUP(C789,customers!$A$1:$A$1001,customers!$G$1:$G$1001,,0)</f>
        <v>United States</v>
      </c>
      <c r="I789" t="str">
        <f>INDEX(products!$A$1:$G$49,MATCH(orders!$D789,products!$A$1:$A$49,0),MATCH(orders!I$1,products!$A$1:$G$1,0))</f>
        <v>Exc</v>
      </c>
      <c r="J789" t="str">
        <f>INDEX(products!$A$1:$G$49,MATCH(orders!$D789,products!$A$1:$A$49,0),MATCH(orders!J$1,products!$A$1:$G$1,0))</f>
        <v>M</v>
      </c>
      <c r="K789" s="7">
        <f>INDEX(products!$A$1:$G$49,MATCH(orders!$D789,products!$A$1:$A$49,0),MATCH(orders!K$1,products!$A$1:$G$1,0))</f>
        <v>1</v>
      </c>
      <c r="L789" s="4">
        <f>INDEX(products!$A$1:$G$49,MATCH(orders!$D789,products!$A$1:$A$49,0),MATCH(orders!L$1,products!$A$1:$G$1,0))</f>
        <v>13.75</v>
      </c>
      <c r="M789" s="4">
        <f t="shared" si="12"/>
        <v>82.5</v>
      </c>
      <c r="N789" t="str" cm="1">
        <f t="array" ref="N789">_xlfn.IFS(I789="Rob","Robusta",I789="Exc","Excelsa",I789="Ara","Arabica",I789="Lib","Liberica")</f>
        <v>Excelsa</v>
      </c>
      <c r="O789" t="str" cm="1">
        <f t="array" ref="O789">_xlfn.IFS(J789="M","Medium",J789="L","Large",J789="D","Dark")</f>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_xlfn.XLOOKUP(C790,customers!$A$1:$A$1001,customers!$B$1:$B$1001,,0)</f>
        <v>Kaela Nottram</v>
      </c>
      <c r="G790" s="2" t="str">
        <f>IF(_xlfn.XLOOKUP(C790,customers!$A$1:$A$1001,customers!$C$1:$C$1001,,0)=0,"",_xlfn.XLOOKUP(C790,customers!$A$1:$A$1001,customers!$C$1:$C$1001,,0))</f>
        <v>knottramlw@odnoklassniki.ru</v>
      </c>
      <c r="H790" s="2" t="str">
        <f>_xlfn.XLOOKUP(C790,customers!$A$1:$A$1001,customers!$G$1:$G$1001,,0)</f>
        <v>Ireland</v>
      </c>
      <c r="I790" t="str">
        <f>INDEX(products!$A$1:$G$49,MATCH(orders!$D790,products!$A$1:$A$49,0),MATCH(orders!I$1,products!$A$1:$G$1,0))</f>
        <v>Rob</v>
      </c>
      <c r="J790" t="str">
        <f>INDEX(products!$A$1:$G$49,MATCH(orders!$D790,products!$A$1:$A$49,0),MATCH(orders!J$1,products!$A$1:$G$1,0))</f>
        <v>M</v>
      </c>
      <c r="K790" s="7">
        <f>INDEX(products!$A$1:$G$49,MATCH(orders!$D790,products!$A$1:$A$49,0),MATCH(orders!K$1,products!$A$1:$G$1,0))</f>
        <v>2.5</v>
      </c>
      <c r="L790" s="4">
        <f>INDEX(products!$A$1:$G$49,MATCH(orders!$D790,products!$A$1:$A$49,0),MATCH(orders!L$1,products!$A$1:$G$1,0))</f>
        <v>22.884999999999998</v>
      </c>
      <c r="M790" s="4">
        <f t="shared" si="12"/>
        <v>45.769999999999996</v>
      </c>
      <c r="N790" t="str" cm="1">
        <f t="array" ref="N790">_xlfn.IFS(I790="Rob","Robusta",I790="Exc","Excelsa",I790="Ara","Arabica",I790="Lib","Liberica")</f>
        <v>Robusta</v>
      </c>
      <c r="O790" t="str" cm="1">
        <f t="array" ref="O790">_xlfn.IFS(J790="M","Medium",J790="L","Large",J790="D","Dark")</f>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_xlfn.XLOOKUP(C791,customers!$A$1:$A$1001,customers!$B$1:$B$1001,,0)</f>
        <v>Nobe Buney</v>
      </c>
      <c r="G791" s="2" t="str">
        <f>IF(_xlfn.XLOOKUP(C791,customers!$A$1:$A$1001,customers!$C$1:$C$1001,,0)=0,"",_xlfn.XLOOKUP(C791,customers!$A$1:$A$1001,customers!$C$1:$C$1001,,0))</f>
        <v>nbuneylx@jugem.jp</v>
      </c>
      <c r="H791" s="2" t="str">
        <f>_xlfn.XLOOKUP(C791,customers!$A$1:$A$1001,customers!$G$1:$G$1001,,0)</f>
        <v>United States</v>
      </c>
      <c r="I791" t="str">
        <f>INDEX(products!$A$1:$G$49,MATCH(orders!$D791,products!$A$1:$A$49,0),MATCH(orders!I$1,products!$A$1:$G$1,0))</f>
        <v>Ara</v>
      </c>
      <c r="J791" t="str">
        <f>INDEX(products!$A$1:$G$49,MATCH(orders!$D791,products!$A$1:$A$49,0),MATCH(orders!J$1,products!$A$1:$G$1,0))</f>
        <v>L</v>
      </c>
      <c r="K791" s="7">
        <f>INDEX(products!$A$1:$G$49,MATCH(orders!$D791,products!$A$1:$A$49,0),MATCH(orders!K$1,products!$A$1:$G$1,0))</f>
        <v>1</v>
      </c>
      <c r="L791" s="4">
        <f>INDEX(products!$A$1:$G$49,MATCH(orders!$D791,products!$A$1:$A$49,0),MATCH(orders!L$1,products!$A$1:$G$1,0))</f>
        <v>12.95</v>
      </c>
      <c r="M791" s="4">
        <f t="shared" si="12"/>
        <v>77.699999999999989</v>
      </c>
      <c r="N791" t="str" cm="1">
        <f t="array" ref="N791">_xlfn.IFS(I791="Rob","Robusta",I791="Exc","Excelsa",I791="Ara","Arabica",I791="Lib","Liberica")</f>
        <v>Arabica</v>
      </c>
      <c r="O791" t="str" cm="1">
        <f t="array" ref="O791">_xlfn.IFS(J791="M","Medium",J791="L","Large",J791="D","Dark")</f>
        <v>Large</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_xlfn.XLOOKUP(C792,customers!$A$1:$A$1001,customers!$B$1:$B$1001,,0)</f>
        <v>Silvan McShea</v>
      </c>
      <c r="G792" s="2" t="str">
        <f>IF(_xlfn.XLOOKUP(C792,customers!$A$1:$A$1001,customers!$C$1:$C$1001,,0)=0,"",_xlfn.XLOOKUP(C792,customers!$A$1:$A$1001,customers!$C$1:$C$1001,,0))</f>
        <v>smcshealy@photobucket.com</v>
      </c>
      <c r="H792" s="2" t="str">
        <f>_xlfn.XLOOKUP(C792,customers!$A$1:$A$1001,customers!$G$1:$G$1001,,0)</f>
        <v>United States</v>
      </c>
      <c r="I792" t="str">
        <f>INDEX(products!$A$1:$G$49,MATCH(orders!$D792,products!$A$1:$A$49,0),MATCH(orders!I$1,products!$A$1:$G$1,0))</f>
        <v>Ara</v>
      </c>
      <c r="J792" t="str">
        <f>INDEX(products!$A$1:$G$49,MATCH(orders!$D792,products!$A$1:$A$49,0),MATCH(orders!J$1,products!$A$1:$G$1,0))</f>
        <v>L</v>
      </c>
      <c r="K792" s="7">
        <f>INDEX(products!$A$1:$G$49,MATCH(orders!$D792,products!$A$1:$A$49,0),MATCH(orders!K$1,products!$A$1:$G$1,0))</f>
        <v>0.5</v>
      </c>
      <c r="L792" s="4">
        <f>INDEX(products!$A$1:$G$49,MATCH(orders!$D792,products!$A$1:$A$49,0),MATCH(orders!L$1,products!$A$1:$G$1,0))</f>
        <v>7.77</v>
      </c>
      <c r="M792" s="4">
        <f t="shared" si="12"/>
        <v>23.31</v>
      </c>
      <c r="N792" t="str" cm="1">
        <f t="array" ref="N792">_xlfn.IFS(I792="Rob","Robusta",I792="Exc","Excelsa",I792="Ara","Arabica",I792="Lib","Liberica")</f>
        <v>Arabica</v>
      </c>
      <c r="O792" t="str" cm="1">
        <f t="array" ref="O792">_xlfn.IFS(J792="M","Medium",J792="L","Large",J792="D","Dark")</f>
        <v>Large</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_xlfn.XLOOKUP(C793,customers!$A$1:$A$1001,customers!$B$1:$B$1001,,0)</f>
        <v>Karylin Huddart</v>
      </c>
      <c r="G793" s="2" t="str">
        <f>IF(_xlfn.XLOOKUP(C793,customers!$A$1:$A$1001,customers!$C$1:$C$1001,,0)=0,"",_xlfn.XLOOKUP(C793,customers!$A$1:$A$1001,customers!$C$1:$C$1001,,0))</f>
        <v>khuddartlz@about.com</v>
      </c>
      <c r="H793" s="2" t="str">
        <f>_xlfn.XLOOKUP(C793,customers!$A$1:$A$1001,customers!$G$1:$G$1001,,0)</f>
        <v>United States</v>
      </c>
      <c r="I793" t="str">
        <f>INDEX(products!$A$1:$G$49,MATCH(orders!$D793,products!$A$1:$A$49,0),MATCH(orders!I$1,products!$A$1:$G$1,0))</f>
        <v>Lib</v>
      </c>
      <c r="J793" t="str">
        <f>INDEX(products!$A$1:$G$49,MATCH(orders!$D793,products!$A$1:$A$49,0),MATCH(orders!J$1,products!$A$1:$G$1,0))</f>
        <v>L</v>
      </c>
      <c r="K793" s="7">
        <f>INDEX(products!$A$1:$G$49,MATCH(orders!$D793,products!$A$1:$A$49,0),MATCH(orders!K$1,products!$A$1:$G$1,0))</f>
        <v>0.2</v>
      </c>
      <c r="L793" s="4">
        <f>INDEX(products!$A$1:$G$49,MATCH(orders!$D793,products!$A$1:$A$49,0),MATCH(orders!L$1,products!$A$1:$G$1,0))</f>
        <v>4.7549999999999999</v>
      </c>
      <c r="M793" s="4">
        <f t="shared" si="12"/>
        <v>23.774999999999999</v>
      </c>
      <c r="N793" t="str" cm="1">
        <f t="array" ref="N793">_xlfn.IFS(I793="Rob","Robusta",I793="Exc","Excelsa",I793="Ara","Arabica",I793="Lib","Liberica")</f>
        <v>Liberica</v>
      </c>
      <c r="O793" t="str" cm="1">
        <f t="array" ref="O793">_xlfn.IFS(J793="M","Medium",J793="L","Large",J793="D","Dark")</f>
        <v>Large</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_xlfn.XLOOKUP(C794,customers!$A$1:$A$1001,customers!$B$1:$B$1001,,0)</f>
        <v>Jereme Gippes</v>
      </c>
      <c r="G794" s="2" t="str">
        <f>IF(_xlfn.XLOOKUP(C794,customers!$A$1:$A$1001,customers!$C$1:$C$1001,,0)=0,"",_xlfn.XLOOKUP(C794,customers!$A$1:$A$1001,customers!$C$1:$C$1001,,0))</f>
        <v>jgippesm0@cloudflare.com</v>
      </c>
      <c r="H794" s="2" t="str">
        <f>_xlfn.XLOOKUP(C794,customers!$A$1:$A$1001,customers!$G$1:$G$1001,,0)</f>
        <v>United Kingdom</v>
      </c>
      <c r="I794" t="str">
        <f>INDEX(products!$A$1:$G$49,MATCH(orders!$D794,products!$A$1:$A$49,0),MATCH(orders!I$1,products!$A$1:$G$1,0))</f>
        <v>Lib</v>
      </c>
      <c r="J794" t="str">
        <f>INDEX(products!$A$1:$G$49,MATCH(orders!$D794,products!$A$1:$A$49,0),MATCH(orders!J$1,products!$A$1:$G$1,0))</f>
        <v>M</v>
      </c>
      <c r="K794" s="7">
        <f>INDEX(products!$A$1:$G$49,MATCH(orders!$D794,products!$A$1:$A$49,0),MATCH(orders!K$1,products!$A$1:$G$1,0))</f>
        <v>0.5</v>
      </c>
      <c r="L794" s="4">
        <f>INDEX(products!$A$1:$G$49,MATCH(orders!$D794,products!$A$1:$A$49,0),MATCH(orders!L$1,products!$A$1:$G$1,0))</f>
        <v>8.73</v>
      </c>
      <c r="M794" s="4">
        <f t="shared" si="12"/>
        <v>52.38</v>
      </c>
      <c r="N794" t="str" cm="1">
        <f t="array" ref="N794">_xlfn.IFS(I794="Rob","Robusta",I794="Exc","Excelsa",I794="Ara","Arabica",I794="Lib","Liberica")</f>
        <v>Liberica</v>
      </c>
      <c r="O794" t="str" cm="1">
        <f t="array" ref="O794">_xlfn.IFS(J794="M","Medium",J794="L","Large",J794="D","Dark")</f>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_xlfn.XLOOKUP(C795,customers!$A$1:$A$1001,customers!$B$1:$B$1001,,0)</f>
        <v>Lukas Whittlesee</v>
      </c>
      <c r="G795" s="2" t="str">
        <f>IF(_xlfn.XLOOKUP(C795,customers!$A$1:$A$1001,customers!$C$1:$C$1001,,0)=0,"",_xlfn.XLOOKUP(C795,customers!$A$1:$A$1001,customers!$C$1:$C$1001,,0))</f>
        <v>lwhittleseem1@e-recht24.de</v>
      </c>
      <c r="H795" s="2" t="str">
        <f>_xlfn.XLOOKUP(C795,customers!$A$1:$A$1001,customers!$G$1:$G$1001,,0)</f>
        <v>United States</v>
      </c>
      <c r="I795" t="str">
        <f>INDEX(products!$A$1:$G$49,MATCH(orders!$D795,products!$A$1:$A$49,0),MATCH(orders!I$1,products!$A$1:$G$1,0))</f>
        <v>Rob</v>
      </c>
      <c r="J795" t="str">
        <f>INDEX(products!$A$1:$G$49,MATCH(orders!$D795,products!$A$1:$A$49,0),MATCH(orders!J$1,products!$A$1:$G$1,0))</f>
        <v>L</v>
      </c>
      <c r="K795" s="7">
        <f>INDEX(products!$A$1:$G$49,MATCH(orders!$D795,products!$A$1:$A$49,0),MATCH(orders!K$1,products!$A$1:$G$1,0))</f>
        <v>0.2</v>
      </c>
      <c r="L795" s="4">
        <f>INDEX(products!$A$1:$G$49,MATCH(orders!$D795,products!$A$1:$A$49,0),MATCH(orders!L$1,products!$A$1:$G$1,0))</f>
        <v>3.5849999999999995</v>
      </c>
      <c r="M795" s="4">
        <f t="shared" si="12"/>
        <v>17.924999999999997</v>
      </c>
      <c r="N795" t="str" cm="1">
        <f t="array" ref="N795">_xlfn.IFS(I795="Rob","Robusta",I795="Exc","Excelsa",I795="Ara","Arabica",I795="Lib","Liberica")</f>
        <v>Robusta</v>
      </c>
      <c r="O795" t="str" cm="1">
        <f t="array" ref="O795">_xlfn.IFS(J795="M","Medium",J795="L","Large",J795="D","Dark")</f>
        <v>Large</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_xlfn.XLOOKUP(C796,customers!$A$1:$A$1001,customers!$B$1:$B$1001,,0)</f>
        <v>Gregorius Trengrove</v>
      </c>
      <c r="G796" s="2" t="str">
        <f>IF(_xlfn.XLOOKUP(C796,customers!$A$1:$A$1001,customers!$C$1:$C$1001,,0)=0,"",_xlfn.XLOOKUP(C796,customers!$A$1:$A$1001,customers!$C$1:$C$1001,,0))</f>
        <v>gtrengrovem2@elpais.com</v>
      </c>
      <c r="H796" s="2" t="str">
        <f>_xlfn.XLOOKUP(C796,customers!$A$1:$A$1001,customers!$G$1:$G$1001,,0)</f>
        <v>United States</v>
      </c>
      <c r="I796" t="str">
        <f>INDEX(products!$A$1:$G$49,MATCH(orders!$D796,products!$A$1:$A$49,0),MATCH(orders!I$1,products!$A$1:$G$1,0))</f>
        <v>Ara</v>
      </c>
      <c r="J796" t="str">
        <f>INDEX(products!$A$1:$G$49,MATCH(orders!$D796,products!$A$1:$A$49,0),MATCH(orders!J$1,products!$A$1:$G$1,0))</f>
        <v>L</v>
      </c>
      <c r="K796" s="7">
        <f>INDEX(products!$A$1:$G$49,MATCH(orders!$D796,products!$A$1:$A$49,0),MATCH(orders!K$1,products!$A$1:$G$1,0))</f>
        <v>2.5</v>
      </c>
      <c r="L796" s="4">
        <f>INDEX(products!$A$1:$G$49,MATCH(orders!$D796,products!$A$1:$A$49,0),MATCH(orders!L$1,products!$A$1:$G$1,0))</f>
        <v>29.784999999999997</v>
      </c>
      <c r="M796" s="4">
        <f t="shared" si="12"/>
        <v>148.92499999999998</v>
      </c>
      <c r="N796" t="str" cm="1">
        <f t="array" ref="N796">_xlfn.IFS(I796="Rob","Robusta",I796="Exc","Excelsa",I796="Ara","Arabica",I796="Lib","Liberica")</f>
        <v>Arabica</v>
      </c>
      <c r="O796" t="str" cm="1">
        <f t="array" ref="O796">_xlfn.IFS(J796="M","Medium",J796="L","Large",J796="D","Dark")</f>
        <v>Large</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_xlfn.XLOOKUP(C797,customers!$A$1:$A$1001,customers!$B$1:$B$1001,,0)</f>
        <v>Wright Caldero</v>
      </c>
      <c r="G797" s="2" t="str">
        <f>IF(_xlfn.XLOOKUP(C797,customers!$A$1:$A$1001,customers!$C$1:$C$1001,,0)=0,"",_xlfn.XLOOKUP(C797,customers!$A$1:$A$1001,customers!$C$1:$C$1001,,0))</f>
        <v>wcalderom3@stumbleupon.com</v>
      </c>
      <c r="H797" s="2" t="str">
        <f>_xlfn.XLOOKUP(C797,customers!$A$1:$A$1001,customers!$G$1:$G$1001,,0)</f>
        <v>United States</v>
      </c>
      <c r="I797" t="str">
        <f>INDEX(products!$A$1:$G$49,MATCH(orders!$D797,products!$A$1:$A$49,0),MATCH(orders!I$1,products!$A$1:$G$1,0))</f>
        <v>Rob</v>
      </c>
      <c r="J797" t="str">
        <f>INDEX(products!$A$1:$G$49,MATCH(orders!$D797,products!$A$1:$A$49,0),MATCH(orders!J$1,products!$A$1:$G$1,0))</f>
        <v>L</v>
      </c>
      <c r="K797" s="7">
        <f>INDEX(products!$A$1:$G$49,MATCH(orders!$D797,products!$A$1:$A$49,0),MATCH(orders!K$1,products!$A$1:$G$1,0))</f>
        <v>0.5</v>
      </c>
      <c r="L797" s="4">
        <f>INDEX(products!$A$1:$G$49,MATCH(orders!$D797,products!$A$1:$A$49,0),MATCH(orders!L$1,products!$A$1:$G$1,0))</f>
        <v>7.169999999999999</v>
      </c>
      <c r="M797" s="4">
        <f t="shared" si="12"/>
        <v>28.679999999999996</v>
      </c>
      <c r="N797" t="str" cm="1">
        <f t="array" ref="N797">_xlfn.IFS(I797="Rob","Robusta",I797="Exc","Excelsa",I797="Ara","Arabica",I797="Lib","Liberica")</f>
        <v>Robusta</v>
      </c>
      <c r="O797" t="str" cm="1">
        <f t="array" ref="O797">_xlfn.IFS(J797="M","Medium",J797="L","Large",J797="D","Dark")</f>
        <v>Large</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_xlfn.XLOOKUP(C798,customers!$A$1:$A$1001,customers!$B$1:$B$1001,,0)</f>
        <v>Merell Zanazzi</v>
      </c>
      <c r="G798" s="2" t="str">
        <f>IF(_xlfn.XLOOKUP(C798,customers!$A$1:$A$1001,customers!$C$1:$C$1001,,0)=0,"",_xlfn.XLOOKUP(C798,customers!$A$1:$A$1001,customers!$C$1:$C$1001,,0))</f>
        <v/>
      </c>
      <c r="H798" s="2" t="str">
        <f>_xlfn.XLOOKUP(C798,customers!$A$1:$A$1001,customers!$G$1:$G$1001,,0)</f>
        <v>United States</v>
      </c>
      <c r="I798" t="str">
        <f>INDEX(products!$A$1:$G$49,MATCH(orders!$D798,products!$A$1:$A$49,0),MATCH(orders!I$1,products!$A$1:$G$1,0))</f>
        <v>Lib</v>
      </c>
      <c r="J798" t="str">
        <f>INDEX(products!$A$1:$G$49,MATCH(orders!$D798,products!$A$1:$A$49,0),MATCH(orders!J$1,products!$A$1:$G$1,0))</f>
        <v>L</v>
      </c>
      <c r="K798" s="7">
        <f>INDEX(products!$A$1:$G$49,MATCH(orders!$D798,products!$A$1:$A$49,0),MATCH(orders!K$1,products!$A$1:$G$1,0))</f>
        <v>0.5</v>
      </c>
      <c r="L798" s="4">
        <f>INDEX(products!$A$1:$G$49,MATCH(orders!$D798,products!$A$1:$A$49,0),MATCH(orders!L$1,products!$A$1:$G$1,0))</f>
        <v>9.51</v>
      </c>
      <c r="M798" s="4">
        <f t="shared" si="12"/>
        <v>9.51</v>
      </c>
      <c r="N798" t="str" cm="1">
        <f t="array" ref="N798">_xlfn.IFS(I798="Rob","Robusta",I798="Exc","Excelsa",I798="Ara","Arabica",I798="Lib","Liberica")</f>
        <v>Liberica</v>
      </c>
      <c r="O798" t="str" cm="1">
        <f t="array" ref="O798">_xlfn.IFS(J798="M","Medium",J798="L","Large",J798="D","Dark")</f>
        <v>Large</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_xlfn.XLOOKUP(C799,customers!$A$1:$A$1001,customers!$B$1:$B$1001,,0)</f>
        <v>Jed Kennicott</v>
      </c>
      <c r="G799" s="2" t="str">
        <f>IF(_xlfn.XLOOKUP(C799,customers!$A$1:$A$1001,customers!$C$1:$C$1001,,0)=0,"",_xlfn.XLOOKUP(C799,customers!$A$1:$A$1001,customers!$C$1:$C$1001,,0))</f>
        <v>jkennicottm5@yahoo.co.jp</v>
      </c>
      <c r="H799" s="2" t="str">
        <f>_xlfn.XLOOKUP(C799,customers!$A$1:$A$1001,customers!$G$1:$G$1001,,0)</f>
        <v>United States</v>
      </c>
      <c r="I799" t="str">
        <f>INDEX(products!$A$1:$G$49,MATCH(orders!$D799,products!$A$1:$A$49,0),MATCH(orders!I$1,products!$A$1:$G$1,0))</f>
        <v>Ara</v>
      </c>
      <c r="J799" t="str">
        <f>INDEX(products!$A$1:$G$49,MATCH(orders!$D799,products!$A$1:$A$49,0),MATCH(orders!J$1,products!$A$1:$G$1,0))</f>
        <v>L</v>
      </c>
      <c r="K799" s="7">
        <f>INDEX(products!$A$1:$G$49,MATCH(orders!$D799,products!$A$1:$A$49,0),MATCH(orders!K$1,products!$A$1:$G$1,0))</f>
        <v>0.5</v>
      </c>
      <c r="L799" s="4">
        <f>INDEX(products!$A$1:$G$49,MATCH(orders!$D799,products!$A$1:$A$49,0),MATCH(orders!L$1,products!$A$1:$G$1,0))</f>
        <v>7.77</v>
      </c>
      <c r="M799" s="4">
        <f t="shared" si="12"/>
        <v>31.08</v>
      </c>
      <c r="N799" t="str" cm="1">
        <f t="array" ref="N799">_xlfn.IFS(I799="Rob","Robusta",I799="Exc","Excelsa",I799="Ara","Arabica",I799="Lib","Liberica")</f>
        <v>Arabica</v>
      </c>
      <c r="O799" t="str" cm="1">
        <f t="array" ref="O799">_xlfn.IFS(J799="M","Medium",J799="L","Large",J799="D","Dark")</f>
        <v>Large</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_xlfn.XLOOKUP(C800,customers!$A$1:$A$1001,customers!$B$1:$B$1001,,0)</f>
        <v>Guenevere Ruggen</v>
      </c>
      <c r="G800" s="2" t="str">
        <f>IF(_xlfn.XLOOKUP(C800,customers!$A$1:$A$1001,customers!$C$1:$C$1001,,0)=0,"",_xlfn.XLOOKUP(C800,customers!$A$1:$A$1001,customers!$C$1:$C$1001,,0))</f>
        <v>gruggenm6@nymag.com</v>
      </c>
      <c r="H800" s="2" t="str">
        <f>_xlfn.XLOOKUP(C800,customers!$A$1:$A$1001,customers!$G$1:$G$1001,,0)</f>
        <v>United States</v>
      </c>
      <c r="I800" t="str">
        <f>INDEX(products!$A$1:$G$49,MATCH(orders!$D800,products!$A$1:$A$49,0),MATCH(orders!I$1,products!$A$1:$G$1,0))</f>
        <v>Rob</v>
      </c>
      <c r="J800" t="str">
        <f>INDEX(products!$A$1:$G$49,MATCH(orders!$D800,products!$A$1:$A$49,0),MATCH(orders!J$1,products!$A$1:$G$1,0))</f>
        <v>D</v>
      </c>
      <c r="K800" s="7">
        <f>INDEX(products!$A$1:$G$49,MATCH(orders!$D800,products!$A$1:$A$49,0),MATCH(orders!K$1,products!$A$1:$G$1,0))</f>
        <v>0.2</v>
      </c>
      <c r="L800" s="4">
        <f>INDEX(products!$A$1:$G$49,MATCH(orders!$D800,products!$A$1:$A$49,0),MATCH(orders!L$1,products!$A$1:$G$1,0))</f>
        <v>2.6849999999999996</v>
      </c>
      <c r="M800" s="4">
        <f t="shared" si="12"/>
        <v>8.0549999999999997</v>
      </c>
      <c r="N800" t="str" cm="1">
        <f t="array" ref="N800">_xlfn.IFS(I800="Rob","Robusta",I800="Exc","Excelsa",I800="Ara","Arabica",I800="Lib","Liberica")</f>
        <v>Robusta</v>
      </c>
      <c r="O800" t="str" cm="1">
        <f t="array" ref="O800">_xlfn.IFS(J800="M","Medium",J800="L","Large",J800="D","Dark")</f>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_xlfn.XLOOKUP(C801,customers!$A$1:$A$1001,customers!$B$1:$B$1001,,0)</f>
        <v>Gonzales Cicculi</v>
      </c>
      <c r="G801" s="2" t="str">
        <f>IF(_xlfn.XLOOKUP(C801,customers!$A$1:$A$1001,customers!$C$1:$C$1001,,0)=0,"",_xlfn.XLOOKUP(C801,customers!$A$1:$A$1001,customers!$C$1:$C$1001,,0))</f>
        <v/>
      </c>
      <c r="H801" s="2" t="str">
        <f>_xlfn.XLOOKUP(C801,customers!$A$1:$A$1001,customers!$G$1:$G$1001,,0)</f>
        <v>United States</v>
      </c>
      <c r="I801" t="str">
        <f>INDEX(products!$A$1:$G$49,MATCH(orders!$D801,products!$A$1:$A$49,0),MATCH(orders!I$1,products!$A$1:$G$1,0))</f>
        <v>Exc</v>
      </c>
      <c r="J801" t="str">
        <f>INDEX(products!$A$1:$G$49,MATCH(orders!$D801,products!$A$1:$A$49,0),MATCH(orders!J$1,products!$A$1:$G$1,0))</f>
        <v>D</v>
      </c>
      <c r="K801" s="7">
        <f>INDEX(products!$A$1:$G$49,MATCH(orders!$D801,products!$A$1:$A$49,0),MATCH(orders!K$1,products!$A$1:$G$1,0))</f>
        <v>1</v>
      </c>
      <c r="L801" s="4">
        <f>INDEX(products!$A$1:$G$49,MATCH(orders!$D801,products!$A$1:$A$49,0),MATCH(orders!L$1,products!$A$1:$G$1,0))</f>
        <v>12.15</v>
      </c>
      <c r="M801" s="4">
        <f t="shared" si="12"/>
        <v>36.450000000000003</v>
      </c>
      <c r="N801" t="str" cm="1">
        <f t="array" ref="N801">_xlfn.IFS(I801="Rob","Robusta",I801="Exc","Excelsa",I801="Ara","Arabica",I801="Lib","Liberica")</f>
        <v>Excelsa</v>
      </c>
      <c r="O801" t="str" cm="1">
        <f t="array" ref="O801">_xlfn.IFS(J801="M","Medium",J801="L","Large",J801="D","Dark")</f>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_xlfn.XLOOKUP(C802,customers!$A$1:$A$1001,customers!$B$1:$B$1001,,0)</f>
        <v>Man Fright</v>
      </c>
      <c r="G802" s="2" t="str">
        <f>IF(_xlfn.XLOOKUP(C802,customers!$A$1:$A$1001,customers!$C$1:$C$1001,,0)=0,"",_xlfn.XLOOKUP(C802,customers!$A$1:$A$1001,customers!$C$1:$C$1001,,0))</f>
        <v>mfrightm8@harvard.edu</v>
      </c>
      <c r="H802" s="2" t="str">
        <f>_xlfn.XLOOKUP(C802,customers!$A$1:$A$1001,customers!$G$1:$G$1001,,0)</f>
        <v>Ireland</v>
      </c>
      <c r="I802" t="str">
        <f>INDEX(products!$A$1:$G$49,MATCH(orders!$D802,products!$A$1:$A$49,0),MATCH(orders!I$1,products!$A$1:$G$1,0))</f>
        <v>Rob</v>
      </c>
      <c r="J802" t="str">
        <f>INDEX(products!$A$1:$G$49,MATCH(orders!$D802,products!$A$1:$A$49,0),MATCH(orders!J$1,products!$A$1:$G$1,0))</f>
        <v>D</v>
      </c>
      <c r="K802" s="7">
        <f>INDEX(products!$A$1:$G$49,MATCH(orders!$D802,products!$A$1:$A$49,0),MATCH(orders!K$1,products!$A$1:$G$1,0))</f>
        <v>0.2</v>
      </c>
      <c r="L802" s="4">
        <f>INDEX(products!$A$1:$G$49,MATCH(orders!$D802,products!$A$1:$A$49,0),MATCH(orders!L$1,products!$A$1:$G$1,0))</f>
        <v>2.6849999999999996</v>
      </c>
      <c r="M802" s="4">
        <f t="shared" si="12"/>
        <v>16.11</v>
      </c>
      <c r="N802" t="str" cm="1">
        <f t="array" ref="N802">_xlfn.IFS(I802="Rob","Robusta",I802="Exc","Excelsa",I802="Ara","Arabica",I802="Lib","Liberica")</f>
        <v>Robusta</v>
      </c>
      <c r="O802" t="str" cm="1">
        <f t="array" ref="O802">_xlfn.IFS(J802="M","Medium",J802="L","Large",J802="D","Dark")</f>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_xlfn.XLOOKUP(C803,customers!$A$1:$A$1001,customers!$B$1:$B$1001,,0)</f>
        <v>Boyce Tarte</v>
      </c>
      <c r="G803" s="2" t="str">
        <f>IF(_xlfn.XLOOKUP(C803,customers!$A$1:$A$1001,customers!$C$1:$C$1001,,0)=0,"",_xlfn.XLOOKUP(C803,customers!$A$1:$A$1001,customers!$C$1:$C$1001,,0))</f>
        <v>btartem9@aol.com</v>
      </c>
      <c r="H803" s="2" t="str">
        <f>_xlfn.XLOOKUP(C803,customers!$A$1:$A$1001,customers!$G$1:$G$1001,,0)</f>
        <v>United States</v>
      </c>
      <c r="I803" t="str">
        <f>INDEX(products!$A$1:$G$49,MATCH(orders!$D803,products!$A$1:$A$49,0),MATCH(orders!I$1,products!$A$1:$G$1,0))</f>
        <v>Rob</v>
      </c>
      <c r="J803" t="str">
        <f>INDEX(products!$A$1:$G$49,MATCH(orders!$D803,products!$A$1:$A$49,0),MATCH(orders!J$1,products!$A$1:$G$1,0))</f>
        <v>D</v>
      </c>
      <c r="K803" s="7">
        <f>INDEX(products!$A$1:$G$49,MATCH(orders!$D803,products!$A$1:$A$49,0),MATCH(orders!K$1,products!$A$1:$G$1,0))</f>
        <v>2.5</v>
      </c>
      <c r="L803" s="4">
        <f>INDEX(products!$A$1:$G$49,MATCH(orders!$D803,products!$A$1:$A$49,0),MATCH(orders!L$1,products!$A$1:$G$1,0))</f>
        <v>20.584999999999997</v>
      </c>
      <c r="M803" s="4">
        <f t="shared" si="12"/>
        <v>41.169999999999995</v>
      </c>
      <c r="N803" t="str" cm="1">
        <f t="array" ref="N803">_xlfn.IFS(I803="Rob","Robusta",I803="Exc","Excelsa",I803="Ara","Arabica",I803="Lib","Liberica")</f>
        <v>Robusta</v>
      </c>
      <c r="O803" t="str" cm="1">
        <f t="array" ref="O803">_xlfn.IFS(J803="M","Medium",J803="L","Large",J803="D","Dark")</f>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_xlfn.XLOOKUP(C804,customers!$A$1:$A$1001,customers!$B$1:$B$1001,,0)</f>
        <v>Caddric Krzysztofiak</v>
      </c>
      <c r="G804" s="2" t="str">
        <f>IF(_xlfn.XLOOKUP(C804,customers!$A$1:$A$1001,customers!$C$1:$C$1001,,0)=0,"",_xlfn.XLOOKUP(C804,customers!$A$1:$A$1001,customers!$C$1:$C$1001,,0))</f>
        <v>ckrzysztofiakma@skyrock.com</v>
      </c>
      <c r="H804" s="2" t="str">
        <f>_xlfn.XLOOKUP(C804,customers!$A$1:$A$1001,customers!$G$1:$G$1001,,0)</f>
        <v>United States</v>
      </c>
      <c r="I804" t="str">
        <f>INDEX(products!$A$1:$G$49,MATCH(orders!$D804,products!$A$1:$A$49,0),MATCH(orders!I$1,products!$A$1:$G$1,0))</f>
        <v>Rob</v>
      </c>
      <c r="J804" t="str">
        <f>INDEX(products!$A$1:$G$49,MATCH(orders!$D804,products!$A$1:$A$49,0),MATCH(orders!J$1,products!$A$1:$G$1,0))</f>
        <v>D</v>
      </c>
      <c r="K804" s="7">
        <f>INDEX(products!$A$1:$G$49,MATCH(orders!$D804,products!$A$1:$A$49,0),MATCH(orders!K$1,products!$A$1:$G$1,0))</f>
        <v>0.2</v>
      </c>
      <c r="L804" s="4">
        <f>INDEX(products!$A$1:$G$49,MATCH(orders!$D804,products!$A$1:$A$49,0),MATCH(orders!L$1,products!$A$1:$G$1,0))</f>
        <v>2.6849999999999996</v>
      </c>
      <c r="M804" s="4">
        <f t="shared" si="12"/>
        <v>10.739999999999998</v>
      </c>
      <c r="N804" t="str" cm="1">
        <f t="array" ref="N804">_xlfn.IFS(I804="Rob","Robusta",I804="Exc","Excelsa",I804="Ara","Arabica",I804="Lib","Liberica")</f>
        <v>Robusta</v>
      </c>
      <c r="O804" t="str" cm="1">
        <f t="array" ref="O804">_xlfn.IFS(J804="M","Medium",J804="L","Large",J804="D","Dark")</f>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_xlfn.XLOOKUP(C805,customers!$A$1:$A$1001,customers!$B$1:$B$1001,,0)</f>
        <v>Darn Penquet</v>
      </c>
      <c r="G805" s="2" t="str">
        <f>IF(_xlfn.XLOOKUP(C805,customers!$A$1:$A$1001,customers!$C$1:$C$1001,,0)=0,"",_xlfn.XLOOKUP(C805,customers!$A$1:$A$1001,customers!$C$1:$C$1001,,0))</f>
        <v>dpenquetmb@diigo.com</v>
      </c>
      <c r="H805" s="2" t="str">
        <f>_xlfn.XLOOKUP(C805,customers!$A$1:$A$1001,customers!$G$1:$G$1001,,0)</f>
        <v>United States</v>
      </c>
      <c r="I805" t="str">
        <f>INDEX(products!$A$1:$G$49,MATCH(orders!$D805,products!$A$1:$A$49,0),MATCH(orders!I$1,products!$A$1:$G$1,0))</f>
        <v>Exc</v>
      </c>
      <c r="J805" t="str">
        <f>INDEX(products!$A$1:$G$49,MATCH(orders!$D805,products!$A$1:$A$49,0),MATCH(orders!J$1,products!$A$1:$G$1,0))</f>
        <v>M</v>
      </c>
      <c r="K805" s="7">
        <f>INDEX(products!$A$1:$G$49,MATCH(orders!$D805,products!$A$1:$A$49,0),MATCH(orders!K$1,products!$A$1:$G$1,0))</f>
        <v>2.5</v>
      </c>
      <c r="L805" s="4">
        <f>INDEX(products!$A$1:$G$49,MATCH(orders!$D805,products!$A$1:$A$49,0),MATCH(orders!L$1,products!$A$1:$G$1,0))</f>
        <v>31.624999999999996</v>
      </c>
      <c r="M805" s="4">
        <f t="shared" si="12"/>
        <v>126.49999999999999</v>
      </c>
      <c r="N805" t="str" cm="1">
        <f t="array" ref="N805">_xlfn.IFS(I805="Rob","Robusta",I805="Exc","Excelsa",I805="Ara","Arabica",I805="Lib","Liberica")</f>
        <v>Excelsa</v>
      </c>
      <c r="O805" t="str" cm="1">
        <f t="array" ref="O805">_xlfn.IFS(J805="M","Medium",J805="L","Large",J805="D","Dark")</f>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_xlfn.XLOOKUP(C806,customers!$A$1:$A$1001,customers!$B$1:$B$1001,,0)</f>
        <v>Jammie Cloke</v>
      </c>
      <c r="G806" s="2" t="str">
        <f>IF(_xlfn.XLOOKUP(C806,customers!$A$1:$A$1001,customers!$C$1:$C$1001,,0)=0,"",_xlfn.XLOOKUP(C806,customers!$A$1:$A$1001,customers!$C$1:$C$1001,,0))</f>
        <v/>
      </c>
      <c r="H806" s="2" t="str">
        <f>_xlfn.XLOOKUP(C806,customers!$A$1:$A$1001,customers!$G$1:$G$1001,,0)</f>
        <v>United Kingdom</v>
      </c>
      <c r="I806" t="str">
        <f>INDEX(products!$A$1:$G$49,MATCH(orders!$D806,products!$A$1:$A$49,0),MATCH(orders!I$1,products!$A$1:$G$1,0))</f>
        <v>Rob</v>
      </c>
      <c r="J806" t="str">
        <f>INDEX(products!$A$1:$G$49,MATCH(orders!$D806,products!$A$1:$A$49,0),MATCH(orders!J$1,products!$A$1:$G$1,0))</f>
        <v>L</v>
      </c>
      <c r="K806" s="7">
        <f>INDEX(products!$A$1:$G$49,MATCH(orders!$D806,products!$A$1:$A$49,0),MATCH(orders!K$1,products!$A$1:$G$1,0))</f>
        <v>1</v>
      </c>
      <c r="L806" s="4">
        <f>INDEX(products!$A$1:$G$49,MATCH(orders!$D806,products!$A$1:$A$49,0),MATCH(orders!L$1,products!$A$1:$G$1,0))</f>
        <v>11.95</v>
      </c>
      <c r="M806" s="4">
        <f t="shared" si="12"/>
        <v>23.9</v>
      </c>
      <c r="N806" t="str" cm="1">
        <f t="array" ref="N806">_xlfn.IFS(I806="Rob","Robusta",I806="Exc","Excelsa",I806="Ara","Arabica",I806="Lib","Liberica")</f>
        <v>Robusta</v>
      </c>
      <c r="O806" t="str" cm="1">
        <f t="array" ref="O806">_xlfn.IFS(J806="M","Medium",J806="L","Large",J806="D","Dark")</f>
        <v>Large</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_xlfn.XLOOKUP(C807,customers!$A$1:$A$1001,customers!$B$1:$B$1001,,0)</f>
        <v>Chester Clowton</v>
      </c>
      <c r="G807" s="2" t="str">
        <f>IF(_xlfn.XLOOKUP(C807,customers!$A$1:$A$1001,customers!$C$1:$C$1001,,0)=0,"",_xlfn.XLOOKUP(C807,customers!$A$1:$A$1001,customers!$C$1:$C$1001,,0))</f>
        <v/>
      </c>
      <c r="H807" s="2" t="str">
        <f>_xlfn.XLOOKUP(C807,customers!$A$1:$A$1001,customers!$G$1:$G$1001,,0)</f>
        <v>United States</v>
      </c>
      <c r="I807" t="str">
        <f>INDEX(products!$A$1:$G$49,MATCH(orders!$D807,products!$A$1:$A$49,0),MATCH(orders!I$1,products!$A$1:$G$1,0))</f>
        <v>Rob</v>
      </c>
      <c r="J807" t="str">
        <f>INDEX(products!$A$1:$G$49,MATCH(orders!$D807,products!$A$1:$A$49,0),MATCH(orders!J$1,products!$A$1:$G$1,0))</f>
        <v>M</v>
      </c>
      <c r="K807" s="7">
        <f>INDEX(products!$A$1:$G$49,MATCH(orders!$D807,products!$A$1:$A$49,0),MATCH(orders!K$1,products!$A$1:$G$1,0))</f>
        <v>0.5</v>
      </c>
      <c r="L807" s="4">
        <f>INDEX(products!$A$1:$G$49,MATCH(orders!$D807,products!$A$1:$A$49,0),MATCH(orders!L$1,products!$A$1:$G$1,0))</f>
        <v>5.97</v>
      </c>
      <c r="M807" s="4">
        <f t="shared" si="12"/>
        <v>5.97</v>
      </c>
      <c r="N807" t="str" cm="1">
        <f t="array" ref="N807">_xlfn.IFS(I807="Rob","Robusta",I807="Exc","Excelsa",I807="Ara","Arabica",I807="Lib","Liberica")</f>
        <v>Robusta</v>
      </c>
      <c r="O807" t="str" cm="1">
        <f t="array" ref="O807">_xlfn.IFS(J807="M","Medium",J807="L","Large",J807="D","Dark")</f>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_xlfn.XLOOKUP(C808,customers!$A$1:$A$1001,customers!$B$1:$B$1001,,0)</f>
        <v>Kathleen Diable</v>
      </c>
      <c r="G808" s="2" t="str">
        <f>IF(_xlfn.XLOOKUP(C808,customers!$A$1:$A$1001,customers!$C$1:$C$1001,,0)=0,"",_xlfn.XLOOKUP(C808,customers!$A$1:$A$1001,customers!$C$1:$C$1001,,0))</f>
        <v/>
      </c>
      <c r="H808" s="2" t="str">
        <f>_xlfn.XLOOKUP(C808,customers!$A$1:$A$1001,customers!$G$1:$G$1001,,0)</f>
        <v>United Kingdom</v>
      </c>
      <c r="I808" t="str">
        <f>INDEX(products!$A$1:$G$49,MATCH(orders!$D808,products!$A$1:$A$49,0),MATCH(orders!I$1,products!$A$1:$G$1,0))</f>
        <v>Lib</v>
      </c>
      <c r="J808" t="str">
        <f>INDEX(products!$A$1:$G$49,MATCH(orders!$D808,products!$A$1:$A$49,0),MATCH(orders!J$1,products!$A$1:$G$1,0))</f>
        <v>D</v>
      </c>
      <c r="K808" s="7">
        <f>INDEX(products!$A$1:$G$49,MATCH(orders!$D808,products!$A$1:$A$49,0),MATCH(orders!K$1,products!$A$1:$G$1,0))</f>
        <v>0.2</v>
      </c>
      <c r="L808" s="4">
        <f>INDEX(products!$A$1:$G$49,MATCH(orders!$D808,products!$A$1:$A$49,0),MATCH(orders!L$1,products!$A$1:$G$1,0))</f>
        <v>3.8849999999999998</v>
      </c>
      <c r="M808" s="4">
        <f t="shared" si="12"/>
        <v>7.77</v>
      </c>
      <c r="N808" t="str" cm="1">
        <f t="array" ref="N808">_xlfn.IFS(I808="Rob","Robusta",I808="Exc","Excelsa",I808="Ara","Arabica",I808="Lib","Liberica")</f>
        <v>Liberica</v>
      </c>
      <c r="O808" t="str" cm="1">
        <f t="array" ref="O808">_xlfn.IFS(J808="M","Medium",J808="L","Large",J808="D","Dark")</f>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_xlfn.XLOOKUP(C809,customers!$A$1:$A$1001,customers!$B$1:$B$1001,,0)</f>
        <v>Koren Ferretti</v>
      </c>
      <c r="G809" s="2" t="str">
        <f>IF(_xlfn.XLOOKUP(C809,customers!$A$1:$A$1001,customers!$C$1:$C$1001,,0)=0,"",_xlfn.XLOOKUP(C809,customers!$A$1:$A$1001,customers!$C$1:$C$1001,,0))</f>
        <v>kferrettimf@huffingtonpost.com</v>
      </c>
      <c r="H809" s="2" t="str">
        <f>_xlfn.XLOOKUP(C809,customers!$A$1:$A$1001,customers!$G$1:$G$1001,,0)</f>
        <v>Ireland</v>
      </c>
      <c r="I809" t="str">
        <f>INDEX(products!$A$1:$G$49,MATCH(orders!$D809,products!$A$1:$A$49,0),MATCH(orders!I$1,products!$A$1:$G$1,0))</f>
        <v>Lib</v>
      </c>
      <c r="J809" t="str">
        <f>INDEX(products!$A$1:$G$49,MATCH(orders!$D809,products!$A$1:$A$49,0),MATCH(orders!J$1,products!$A$1:$G$1,0))</f>
        <v>D</v>
      </c>
      <c r="K809" s="7">
        <f>INDEX(products!$A$1:$G$49,MATCH(orders!$D809,products!$A$1:$A$49,0),MATCH(orders!K$1,products!$A$1:$G$1,0))</f>
        <v>0.5</v>
      </c>
      <c r="L809" s="4">
        <f>INDEX(products!$A$1:$G$49,MATCH(orders!$D809,products!$A$1:$A$49,0),MATCH(orders!L$1,products!$A$1:$G$1,0))</f>
        <v>7.77</v>
      </c>
      <c r="M809" s="4">
        <f t="shared" si="12"/>
        <v>23.31</v>
      </c>
      <c r="N809" t="str" cm="1">
        <f t="array" ref="N809">_xlfn.IFS(I809="Rob","Robusta",I809="Exc","Excelsa",I809="Ara","Arabica",I809="Lib","Liberica")</f>
        <v>Liberica</v>
      </c>
      <c r="O809" t="str" cm="1">
        <f t="array" ref="O809">_xlfn.IFS(J809="M","Medium",J809="L","Large",J809="D","Dark")</f>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_xlfn.XLOOKUP(C810,customers!$A$1:$A$1001,customers!$B$1:$B$1001,,0)</f>
        <v>Allis Wilmore</v>
      </c>
      <c r="G810" s="2" t="str">
        <f>IF(_xlfn.XLOOKUP(C810,customers!$A$1:$A$1001,customers!$C$1:$C$1001,,0)=0,"",_xlfn.XLOOKUP(C810,customers!$A$1:$A$1001,customers!$C$1:$C$1001,,0))</f>
        <v/>
      </c>
      <c r="H810" s="2" t="str">
        <f>_xlfn.XLOOKUP(C810,customers!$A$1:$A$1001,customers!$G$1:$G$1001,,0)</f>
        <v>United States</v>
      </c>
      <c r="I810" t="str">
        <f>INDEX(products!$A$1:$G$49,MATCH(orders!$D810,products!$A$1:$A$49,0),MATCH(orders!I$1,products!$A$1:$G$1,0))</f>
        <v>Rob</v>
      </c>
      <c r="J810" t="str">
        <f>INDEX(products!$A$1:$G$49,MATCH(orders!$D810,products!$A$1:$A$49,0),MATCH(orders!J$1,products!$A$1:$G$1,0))</f>
        <v>L</v>
      </c>
      <c r="K810" s="7">
        <f>INDEX(products!$A$1:$G$49,MATCH(orders!$D810,products!$A$1:$A$49,0),MATCH(orders!K$1,products!$A$1:$G$1,0))</f>
        <v>2.5</v>
      </c>
      <c r="L810" s="4">
        <f>INDEX(products!$A$1:$G$49,MATCH(orders!$D810,products!$A$1:$A$49,0),MATCH(orders!L$1,products!$A$1:$G$1,0))</f>
        <v>27.484999999999996</v>
      </c>
      <c r="M810" s="4">
        <f t="shared" si="12"/>
        <v>137.42499999999998</v>
      </c>
      <c r="N810" t="str" cm="1">
        <f t="array" ref="N810">_xlfn.IFS(I810="Rob","Robusta",I810="Exc","Excelsa",I810="Ara","Arabica",I810="Lib","Liberica")</f>
        <v>Robusta</v>
      </c>
      <c r="O810" t="str" cm="1">
        <f t="array" ref="O810">_xlfn.IFS(J810="M","Medium",J810="L","Large",J810="D","Dark")</f>
        <v>Large</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_xlfn.XLOOKUP(C811,customers!$A$1:$A$1001,customers!$B$1:$B$1001,,0)</f>
        <v>Chaddie Bennie</v>
      </c>
      <c r="G811" s="2" t="str">
        <f>IF(_xlfn.XLOOKUP(C811,customers!$A$1:$A$1001,customers!$C$1:$C$1001,,0)=0,"",_xlfn.XLOOKUP(C811,customers!$A$1:$A$1001,customers!$C$1:$C$1001,,0))</f>
        <v/>
      </c>
      <c r="H811" s="2" t="str">
        <f>_xlfn.XLOOKUP(C811,customers!$A$1:$A$1001,customers!$G$1:$G$1001,,0)</f>
        <v>United States</v>
      </c>
      <c r="I811" t="str">
        <f>INDEX(products!$A$1:$G$49,MATCH(orders!$D811,products!$A$1:$A$49,0),MATCH(orders!I$1,products!$A$1:$G$1,0))</f>
        <v>Rob</v>
      </c>
      <c r="J811" t="str">
        <f>INDEX(products!$A$1:$G$49,MATCH(orders!$D811,products!$A$1:$A$49,0),MATCH(orders!J$1,products!$A$1:$G$1,0))</f>
        <v>D</v>
      </c>
      <c r="K811" s="7">
        <f>INDEX(products!$A$1:$G$49,MATCH(orders!$D811,products!$A$1:$A$49,0),MATCH(orders!K$1,products!$A$1:$G$1,0))</f>
        <v>0.2</v>
      </c>
      <c r="L811" s="4">
        <f>INDEX(products!$A$1:$G$49,MATCH(orders!$D811,products!$A$1:$A$49,0),MATCH(orders!L$1,products!$A$1:$G$1,0))</f>
        <v>2.6849999999999996</v>
      </c>
      <c r="M811" s="4">
        <f t="shared" si="12"/>
        <v>8.0549999999999997</v>
      </c>
      <c r="N811" t="str" cm="1">
        <f t="array" ref="N811">_xlfn.IFS(I811="Rob","Robusta",I811="Exc","Excelsa",I811="Ara","Arabica",I811="Lib","Liberica")</f>
        <v>Robusta</v>
      </c>
      <c r="O811" t="str" cm="1">
        <f t="array" ref="O811">_xlfn.IFS(J811="M","Medium",J811="L","Large",J811="D","Dark")</f>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_xlfn.XLOOKUP(C812,customers!$A$1:$A$1001,customers!$B$1:$B$1001,,0)</f>
        <v>Alberta Balsdone</v>
      </c>
      <c r="G812" s="2" t="str">
        <f>IF(_xlfn.XLOOKUP(C812,customers!$A$1:$A$1001,customers!$C$1:$C$1001,,0)=0,"",_xlfn.XLOOKUP(C812,customers!$A$1:$A$1001,customers!$C$1:$C$1001,,0))</f>
        <v>abalsdonemi@toplist.cz</v>
      </c>
      <c r="H812" s="2" t="str">
        <f>_xlfn.XLOOKUP(C812,customers!$A$1:$A$1001,customers!$G$1:$G$1001,,0)</f>
        <v>United States</v>
      </c>
      <c r="I812" t="str">
        <f>INDEX(products!$A$1:$G$49,MATCH(orders!$D812,products!$A$1:$A$49,0),MATCH(orders!I$1,products!$A$1:$G$1,0))</f>
        <v>Lib</v>
      </c>
      <c r="J812" t="str">
        <f>INDEX(products!$A$1:$G$49,MATCH(orders!$D812,products!$A$1:$A$49,0),MATCH(orders!J$1,products!$A$1:$G$1,0))</f>
        <v>L</v>
      </c>
      <c r="K812" s="7">
        <f>INDEX(products!$A$1:$G$49,MATCH(orders!$D812,products!$A$1:$A$49,0),MATCH(orders!K$1,products!$A$1:$G$1,0))</f>
        <v>0.5</v>
      </c>
      <c r="L812" s="4">
        <f>INDEX(products!$A$1:$G$49,MATCH(orders!$D812,products!$A$1:$A$49,0),MATCH(orders!L$1,products!$A$1:$G$1,0))</f>
        <v>9.51</v>
      </c>
      <c r="M812" s="4">
        <f t="shared" si="12"/>
        <v>28.53</v>
      </c>
      <c r="N812" t="str" cm="1">
        <f t="array" ref="N812">_xlfn.IFS(I812="Rob","Robusta",I812="Exc","Excelsa",I812="Ara","Arabica",I812="Lib","Liberica")</f>
        <v>Liberica</v>
      </c>
      <c r="O812" t="str" cm="1">
        <f t="array" ref="O812">_xlfn.IFS(J812="M","Medium",J812="L","Large",J812="D","Dark")</f>
        <v>Large</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_xlfn.XLOOKUP(C813,customers!$A$1:$A$1001,customers!$B$1:$B$1001,,0)</f>
        <v>Brice Romera</v>
      </c>
      <c r="G813" s="2" t="str">
        <f>IF(_xlfn.XLOOKUP(C813,customers!$A$1:$A$1001,customers!$C$1:$C$1001,,0)=0,"",_xlfn.XLOOKUP(C813,customers!$A$1:$A$1001,customers!$C$1:$C$1001,,0))</f>
        <v>bromeramj@list-manage.com</v>
      </c>
      <c r="H813" s="2" t="str">
        <f>_xlfn.XLOOKUP(C813,customers!$A$1:$A$1001,customers!$G$1:$G$1001,,0)</f>
        <v>Ireland</v>
      </c>
      <c r="I813" t="str">
        <f>INDEX(products!$A$1:$G$49,MATCH(orders!$D813,products!$A$1:$A$49,0),MATCH(orders!I$1,products!$A$1:$G$1,0))</f>
        <v>Ara</v>
      </c>
      <c r="J813" t="str">
        <f>INDEX(products!$A$1:$G$49,MATCH(orders!$D813,products!$A$1:$A$49,0),MATCH(orders!J$1,products!$A$1:$G$1,0))</f>
        <v>M</v>
      </c>
      <c r="K813" s="7">
        <f>INDEX(products!$A$1:$G$49,MATCH(orders!$D813,products!$A$1:$A$49,0),MATCH(orders!K$1,products!$A$1:$G$1,0))</f>
        <v>1</v>
      </c>
      <c r="L813" s="4">
        <f>INDEX(products!$A$1:$G$49,MATCH(orders!$D813,products!$A$1:$A$49,0),MATCH(orders!L$1,products!$A$1:$G$1,0))</f>
        <v>11.25</v>
      </c>
      <c r="M813" s="4">
        <f t="shared" si="12"/>
        <v>67.5</v>
      </c>
      <c r="N813" t="str" cm="1">
        <f t="array" ref="N813">_xlfn.IFS(I813="Rob","Robusta",I813="Exc","Excelsa",I813="Ara","Arabica",I813="Lib","Liberica")</f>
        <v>Arabica</v>
      </c>
      <c r="O813" t="str" cm="1">
        <f t="array" ref="O813">_xlfn.IFS(J813="M","Medium",J813="L","Large",J813="D","Dark")</f>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_xlfn.XLOOKUP(C814,customers!$A$1:$A$1001,customers!$B$1:$B$1001,,0)</f>
        <v>Brice Romera</v>
      </c>
      <c r="G814" s="2" t="str">
        <f>IF(_xlfn.XLOOKUP(C814,customers!$A$1:$A$1001,customers!$C$1:$C$1001,,0)=0,"",_xlfn.XLOOKUP(C814,customers!$A$1:$A$1001,customers!$C$1:$C$1001,,0))</f>
        <v>bromeramj@list-manage.com</v>
      </c>
      <c r="H814" s="2" t="str">
        <f>_xlfn.XLOOKUP(C814,customers!$A$1:$A$1001,customers!$G$1:$G$1001,,0)</f>
        <v>Ireland</v>
      </c>
      <c r="I814" t="str">
        <f>INDEX(products!$A$1:$G$49,MATCH(orders!$D814,products!$A$1:$A$49,0),MATCH(orders!I$1,products!$A$1:$G$1,0))</f>
        <v>Lib</v>
      </c>
      <c r="J814" t="str">
        <f>INDEX(products!$A$1:$G$49,MATCH(orders!$D814,products!$A$1:$A$49,0),MATCH(orders!J$1,products!$A$1:$G$1,0))</f>
        <v>D</v>
      </c>
      <c r="K814" s="7">
        <f>INDEX(products!$A$1:$G$49,MATCH(orders!$D814,products!$A$1:$A$49,0),MATCH(orders!K$1,products!$A$1:$G$1,0))</f>
        <v>2.5</v>
      </c>
      <c r="L814" s="4">
        <f>INDEX(products!$A$1:$G$49,MATCH(orders!$D814,products!$A$1:$A$49,0),MATCH(orders!L$1,products!$A$1:$G$1,0))</f>
        <v>29.784999999999997</v>
      </c>
      <c r="M814" s="4">
        <f t="shared" si="12"/>
        <v>178.70999999999998</v>
      </c>
      <c r="N814" t="str" cm="1">
        <f t="array" ref="N814">_xlfn.IFS(I814="Rob","Robusta",I814="Exc","Excelsa",I814="Ara","Arabica",I814="Lib","Liberica")</f>
        <v>Liberica</v>
      </c>
      <c r="O814" t="str" cm="1">
        <f t="array" ref="O814">_xlfn.IFS(J814="M","Medium",J814="L","Large",J814="D","Dark")</f>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_xlfn.XLOOKUP(C815,customers!$A$1:$A$1001,customers!$B$1:$B$1001,,0)</f>
        <v>Conchita Bryde</v>
      </c>
      <c r="G815" s="2" t="str">
        <f>IF(_xlfn.XLOOKUP(C815,customers!$A$1:$A$1001,customers!$C$1:$C$1001,,0)=0,"",_xlfn.XLOOKUP(C815,customers!$A$1:$A$1001,customers!$C$1:$C$1001,,0))</f>
        <v>cbrydeml@tuttocitta.it</v>
      </c>
      <c r="H815" s="2" t="str">
        <f>_xlfn.XLOOKUP(C815,customers!$A$1:$A$1001,customers!$G$1:$G$1001,,0)</f>
        <v>United States</v>
      </c>
      <c r="I815" t="str">
        <f>INDEX(products!$A$1:$G$49,MATCH(orders!$D815,products!$A$1:$A$49,0),MATCH(orders!I$1,products!$A$1:$G$1,0))</f>
        <v>Exc</v>
      </c>
      <c r="J815" t="str">
        <f>INDEX(products!$A$1:$G$49,MATCH(orders!$D815,products!$A$1:$A$49,0),MATCH(orders!J$1,products!$A$1:$G$1,0))</f>
        <v>M</v>
      </c>
      <c r="K815" s="7">
        <f>INDEX(products!$A$1:$G$49,MATCH(orders!$D815,products!$A$1:$A$49,0),MATCH(orders!K$1,products!$A$1:$G$1,0))</f>
        <v>2.5</v>
      </c>
      <c r="L815" s="4">
        <f>INDEX(products!$A$1:$G$49,MATCH(orders!$D815,products!$A$1:$A$49,0),MATCH(orders!L$1,products!$A$1:$G$1,0))</f>
        <v>31.624999999999996</v>
      </c>
      <c r="M815" s="4">
        <f t="shared" si="12"/>
        <v>31.624999999999996</v>
      </c>
      <c r="N815" t="str" cm="1">
        <f t="array" ref="N815">_xlfn.IFS(I815="Rob","Robusta",I815="Exc","Excelsa",I815="Ara","Arabica",I815="Lib","Liberica")</f>
        <v>Excelsa</v>
      </c>
      <c r="O815" t="str" cm="1">
        <f t="array" ref="O815">_xlfn.IFS(J815="M","Medium",J815="L","Large",J815="D","Dark")</f>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_xlfn.XLOOKUP(C816,customers!$A$1:$A$1001,customers!$B$1:$B$1001,,0)</f>
        <v>Silvanus Enefer</v>
      </c>
      <c r="G816" s="2" t="str">
        <f>IF(_xlfn.XLOOKUP(C816,customers!$A$1:$A$1001,customers!$C$1:$C$1001,,0)=0,"",_xlfn.XLOOKUP(C816,customers!$A$1:$A$1001,customers!$C$1:$C$1001,,0))</f>
        <v>senefermm@blog.com</v>
      </c>
      <c r="H816" s="2" t="str">
        <f>_xlfn.XLOOKUP(C816,customers!$A$1:$A$1001,customers!$G$1:$G$1001,,0)</f>
        <v>United States</v>
      </c>
      <c r="I816" t="str">
        <f>INDEX(products!$A$1:$G$49,MATCH(orders!$D816,products!$A$1:$A$49,0),MATCH(orders!I$1,products!$A$1:$G$1,0))</f>
        <v>Exc</v>
      </c>
      <c r="J816" t="str">
        <f>INDEX(products!$A$1:$G$49,MATCH(orders!$D816,products!$A$1:$A$49,0),MATCH(orders!J$1,products!$A$1:$G$1,0))</f>
        <v>L</v>
      </c>
      <c r="K816" s="7">
        <f>INDEX(products!$A$1:$G$49,MATCH(orders!$D816,products!$A$1:$A$49,0),MATCH(orders!K$1,products!$A$1:$G$1,0))</f>
        <v>0.2</v>
      </c>
      <c r="L816" s="4">
        <f>INDEX(products!$A$1:$G$49,MATCH(orders!$D816,products!$A$1:$A$49,0),MATCH(orders!L$1,products!$A$1:$G$1,0))</f>
        <v>4.4550000000000001</v>
      </c>
      <c r="M816" s="4">
        <f t="shared" si="12"/>
        <v>8.91</v>
      </c>
      <c r="N816" t="str" cm="1">
        <f t="array" ref="N816">_xlfn.IFS(I816="Rob","Robusta",I816="Exc","Excelsa",I816="Ara","Arabica",I816="Lib","Liberica")</f>
        <v>Excelsa</v>
      </c>
      <c r="O816" t="str" cm="1">
        <f t="array" ref="O816">_xlfn.IFS(J816="M","Medium",J816="L","Large",J816="D","Dark")</f>
        <v>Large</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_xlfn.XLOOKUP(C817,customers!$A$1:$A$1001,customers!$B$1:$B$1001,,0)</f>
        <v>Lenci Haggerstone</v>
      </c>
      <c r="G817" s="2" t="str">
        <f>IF(_xlfn.XLOOKUP(C817,customers!$A$1:$A$1001,customers!$C$1:$C$1001,,0)=0,"",_xlfn.XLOOKUP(C817,customers!$A$1:$A$1001,customers!$C$1:$C$1001,,0))</f>
        <v>lhaggerstonemn@independent.co.uk</v>
      </c>
      <c r="H817" s="2" t="str">
        <f>_xlfn.XLOOKUP(C817,customers!$A$1:$A$1001,customers!$G$1:$G$1001,,0)</f>
        <v>United States</v>
      </c>
      <c r="I817" t="str">
        <f>INDEX(products!$A$1:$G$49,MATCH(orders!$D817,products!$A$1:$A$49,0),MATCH(orders!I$1,products!$A$1:$G$1,0))</f>
        <v>Rob</v>
      </c>
      <c r="J817" t="str">
        <f>INDEX(products!$A$1:$G$49,MATCH(orders!$D817,products!$A$1:$A$49,0),MATCH(orders!J$1,products!$A$1:$G$1,0))</f>
        <v>M</v>
      </c>
      <c r="K817" s="7">
        <f>INDEX(products!$A$1:$G$49,MATCH(orders!$D817,products!$A$1:$A$49,0),MATCH(orders!K$1,products!$A$1:$G$1,0))</f>
        <v>0.5</v>
      </c>
      <c r="L817" s="4">
        <f>INDEX(products!$A$1:$G$49,MATCH(orders!$D817,products!$A$1:$A$49,0),MATCH(orders!L$1,products!$A$1:$G$1,0))</f>
        <v>5.97</v>
      </c>
      <c r="M817" s="4">
        <f t="shared" si="12"/>
        <v>35.82</v>
      </c>
      <c r="N817" t="str" cm="1">
        <f t="array" ref="N817">_xlfn.IFS(I817="Rob","Robusta",I817="Exc","Excelsa",I817="Ara","Arabica",I817="Lib","Liberica")</f>
        <v>Robusta</v>
      </c>
      <c r="O817" t="str" cm="1">
        <f t="array" ref="O817">_xlfn.IFS(J817="M","Medium",J817="L","Large",J817="D","Dark")</f>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_xlfn.XLOOKUP(C818,customers!$A$1:$A$1001,customers!$B$1:$B$1001,,0)</f>
        <v>Marvin Gundry</v>
      </c>
      <c r="G818" s="2" t="str">
        <f>IF(_xlfn.XLOOKUP(C818,customers!$A$1:$A$1001,customers!$C$1:$C$1001,,0)=0,"",_xlfn.XLOOKUP(C818,customers!$A$1:$A$1001,customers!$C$1:$C$1001,,0))</f>
        <v>mgundrymo@omniture.com</v>
      </c>
      <c r="H818" s="2" t="str">
        <f>_xlfn.XLOOKUP(C818,customers!$A$1:$A$1001,customers!$G$1:$G$1001,,0)</f>
        <v>Ireland</v>
      </c>
      <c r="I818" t="str">
        <f>INDEX(products!$A$1:$G$49,MATCH(orders!$D818,products!$A$1:$A$49,0),MATCH(orders!I$1,products!$A$1:$G$1,0))</f>
        <v>Lib</v>
      </c>
      <c r="J818" t="str">
        <f>INDEX(products!$A$1:$G$49,MATCH(orders!$D818,products!$A$1:$A$49,0),MATCH(orders!J$1,products!$A$1:$G$1,0))</f>
        <v>L</v>
      </c>
      <c r="K818" s="7">
        <f>INDEX(products!$A$1:$G$49,MATCH(orders!$D818,products!$A$1:$A$49,0),MATCH(orders!K$1,products!$A$1:$G$1,0))</f>
        <v>0.5</v>
      </c>
      <c r="L818" s="4">
        <f>INDEX(products!$A$1:$G$49,MATCH(orders!$D818,products!$A$1:$A$49,0),MATCH(orders!L$1,products!$A$1:$G$1,0))</f>
        <v>9.51</v>
      </c>
      <c r="M818" s="4">
        <f t="shared" si="12"/>
        <v>38.04</v>
      </c>
      <c r="N818" t="str" cm="1">
        <f t="array" ref="N818">_xlfn.IFS(I818="Rob","Robusta",I818="Exc","Excelsa",I818="Ara","Arabica",I818="Lib","Liberica")</f>
        <v>Liberica</v>
      </c>
      <c r="O818" t="str" cm="1">
        <f t="array" ref="O818">_xlfn.IFS(J818="M","Medium",J818="L","Large",J818="D","Dark")</f>
        <v>Large</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_xlfn.XLOOKUP(C819,customers!$A$1:$A$1001,customers!$B$1:$B$1001,,0)</f>
        <v>Bayard Wellan</v>
      </c>
      <c r="G819" s="2" t="str">
        <f>IF(_xlfn.XLOOKUP(C819,customers!$A$1:$A$1001,customers!$C$1:$C$1001,,0)=0,"",_xlfn.XLOOKUP(C819,customers!$A$1:$A$1001,customers!$C$1:$C$1001,,0))</f>
        <v>bwellanmp@cafepress.com</v>
      </c>
      <c r="H819" s="2" t="str">
        <f>_xlfn.XLOOKUP(C819,customers!$A$1:$A$1001,customers!$G$1:$G$1001,,0)</f>
        <v>United States</v>
      </c>
      <c r="I819" t="str">
        <f>INDEX(products!$A$1:$G$49,MATCH(orders!$D819,products!$A$1:$A$49,0),MATCH(orders!I$1,products!$A$1:$G$1,0))</f>
        <v>Lib</v>
      </c>
      <c r="J819" t="str">
        <f>INDEX(products!$A$1:$G$49,MATCH(orders!$D819,products!$A$1:$A$49,0),MATCH(orders!J$1,products!$A$1:$G$1,0))</f>
        <v>D</v>
      </c>
      <c r="K819" s="7">
        <f>INDEX(products!$A$1:$G$49,MATCH(orders!$D819,products!$A$1:$A$49,0),MATCH(orders!K$1,products!$A$1:$G$1,0))</f>
        <v>0.5</v>
      </c>
      <c r="L819" s="4">
        <f>INDEX(products!$A$1:$G$49,MATCH(orders!$D819,products!$A$1:$A$49,0),MATCH(orders!L$1,products!$A$1:$G$1,0))</f>
        <v>7.77</v>
      </c>
      <c r="M819" s="4">
        <f t="shared" si="12"/>
        <v>15.54</v>
      </c>
      <c r="N819" t="str" cm="1">
        <f t="array" ref="N819">_xlfn.IFS(I819="Rob","Robusta",I819="Exc","Excelsa",I819="Ara","Arabica",I819="Lib","Liberica")</f>
        <v>Liberica</v>
      </c>
      <c r="O819" t="str" cm="1">
        <f t="array" ref="O819">_xlfn.IFS(J819="M","Medium",J819="L","Large",J819="D","Dark")</f>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_xlfn.XLOOKUP(C820,customers!$A$1:$A$1001,customers!$B$1:$B$1001,,0)</f>
        <v>Allis Wilmore</v>
      </c>
      <c r="G820" s="2" t="str">
        <f>IF(_xlfn.XLOOKUP(C820,customers!$A$1:$A$1001,customers!$C$1:$C$1001,,0)=0,"",_xlfn.XLOOKUP(C820,customers!$A$1:$A$1001,customers!$C$1:$C$1001,,0))</f>
        <v/>
      </c>
      <c r="H820" s="2" t="str">
        <f>_xlfn.XLOOKUP(C820,customers!$A$1:$A$1001,customers!$G$1:$G$1001,,0)</f>
        <v>United States</v>
      </c>
      <c r="I820" t="str">
        <f>INDEX(products!$A$1:$G$49,MATCH(orders!$D820,products!$A$1:$A$49,0),MATCH(orders!I$1,products!$A$1:$G$1,0))</f>
        <v>Lib</v>
      </c>
      <c r="J820" t="str">
        <f>INDEX(products!$A$1:$G$49,MATCH(orders!$D820,products!$A$1:$A$49,0),MATCH(orders!J$1,products!$A$1:$G$1,0))</f>
        <v>L</v>
      </c>
      <c r="K820" s="7">
        <f>INDEX(products!$A$1:$G$49,MATCH(orders!$D820,products!$A$1:$A$49,0),MATCH(orders!K$1,products!$A$1:$G$1,0))</f>
        <v>1</v>
      </c>
      <c r="L820" s="4">
        <f>INDEX(products!$A$1:$G$49,MATCH(orders!$D820,products!$A$1:$A$49,0),MATCH(orders!L$1,products!$A$1:$G$1,0))</f>
        <v>15.85</v>
      </c>
      <c r="M820" s="4">
        <f t="shared" si="12"/>
        <v>79.25</v>
      </c>
      <c r="N820" t="str" cm="1">
        <f t="array" ref="N820">_xlfn.IFS(I820="Rob","Robusta",I820="Exc","Excelsa",I820="Ara","Arabica",I820="Lib","Liberica")</f>
        <v>Liberica</v>
      </c>
      <c r="O820" t="str" cm="1">
        <f t="array" ref="O820">_xlfn.IFS(J820="M","Medium",J820="L","Large",J820="D","Dark")</f>
        <v>Large</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_xlfn.XLOOKUP(C821,customers!$A$1:$A$1001,customers!$B$1:$B$1001,,0)</f>
        <v>Caddric Atcheson</v>
      </c>
      <c r="G821" s="2" t="str">
        <f>IF(_xlfn.XLOOKUP(C821,customers!$A$1:$A$1001,customers!$C$1:$C$1001,,0)=0,"",_xlfn.XLOOKUP(C821,customers!$A$1:$A$1001,customers!$C$1:$C$1001,,0))</f>
        <v>catchesonmr@xinhuanet.com</v>
      </c>
      <c r="H821" s="2" t="str">
        <f>_xlfn.XLOOKUP(C821,customers!$A$1:$A$1001,customers!$G$1:$G$1001,,0)</f>
        <v>United States</v>
      </c>
      <c r="I821" t="str">
        <f>INDEX(products!$A$1:$G$49,MATCH(orders!$D821,products!$A$1:$A$49,0),MATCH(orders!I$1,products!$A$1:$G$1,0))</f>
        <v>Lib</v>
      </c>
      <c r="J821" t="str">
        <f>INDEX(products!$A$1:$G$49,MATCH(orders!$D821,products!$A$1:$A$49,0),MATCH(orders!J$1,products!$A$1:$G$1,0))</f>
        <v>L</v>
      </c>
      <c r="K821" s="7">
        <f>INDEX(products!$A$1:$G$49,MATCH(orders!$D821,products!$A$1:$A$49,0),MATCH(orders!K$1,products!$A$1:$G$1,0))</f>
        <v>0.2</v>
      </c>
      <c r="L821" s="4">
        <f>INDEX(products!$A$1:$G$49,MATCH(orders!$D821,products!$A$1:$A$49,0),MATCH(orders!L$1,products!$A$1:$G$1,0))</f>
        <v>4.7549999999999999</v>
      </c>
      <c r="M821" s="4">
        <f t="shared" si="12"/>
        <v>4.7549999999999999</v>
      </c>
      <c r="N821" t="str" cm="1">
        <f t="array" ref="N821">_xlfn.IFS(I821="Rob","Robusta",I821="Exc","Excelsa",I821="Ara","Arabica",I821="Lib","Liberica")</f>
        <v>Liberica</v>
      </c>
      <c r="O821" t="str" cm="1">
        <f t="array" ref="O821">_xlfn.IFS(J821="M","Medium",J821="L","Large",J821="D","Dark")</f>
        <v>Large</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_xlfn.XLOOKUP(C822,customers!$A$1:$A$1001,customers!$B$1:$B$1001,,0)</f>
        <v>Eustace Stenton</v>
      </c>
      <c r="G822" s="2" t="str">
        <f>IF(_xlfn.XLOOKUP(C822,customers!$A$1:$A$1001,customers!$C$1:$C$1001,,0)=0,"",_xlfn.XLOOKUP(C822,customers!$A$1:$A$1001,customers!$C$1:$C$1001,,0))</f>
        <v>estentonms@google.it</v>
      </c>
      <c r="H822" s="2" t="str">
        <f>_xlfn.XLOOKUP(C822,customers!$A$1:$A$1001,customers!$G$1:$G$1001,,0)</f>
        <v>United States</v>
      </c>
      <c r="I822" t="str">
        <f>INDEX(products!$A$1:$G$49,MATCH(orders!$D822,products!$A$1:$A$49,0),MATCH(orders!I$1,products!$A$1:$G$1,0))</f>
        <v>Exc</v>
      </c>
      <c r="J822" t="str">
        <f>INDEX(products!$A$1:$G$49,MATCH(orders!$D822,products!$A$1:$A$49,0),MATCH(orders!J$1,products!$A$1:$G$1,0))</f>
        <v>M</v>
      </c>
      <c r="K822" s="7">
        <f>INDEX(products!$A$1:$G$49,MATCH(orders!$D822,products!$A$1:$A$49,0),MATCH(orders!K$1,products!$A$1:$G$1,0))</f>
        <v>1</v>
      </c>
      <c r="L822" s="4">
        <f>INDEX(products!$A$1:$G$49,MATCH(orders!$D822,products!$A$1:$A$49,0),MATCH(orders!L$1,products!$A$1:$G$1,0))</f>
        <v>13.75</v>
      </c>
      <c r="M822" s="4">
        <f t="shared" si="12"/>
        <v>55</v>
      </c>
      <c r="N822" t="str" cm="1">
        <f t="array" ref="N822">_xlfn.IFS(I822="Rob","Robusta",I822="Exc","Excelsa",I822="Ara","Arabica",I822="Lib","Liberica")</f>
        <v>Excelsa</v>
      </c>
      <c r="O822" t="str" cm="1">
        <f t="array" ref="O822">_xlfn.IFS(J822="M","Medium",J822="L","Large",J822="D","Dark")</f>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_xlfn.XLOOKUP(C823,customers!$A$1:$A$1001,customers!$B$1:$B$1001,,0)</f>
        <v>Ericka Tripp</v>
      </c>
      <c r="G823" s="2" t="str">
        <f>IF(_xlfn.XLOOKUP(C823,customers!$A$1:$A$1001,customers!$C$1:$C$1001,,0)=0,"",_xlfn.XLOOKUP(C823,customers!$A$1:$A$1001,customers!$C$1:$C$1001,,0))</f>
        <v>etrippmt@wp.com</v>
      </c>
      <c r="H823" s="2" t="str">
        <f>_xlfn.XLOOKUP(C823,customers!$A$1:$A$1001,customers!$G$1:$G$1001,,0)</f>
        <v>United States</v>
      </c>
      <c r="I823" t="str">
        <f>INDEX(products!$A$1:$G$49,MATCH(orders!$D823,products!$A$1:$A$49,0),MATCH(orders!I$1,products!$A$1:$G$1,0))</f>
        <v>Rob</v>
      </c>
      <c r="J823" t="str">
        <f>INDEX(products!$A$1:$G$49,MATCH(orders!$D823,products!$A$1:$A$49,0),MATCH(orders!J$1,products!$A$1:$G$1,0))</f>
        <v>D</v>
      </c>
      <c r="K823" s="7">
        <f>INDEX(products!$A$1:$G$49,MATCH(orders!$D823,products!$A$1:$A$49,0),MATCH(orders!K$1,products!$A$1:$G$1,0))</f>
        <v>0.5</v>
      </c>
      <c r="L823" s="4">
        <f>INDEX(products!$A$1:$G$49,MATCH(orders!$D823,products!$A$1:$A$49,0),MATCH(orders!L$1,products!$A$1:$G$1,0))</f>
        <v>5.3699999999999992</v>
      </c>
      <c r="M823" s="4">
        <f t="shared" si="12"/>
        <v>26.849999999999994</v>
      </c>
      <c r="N823" t="str" cm="1">
        <f t="array" ref="N823">_xlfn.IFS(I823="Rob","Robusta",I823="Exc","Excelsa",I823="Ara","Arabica",I823="Lib","Liberica")</f>
        <v>Robusta</v>
      </c>
      <c r="O823" t="str" cm="1">
        <f t="array" ref="O823">_xlfn.IFS(J823="M","Medium",J823="L","Large",J823="D","Dark")</f>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_xlfn.XLOOKUP(C824,customers!$A$1:$A$1001,customers!$B$1:$B$1001,,0)</f>
        <v>Lyndsey MacManus</v>
      </c>
      <c r="G824" s="2" t="str">
        <f>IF(_xlfn.XLOOKUP(C824,customers!$A$1:$A$1001,customers!$C$1:$C$1001,,0)=0,"",_xlfn.XLOOKUP(C824,customers!$A$1:$A$1001,customers!$C$1:$C$1001,,0))</f>
        <v>lmacmanusmu@imdb.com</v>
      </c>
      <c r="H824" s="2" t="str">
        <f>_xlfn.XLOOKUP(C824,customers!$A$1:$A$1001,customers!$G$1:$G$1001,,0)</f>
        <v>United States</v>
      </c>
      <c r="I824" t="str">
        <f>INDEX(products!$A$1:$G$49,MATCH(orders!$D824,products!$A$1:$A$49,0),MATCH(orders!I$1,products!$A$1:$G$1,0))</f>
        <v>Exc</v>
      </c>
      <c r="J824" t="str">
        <f>INDEX(products!$A$1:$G$49,MATCH(orders!$D824,products!$A$1:$A$49,0),MATCH(orders!J$1,products!$A$1:$G$1,0))</f>
        <v>L</v>
      </c>
      <c r="K824" s="7">
        <f>INDEX(products!$A$1:$G$49,MATCH(orders!$D824,products!$A$1:$A$49,0),MATCH(orders!K$1,products!$A$1:$G$1,0))</f>
        <v>2.5</v>
      </c>
      <c r="L824" s="4">
        <f>INDEX(products!$A$1:$G$49,MATCH(orders!$D824,products!$A$1:$A$49,0),MATCH(orders!L$1,products!$A$1:$G$1,0))</f>
        <v>34.154999999999994</v>
      </c>
      <c r="M824" s="4">
        <f t="shared" si="12"/>
        <v>136.61999999999998</v>
      </c>
      <c r="N824" t="str" cm="1">
        <f t="array" ref="N824">_xlfn.IFS(I824="Rob","Robusta",I824="Exc","Excelsa",I824="Ara","Arabica",I824="Lib","Liberica")</f>
        <v>Excelsa</v>
      </c>
      <c r="O824" t="str" cm="1">
        <f t="array" ref="O824">_xlfn.IFS(J824="M","Medium",J824="L","Large",J824="D","Dark")</f>
        <v>Large</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_xlfn.XLOOKUP(C825,customers!$A$1:$A$1001,customers!$B$1:$B$1001,,0)</f>
        <v>Tess Benediktovich</v>
      </c>
      <c r="G825" s="2" t="str">
        <f>IF(_xlfn.XLOOKUP(C825,customers!$A$1:$A$1001,customers!$C$1:$C$1001,,0)=0,"",_xlfn.XLOOKUP(C825,customers!$A$1:$A$1001,customers!$C$1:$C$1001,,0))</f>
        <v>tbenediktovichmv@ebay.com</v>
      </c>
      <c r="H825" s="2" t="str">
        <f>_xlfn.XLOOKUP(C825,customers!$A$1:$A$1001,customers!$G$1:$G$1001,,0)</f>
        <v>United States</v>
      </c>
      <c r="I825" t="str">
        <f>INDEX(products!$A$1:$G$49,MATCH(orders!$D825,products!$A$1:$A$49,0),MATCH(orders!I$1,products!$A$1:$G$1,0))</f>
        <v>Lib</v>
      </c>
      <c r="J825" t="str">
        <f>INDEX(products!$A$1:$G$49,MATCH(orders!$D825,products!$A$1:$A$49,0),MATCH(orders!J$1,products!$A$1:$G$1,0))</f>
        <v>L</v>
      </c>
      <c r="K825" s="7">
        <f>INDEX(products!$A$1:$G$49,MATCH(orders!$D825,products!$A$1:$A$49,0),MATCH(orders!K$1,products!$A$1:$G$1,0))</f>
        <v>1</v>
      </c>
      <c r="L825" s="4">
        <f>INDEX(products!$A$1:$G$49,MATCH(orders!$D825,products!$A$1:$A$49,0),MATCH(orders!L$1,products!$A$1:$G$1,0))</f>
        <v>15.85</v>
      </c>
      <c r="M825" s="4">
        <f t="shared" si="12"/>
        <v>47.55</v>
      </c>
      <c r="N825" t="str" cm="1">
        <f t="array" ref="N825">_xlfn.IFS(I825="Rob","Robusta",I825="Exc","Excelsa",I825="Ara","Arabica",I825="Lib","Liberica")</f>
        <v>Liberica</v>
      </c>
      <c r="O825" t="str" cm="1">
        <f t="array" ref="O825">_xlfn.IFS(J825="M","Medium",J825="L","Large",J825="D","Dark")</f>
        <v>Large</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_xlfn.XLOOKUP(C826,customers!$A$1:$A$1001,customers!$B$1:$B$1001,,0)</f>
        <v>Correy Bourner</v>
      </c>
      <c r="G826" s="2" t="str">
        <f>IF(_xlfn.XLOOKUP(C826,customers!$A$1:$A$1001,customers!$C$1:$C$1001,,0)=0,"",_xlfn.XLOOKUP(C826,customers!$A$1:$A$1001,customers!$C$1:$C$1001,,0))</f>
        <v>cbournermw@chronoengine.com</v>
      </c>
      <c r="H826" s="2" t="str">
        <f>_xlfn.XLOOKUP(C826,customers!$A$1:$A$1001,customers!$G$1:$G$1001,,0)</f>
        <v>United States</v>
      </c>
      <c r="I826" t="str">
        <f>INDEX(products!$A$1:$G$49,MATCH(orders!$D826,products!$A$1:$A$49,0),MATCH(orders!I$1,products!$A$1:$G$1,0))</f>
        <v>Ara</v>
      </c>
      <c r="J826" t="str">
        <f>INDEX(products!$A$1:$G$49,MATCH(orders!$D826,products!$A$1:$A$49,0),MATCH(orders!J$1,products!$A$1:$G$1,0))</f>
        <v>M</v>
      </c>
      <c r="K826" s="7">
        <f>INDEX(products!$A$1:$G$49,MATCH(orders!$D826,products!$A$1:$A$49,0),MATCH(orders!K$1,products!$A$1:$G$1,0))</f>
        <v>0.2</v>
      </c>
      <c r="L826" s="4">
        <f>INDEX(products!$A$1:$G$49,MATCH(orders!$D826,products!$A$1:$A$49,0),MATCH(orders!L$1,products!$A$1:$G$1,0))</f>
        <v>3.375</v>
      </c>
      <c r="M826" s="4">
        <f t="shared" si="12"/>
        <v>16.875</v>
      </c>
      <c r="N826" t="str" cm="1">
        <f t="array" ref="N826">_xlfn.IFS(I826="Rob","Robusta",I826="Exc","Excelsa",I826="Ara","Arabica",I826="Lib","Liberica")</f>
        <v>Arabica</v>
      </c>
      <c r="O826" t="str" cm="1">
        <f t="array" ref="O826">_xlfn.IFS(J826="M","Medium",J826="L","Large",J826="D","Dark")</f>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_xlfn.XLOOKUP(C827,customers!$A$1:$A$1001,customers!$B$1:$B$1001,,0)</f>
        <v>Odelia Skerme</v>
      </c>
      <c r="G827" s="2" t="str">
        <f>IF(_xlfn.XLOOKUP(C827,customers!$A$1:$A$1001,customers!$C$1:$C$1001,,0)=0,"",_xlfn.XLOOKUP(C827,customers!$A$1:$A$1001,customers!$C$1:$C$1001,,0))</f>
        <v>oskermen3@hatena.ne.jp</v>
      </c>
      <c r="H827" s="2" t="str">
        <f>_xlfn.XLOOKUP(C827,customers!$A$1:$A$1001,customers!$G$1:$G$1001,,0)</f>
        <v>United States</v>
      </c>
      <c r="I827" t="str">
        <f>INDEX(products!$A$1:$G$49,MATCH(orders!$D827,products!$A$1:$A$49,0),MATCH(orders!I$1,products!$A$1:$G$1,0))</f>
        <v>Ara</v>
      </c>
      <c r="J827" t="str">
        <f>INDEX(products!$A$1:$G$49,MATCH(orders!$D827,products!$A$1:$A$49,0),MATCH(orders!J$1,products!$A$1:$G$1,0))</f>
        <v>D</v>
      </c>
      <c r="K827" s="7">
        <f>INDEX(products!$A$1:$G$49,MATCH(orders!$D827,products!$A$1:$A$49,0),MATCH(orders!K$1,products!$A$1:$G$1,0))</f>
        <v>1</v>
      </c>
      <c r="L827" s="4">
        <f>INDEX(products!$A$1:$G$49,MATCH(orders!$D827,products!$A$1:$A$49,0),MATCH(orders!L$1,products!$A$1:$G$1,0))</f>
        <v>9.9499999999999993</v>
      </c>
      <c r="M827" s="4">
        <f t="shared" si="12"/>
        <v>29.849999999999998</v>
      </c>
      <c r="N827" t="str" cm="1">
        <f t="array" ref="N827">_xlfn.IFS(I827="Rob","Robusta",I827="Exc","Excelsa",I827="Ara","Arabica",I827="Lib","Liberica")</f>
        <v>Arabica</v>
      </c>
      <c r="O827" t="str" cm="1">
        <f t="array" ref="O827">_xlfn.IFS(J827="M","Medium",J827="L","Large",J827="D","Dark")</f>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_xlfn.XLOOKUP(C828,customers!$A$1:$A$1001,customers!$B$1:$B$1001,,0)</f>
        <v>Kandy Heddan</v>
      </c>
      <c r="G828" s="2" t="str">
        <f>IF(_xlfn.XLOOKUP(C828,customers!$A$1:$A$1001,customers!$C$1:$C$1001,,0)=0,"",_xlfn.XLOOKUP(C828,customers!$A$1:$A$1001,customers!$C$1:$C$1001,,0))</f>
        <v>kheddanmy@icq.com</v>
      </c>
      <c r="H828" s="2" t="str">
        <f>_xlfn.XLOOKUP(C828,customers!$A$1:$A$1001,customers!$G$1:$G$1001,,0)</f>
        <v>United States</v>
      </c>
      <c r="I828" t="str">
        <f>INDEX(products!$A$1:$G$49,MATCH(orders!$D828,products!$A$1:$A$49,0),MATCH(orders!I$1,products!$A$1:$G$1,0))</f>
        <v>Exc</v>
      </c>
      <c r="J828" t="str">
        <f>INDEX(products!$A$1:$G$49,MATCH(orders!$D828,products!$A$1:$A$49,0),MATCH(orders!J$1,products!$A$1:$G$1,0))</f>
        <v>M</v>
      </c>
      <c r="K828" s="7">
        <f>INDEX(products!$A$1:$G$49,MATCH(orders!$D828,products!$A$1:$A$49,0),MATCH(orders!K$1,products!$A$1:$G$1,0))</f>
        <v>0.5</v>
      </c>
      <c r="L828" s="4">
        <f>INDEX(products!$A$1:$G$49,MATCH(orders!$D828,products!$A$1:$A$49,0),MATCH(orders!L$1,products!$A$1:$G$1,0))</f>
        <v>8.25</v>
      </c>
      <c r="M828" s="4">
        <f t="shared" si="12"/>
        <v>41.25</v>
      </c>
      <c r="N828" t="str" cm="1">
        <f t="array" ref="N828">_xlfn.IFS(I828="Rob","Robusta",I828="Exc","Excelsa",I828="Ara","Arabica",I828="Lib","Liberica")</f>
        <v>Excelsa</v>
      </c>
      <c r="O828" t="str" cm="1">
        <f t="array" ref="O828">_xlfn.IFS(J828="M","Medium",J828="L","Large",J828="D","Dark")</f>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_xlfn.XLOOKUP(C829,customers!$A$1:$A$1001,customers!$B$1:$B$1001,,0)</f>
        <v>Ibby Charters</v>
      </c>
      <c r="G829" s="2" t="str">
        <f>IF(_xlfn.XLOOKUP(C829,customers!$A$1:$A$1001,customers!$C$1:$C$1001,,0)=0,"",_xlfn.XLOOKUP(C829,customers!$A$1:$A$1001,customers!$C$1:$C$1001,,0))</f>
        <v>ichartersmz@abc.net.au</v>
      </c>
      <c r="H829" s="2" t="str">
        <f>_xlfn.XLOOKUP(C829,customers!$A$1:$A$1001,customers!$G$1:$G$1001,,0)</f>
        <v>United States</v>
      </c>
      <c r="I829" t="str">
        <f>INDEX(products!$A$1:$G$49,MATCH(orders!$D829,products!$A$1:$A$49,0),MATCH(orders!I$1,products!$A$1:$G$1,0))</f>
        <v>Exc</v>
      </c>
      <c r="J829" t="str">
        <f>INDEX(products!$A$1:$G$49,MATCH(orders!$D829,products!$A$1:$A$49,0),MATCH(orders!J$1,products!$A$1:$G$1,0))</f>
        <v>M</v>
      </c>
      <c r="K829" s="7">
        <f>INDEX(products!$A$1:$G$49,MATCH(orders!$D829,products!$A$1:$A$49,0),MATCH(orders!K$1,products!$A$1:$G$1,0))</f>
        <v>0.2</v>
      </c>
      <c r="L829" s="4">
        <f>INDEX(products!$A$1:$G$49,MATCH(orders!$D829,products!$A$1:$A$49,0),MATCH(orders!L$1,products!$A$1:$G$1,0))</f>
        <v>4.125</v>
      </c>
      <c r="M829" s="4">
        <f t="shared" si="12"/>
        <v>20.625</v>
      </c>
      <c r="N829" t="str" cm="1">
        <f t="array" ref="N829">_xlfn.IFS(I829="Rob","Robusta",I829="Exc","Excelsa",I829="Ara","Arabica",I829="Lib","Liberica")</f>
        <v>Excelsa</v>
      </c>
      <c r="O829" t="str" cm="1">
        <f t="array" ref="O829">_xlfn.IFS(J829="M","Medium",J829="L","Large",J829="D","Dark")</f>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_xlfn.XLOOKUP(C830,customers!$A$1:$A$1001,customers!$B$1:$B$1001,,0)</f>
        <v>Adora Roubert</v>
      </c>
      <c r="G830" s="2" t="str">
        <f>IF(_xlfn.XLOOKUP(C830,customers!$A$1:$A$1001,customers!$C$1:$C$1001,,0)=0,"",_xlfn.XLOOKUP(C830,customers!$A$1:$A$1001,customers!$C$1:$C$1001,,0))</f>
        <v>aroubertn0@tmall.com</v>
      </c>
      <c r="H830" s="2" t="str">
        <f>_xlfn.XLOOKUP(C830,customers!$A$1:$A$1001,customers!$G$1:$G$1001,,0)</f>
        <v>United States</v>
      </c>
      <c r="I830" t="str">
        <f>INDEX(products!$A$1:$G$49,MATCH(orders!$D830,products!$A$1:$A$49,0),MATCH(orders!I$1,products!$A$1:$G$1,0))</f>
        <v>Ara</v>
      </c>
      <c r="J830" t="str">
        <f>INDEX(products!$A$1:$G$49,MATCH(orders!$D830,products!$A$1:$A$49,0),MATCH(orders!J$1,products!$A$1:$G$1,0))</f>
        <v>D</v>
      </c>
      <c r="K830" s="7">
        <f>INDEX(products!$A$1:$G$49,MATCH(orders!$D830,products!$A$1:$A$49,0),MATCH(orders!K$1,products!$A$1:$G$1,0))</f>
        <v>2.5</v>
      </c>
      <c r="L830" s="4">
        <f>INDEX(products!$A$1:$G$49,MATCH(orders!$D830,products!$A$1:$A$49,0),MATCH(orders!L$1,products!$A$1:$G$1,0))</f>
        <v>22.884999999999998</v>
      </c>
      <c r="M830" s="4">
        <f t="shared" si="12"/>
        <v>137.31</v>
      </c>
      <c r="N830" t="str" cm="1">
        <f t="array" ref="N830">_xlfn.IFS(I830="Rob","Robusta",I830="Exc","Excelsa",I830="Ara","Arabica",I830="Lib","Liberica")</f>
        <v>Arabica</v>
      </c>
      <c r="O830" t="str" cm="1">
        <f t="array" ref="O830">_xlfn.IFS(J830="M","Medium",J830="L","Large",J830="D","Dark")</f>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_xlfn.XLOOKUP(C831,customers!$A$1:$A$1001,customers!$B$1:$B$1001,,0)</f>
        <v>Hillel Mairs</v>
      </c>
      <c r="G831" s="2" t="str">
        <f>IF(_xlfn.XLOOKUP(C831,customers!$A$1:$A$1001,customers!$C$1:$C$1001,,0)=0,"",_xlfn.XLOOKUP(C831,customers!$A$1:$A$1001,customers!$C$1:$C$1001,,0))</f>
        <v>hmairsn1@so-net.ne.jp</v>
      </c>
      <c r="H831" s="2" t="str">
        <f>_xlfn.XLOOKUP(C831,customers!$A$1:$A$1001,customers!$G$1:$G$1001,,0)</f>
        <v>United States</v>
      </c>
      <c r="I831" t="str">
        <f>INDEX(products!$A$1:$G$49,MATCH(orders!$D831,products!$A$1:$A$49,0),MATCH(orders!I$1,products!$A$1:$G$1,0))</f>
        <v>Ara</v>
      </c>
      <c r="J831" t="str">
        <f>INDEX(products!$A$1:$G$49,MATCH(orders!$D831,products!$A$1:$A$49,0),MATCH(orders!J$1,products!$A$1:$G$1,0))</f>
        <v>D</v>
      </c>
      <c r="K831" s="7">
        <f>INDEX(products!$A$1:$G$49,MATCH(orders!$D831,products!$A$1:$A$49,0),MATCH(orders!K$1,products!$A$1:$G$1,0))</f>
        <v>0.2</v>
      </c>
      <c r="L831" s="4">
        <f>INDEX(products!$A$1:$G$49,MATCH(orders!$D831,products!$A$1:$A$49,0),MATCH(orders!L$1,products!$A$1:$G$1,0))</f>
        <v>2.9849999999999999</v>
      </c>
      <c r="M831" s="4">
        <f t="shared" si="12"/>
        <v>2.9849999999999999</v>
      </c>
      <c r="N831" t="str" cm="1">
        <f t="array" ref="N831">_xlfn.IFS(I831="Rob","Robusta",I831="Exc","Excelsa",I831="Ara","Arabica",I831="Lib","Liberica")</f>
        <v>Arabica</v>
      </c>
      <c r="O831" t="str" cm="1">
        <f t="array" ref="O831">_xlfn.IFS(J831="M","Medium",J831="L","Large",J831="D","Dark")</f>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_xlfn.XLOOKUP(C832,customers!$A$1:$A$1001,customers!$B$1:$B$1001,,0)</f>
        <v>Helaina Rainforth</v>
      </c>
      <c r="G832" s="2" t="str">
        <f>IF(_xlfn.XLOOKUP(C832,customers!$A$1:$A$1001,customers!$C$1:$C$1001,,0)=0,"",_xlfn.XLOOKUP(C832,customers!$A$1:$A$1001,customers!$C$1:$C$1001,,0))</f>
        <v>hrainforthn2@blog.com</v>
      </c>
      <c r="H832" s="2" t="str">
        <f>_xlfn.XLOOKUP(C832,customers!$A$1:$A$1001,customers!$G$1:$G$1001,,0)</f>
        <v>United States</v>
      </c>
      <c r="I832" t="str">
        <f>INDEX(products!$A$1:$G$49,MATCH(orders!$D832,products!$A$1:$A$49,0),MATCH(orders!I$1,products!$A$1:$G$1,0))</f>
        <v>Exc</v>
      </c>
      <c r="J832" t="str">
        <f>INDEX(products!$A$1:$G$49,MATCH(orders!$D832,products!$A$1:$A$49,0),MATCH(orders!J$1,products!$A$1:$G$1,0))</f>
        <v>M</v>
      </c>
      <c r="K832" s="7">
        <f>INDEX(products!$A$1:$G$49,MATCH(orders!$D832,products!$A$1:$A$49,0),MATCH(orders!K$1,products!$A$1:$G$1,0))</f>
        <v>1</v>
      </c>
      <c r="L832" s="4">
        <f>INDEX(products!$A$1:$G$49,MATCH(orders!$D832,products!$A$1:$A$49,0),MATCH(orders!L$1,products!$A$1:$G$1,0))</f>
        <v>13.75</v>
      </c>
      <c r="M832" s="4">
        <f t="shared" si="12"/>
        <v>27.5</v>
      </c>
      <c r="N832" t="str" cm="1">
        <f t="array" ref="N832">_xlfn.IFS(I832="Rob","Robusta",I832="Exc","Excelsa",I832="Ara","Arabica",I832="Lib","Liberica")</f>
        <v>Excelsa</v>
      </c>
      <c r="O832" t="str" cm="1">
        <f t="array" ref="O832">_xlfn.IFS(J832="M","Medium",J832="L","Large",J832="D","Dark")</f>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_xlfn.XLOOKUP(C833,customers!$A$1:$A$1001,customers!$B$1:$B$1001,,0)</f>
        <v>Helaina Rainforth</v>
      </c>
      <c r="G833" s="2" t="str">
        <f>IF(_xlfn.XLOOKUP(C833,customers!$A$1:$A$1001,customers!$C$1:$C$1001,,0)=0,"",_xlfn.XLOOKUP(C833,customers!$A$1:$A$1001,customers!$C$1:$C$1001,,0))</f>
        <v>hrainforthn2@blog.com</v>
      </c>
      <c r="H833" s="2" t="str">
        <f>_xlfn.XLOOKUP(C833,customers!$A$1:$A$1001,customers!$G$1:$G$1001,,0)</f>
        <v>United States</v>
      </c>
      <c r="I833" t="str">
        <f>INDEX(products!$A$1:$G$49,MATCH(orders!$D833,products!$A$1:$A$49,0),MATCH(orders!I$1,products!$A$1:$G$1,0))</f>
        <v>Ara</v>
      </c>
      <c r="J833" t="str">
        <f>INDEX(products!$A$1:$G$49,MATCH(orders!$D833,products!$A$1:$A$49,0),MATCH(orders!J$1,products!$A$1:$G$1,0))</f>
        <v>D</v>
      </c>
      <c r="K833" s="7">
        <f>INDEX(products!$A$1:$G$49,MATCH(orders!$D833,products!$A$1:$A$49,0),MATCH(orders!K$1,products!$A$1:$G$1,0))</f>
        <v>0.2</v>
      </c>
      <c r="L833" s="4">
        <f>INDEX(products!$A$1:$G$49,MATCH(orders!$D833,products!$A$1:$A$49,0),MATCH(orders!L$1,products!$A$1:$G$1,0))</f>
        <v>2.9849999999999999</v>
      </c>
      <c r="M833" s="4">
        <f t="shared" si="12"/>
        <v>5.97</v>
      </c>
      <c r="N833" t="str" cm="1">
        <f t="array" ref="N833">_xlfn.IFS(I833="Rob","Robusta",I833="Exc","Excelsa",I833="Ara","Arabica",I833="Lib","Liberica")</f>
        <v>Arabica</v>
      </c>
      <c r="O833" t="str" cm="1">
        <f t="array" ref="O833">_xlfn.IFS(J833="M","Medium",J833="L","Large",J833="D","Dark")</f>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_xlfn.XLOOKUP(C834,customers!$A$1:$A$1001,customers!$B$1:$B$1001,,0)</f>
        <v>Isac Jesper</v>
      </c>
      <c r="G834" s="2" t="str">
        <f>IF(_xlfn.XLOOKUP(C834,customers!$A$1:$A$1001,customers!$C$1:$C$1001,,0)=0,"",_xlfn.XLOOKUP(C834,customers!$A$1:$A$1001,customers!$C$1:$C$1001,,0))</f>
        <v>ijespern4@theglobeandmail.com</v>
      </c>
      <c r="H834" s="2" t="str">
        <f>_xlfn.XLOOKUP(C834,customers!$A$1:$A$1001,customers!$G$1:$G$1001,,0)</f>
        <v>United States</v>
      </c>
      <c r="I834" t="str">
        <f>INDEX(products!$A$1:$G$49,MATCH(orders!$D834,products!$A$1:$A$49,0),MATCH(orders!I$1,products!$A$1:$G$1,0))</f>
        <v>Rob</v>
      </c>
      <c r="J834" t="str">
        <f>INDEX(products!$A$1:$G$49,MATCH(orders!$D834,products!$A$1:$A$49,0),MATCH(orders!J$1,products!$A$1:$G$1,0))</f>
        <v>M</v>
      </c>
      <c r="K834" s="7">
        <f>INDEX(products!$A$1:$G$49,MATCH(orders!$D834,products!$A$1:$A$49,0),MATCH(orders!K$1,products!$A$1:$G$1,0))</f>
        <v>1</v>
      </c>
      <c r="L834" s="4">
        <f>INDEX(products!$A$1:$G$49,MATCH(orders!$D834,products!$A$1:$A$49,0),MATCH(orders!L$1,products!$A$1:$G$1,0))</f>
        <v>9.9499999999999993</v>
      </c>
      <c r="M834" s="4">
        <f t="shared" si="12"/>
        <v>59.699999999999996</v>
      </c>
      <c r="N834" t="str" cm="1">
        <f t="array" ref="N834">_xlfn.IFS(I834="Rob","Robusta",I834="Exc","Excelsa",I834="Ara","Arabica",I834="Lib","Liberica")</f>
        <v>Robusta</v>
      </c>
      <c r="O834" t="str" cm="1">
        <f t="array" ref="O834">_xlfn.IFS(J834="M","Medium",J834="L","Large",J834="D","Dark")</f>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_xlfn.XLOOKUP(C835,customers!$A$1:$A$1001,customers!$B$1:$B$1001,,0)</f>
        <v>Lenette Dwerryhouse</v>
      </c>
      <c r="G835" s="2" t="str">
        <f>IF(_xlfn.XLOOKUP(C835,customers!$A$1:$A$1001,customers!$C$1:$C$1001,,0)=0,"",_xlfn.XLOOKUP(C835,customers!$A$1:$A$1001,customers!$C$1:$C$1001,,0))</f>
        <v>ldwerryhousen5@gravatar.com</v>
      </c>
      <c r="H835" s="2" t="str">
        <f>_xlfn.XLOOKUP(C835,customers!$A$1:$A$1001,customers!$G$1:$G$1001,,0)</f>
        <v>United States</v>
      </c>
      <c r="I835" t="str">
        <f>INDEX(products!$A$1:$G$49,MATCH(orders!$D835,products!$A$1:$A$49,0),MATCH(orders!I$1,products!$A$1:$G$1,0))</f>
        <v>Rob</v>
      </c>
      <c r="J835" t="str">
        <f>INDEX(products!$A$1:$G$49,MATCH(orders!$D835,products!$A$1:$A$49,0),MATCH(orders!J$1,products!$A$1:$G$1,0))</f>
        <v>D</v>
      </c>
      <c r="K835" s="7">
        <f>INDEX(products!$A$1:$G$49,MATCH(orders!$D835,products!$A$1:$A$49,0),MATCH(orders!K$1,products!$A$1:$G$1,0))</f>
        <v>2.5</v>
      </c>
      <c r="L835" s="4">
        <f>INDEX(products!$A$1:$G$49,MATCH(orders!$D835,products!$A$1:$A$49,0),MATCH(orders!L$1,products!$A$1:$G$1,0))</f>
        <v>20.584999999999997</v>
      </c>
      <c r="M835" s="4">
        <f t="shared" ref="M835:M898" si="13">L835*E835</f>
        <v>82.339999999999989</v>
      </c>
      <c r="N835" t="str" cm="1">
        <f t="array" ref="N835">_xlfn.IFS(I835="Rob","Robusta",I835="Exc","Excelsa",I835="Ara","Arabica",I835="Lib","Liberica")</f>
        <v>Robusta</v>
      </c>
      <c r="O835" t="str" cm="1">
        <f t="array" ref="O835">_xlfn.IFS(J835="M","Medium",J835="L","Large",J835="D","Dark")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_xlfn.XLOOKUP(C836,customers!$A$1:$A$1001,customers!$B$1:$B$1001,,0)</f>
        <v>Nadeen Broomer</v>
      </c>
      <c r="G836" s="2" t="str">
        <f>IF(_xlfn.XLOOKUP(C836,customers!$A$1:$A$1001,customers!$C$1:$C$1001,,0)=0,"",_xlfn.XLOOKUP(C836,customers!$A$1:$A$1001,customers!$C$1:$C$1001,,0))</f>
        <v>nbroomern6@examiner.com</v>
      </c>
      <c r="H836" s="2" t="str">
        <f>_xlfn.XLOOKUP(C836,customers!$A$1:$A$1001,customers!$G$1:$G$1001,,0)</f>
        <v>United States</v>
      </c>
      <c r="I836" t="str">
        <f>INDEX(products!$A$1:$G$49,MATCH(orders!$D836,products!$A$1:$A$49,0),MATCH(orders!I$1,products!$A$1:$G$1,0))</f>
        <v>Ara</v>
      </c>
      <c r="J836" t="str">
        <f>INDEX(products!$A$1:$G$49,MATCH(orders!$D836,products!$A$1:$A$49,0),MATCH(orders!J$1,products!$A$1:$G$1,0))</f>
        <v>D</v>
      </c>
      <c r="K836" s="7">
        <f>INDEX(products!$A$1:$G$49,MATCH(orders!$D836,products!$A$1:$A$49,0),MATCH(orders!K$1,products!$A$1:$G$1,0))</f>
        <v>2.5</v>
      </c>
      <c r="L836" s="4">
        <f>INDEX(products!$A$1:$G$49,MATCH(orders!$D836,products!$A$1:$A$49,0),MATCH(orders!L$1,products!$A$1:$G$1,0))</f>
        <v>22.884999999999998</v>
      </c>
      <c r="M836" s="4">
        <f t="shared" si="13"/>
        <v>22.884999999999998</v>
      </c>
      <c r="N836" t="str" cm="1">
        <f t="array" ref="N836">_xlfn.IFS(I836="Rob","Robusta",I836="Exc","Excelsa",I836="Ara","Arabica",I836="Lib","Liberica")</f>
        <v>Arabica</v>
      </c>
      <c r="O836" t="str" cm="1">
        <f t="array" ref="O836">_xlfn.IFS(J836="M","Medium",J836="L","Large",J836="D","Dark")</f>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_xlfn.XLOOKUP(C837,customers!$A$1:$A$1001,customers!$B$1:$B$1001,,0)</f>
        <v>Konstantine Thoumasson</v>
      </c>
      <c r="G837" s="2" t="str">
        <f>IF(_xlfn.XLOOKUP(C837,customers!$A$1:$A$1001,customers!$C$1:$C$1001,,0)=0,"",_xlfn.XLOOKUP(C837,customers!$A$1:$A$1001,customers!$C$1:$C$1001,,0))</f>
        <v>kthoumassonn7@bloglovin.com</v>
      </c>
      <c r="H837" s="2" t="str">
        <f>_xlfn.XLOOKUP(C837,customers!$A$1:$A$1001,customers!$G$1:$G$1001,,0)</f>
        <v>United States</v>
      </c>
      <c r="I837" t="str">
        <f>INDEX(products!$A$1:$G$49,MATCH(orders!$D837,products!$A$1:$A$49,0),MATCH(orders!I$1,products!$A$1:$G$1,0))</f>
        <v>Exc</v>
      </c>
      <c r="J837" t="str">
        <f>INDEX(products!$A$1:$G$49,MATCH(orders!$D837,products!$A$1:$A$49,0),MATCH(orders!J$1,products!$A$1:$G$1,0))</f>
        <v>L</v>
      </c>
      <c r="K837" s="7">
        <f>INDEX(products!$A$1:$G$49,MATCH(orders!$D837,products!$A$1:$A$49,0),MATCH(orders!K$1,products!$A$1:$G$1,0))</f>
        <v>0.5</v>
      </c>
      <c r="L837" s="4">
        <f>INDEX(products!$A$1:$G$49,MATCH(orders!$D837,products!$A$1:$A$49,0),MATCH(orders!L$1,products!$A$1:$G$1,0))</f>
        <v>8.91</v>
      </c>
      <c r="M837" s="4">
        <f t="shared" si="13"/>
        <v>8.91</v>
      </c>
      <c r="N837" t="str" cm="1">
        <f t="array" ref="N837">_xlfn.IFS(I837="Rob","Robusta",I837="Exc","Excelsa",I837="Ara","Arabica",I837="Lib","Liberica")</f>
        <v>Excelsa</v>
      </c>
      <c r="O837" t="str" cm="1">
        <f t="array" ref="O837">_xlfn.IFS(J837="M","Medium",J837="L","Large",J837="D","Dark")</f>
        <v>Large</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_xlfn.XLOOKUP(C838,customers!$A$1:$A$1001,customers!$B$1:$B$1001,,0)</f>
        <v>Frans Habbergham</v>
      </c>
      <c r="G838" s="2" t="str">
        <f>IF(_xlfn.XLOOKUP(C838,customers!$A$1:$A$1001,customers!$C$1:$C$1001,,0)=0,"",_xlfn.XLOOKUP(C838,customers!$A$1:$A$1001,customers!$C$1:$C$1001,,0))</f>
        <v>fhabberghamn8@discovery.com</v>
      </c>
      <c r="H838" s="2" t="str">
        <f>_xlfn.XLOOKUP(C838,customers!$A$1:$A$1001,customers!$G$1:$G$1001,,0)</f>
        <v>United States</v>
      </c>
      <c r="I838" t="str">
        <f>INDEX(products!$A$1:$G$49,MATCH(orders!$D838,products!$A$1:$A$49,0),MATCH(orders!I$1,products!$A$1:$G$1,0))</f>
        <v>Ara</v>
      </c>
      <c r="J838" t="str">
        <f>INDEX(products!$A$1:$G$49,MATCH(orders!$D838,products!$A$1:$A$49,0),MATCH(orders!J$1,products!$A$1:$G$1,0))</f>
        <v>D</v>
      </c>
      <c r="K838" s="7">
        <f>INDEX(products!$A$1:$G$49,MATCH(orders!$D838,products!$A$1:$A$49,0),MATCH(orders!K$1,products!$A$1:$G$1,0))</f>
        <v>0.2</v>
      </c>
      <c r="L838" s="4">
        <f>INDEX(products!$A$1:$G$49,MATCH(orders!$D838,products!$A$1:$A$49,0),MATCH(orders!L$1,products!$A$1:$G$1,0))</f>
        <v>2.9849999999999999</v>
      </c>
      <c r="M838" s="4">
        <f t="shared" si="13"/>
        <v>11.94</v>
      </c>
      <c r="N838" t="str" cm="1">
        <f t="array" ref="N838">_xlfn.IFS(I838="Rob","Robusta",I838="Exc","Excelsa",I838="Ara","Arabica",I838="Lib","Liberica")</f>
        <v>Arabica</v>
      </c>
      <c r="O838" t="str" cm="1">
        <f t="array" ref="O838">_xlfn.IFS(J838="M","Medium",J838="L","Large",J838="D","Dark")</f>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_xlfn.XLOOKUP(C839,customers!$A$1:$A$1001,customers!$B$1:$B$1001,,0)</f>
        <v>Allis Wilmore</v>
      </c>
      <c r="G839" s="2" t="str">
        <f>IF(_xlfn.XLOOKUP(C839,customers!$A$1:$A$1001,customers!$C$1:$C$1001,,0)=0,"",_xlfn.XLOOKUP(C839,customers!$A$1:$A$1001,customers!$C$1:$C$1001,,0))</f>
        <v/>
      </c>
      <c r="H839" s="2" t="str">
        <f>_xlfn.XLOOKUP(C839,customers!$A$1:$A$1001,customers!$G$1:$G$1001,,0)</f>
        <v>United States</v>
      </c>
      <c r="I839" t="str">
        <f>INDEX(products!$A$1:$G$49,MATCH(orders!$D839,products!$A$1:$A$49,0),MATCH(orders!I$1,products!$A$1:$G$1,0))</f>
        <v>Lib</v>
      </c>
      <c r="J839" t="str">
        <f>INDEX(products!$A$1:$G$49,MATCH(orders!$D839,products!$A$1:$A$49,0),MATCH(orders!J$1,products!$A$1:$G$1,0))</f>
        <v>M</v>
      </c>
      <c r="K839" s="7">
        <f>INDEX(products!$A$1:$G$49,MATCH(orders!$D839,products!$A$1:$A$49,0),MATCH(orders!K$1,products!$A$1:$G$1,0))</f>
        <v>2.5</v>
      </c>
      <c r="L839" s="4">
        <f>INDEX(products!$A$1:$G$49,MATCH(orders!$D839,products!$A$1:$A$49,0),MATCH(orders!L$1,products!$A$1:$G$1,0))</f>
        <v>33.464999999999996</v>
      </c>
      <c r="M839" s="4">
        <f t="shared" si="13"/>
        <v>100.39499999999998</v>
      </c>
      <c r="N839" t="str" cm="1">
        <f t="array" ref="N839">_xlfn.IFS(I839="Rob","Robusta",I839="Exc","Excelsa",I839="Ara","Arabica",I839="Lib","Liberica")</f>
        <v>Liberica</v>
      </c>
      <c r="O839" t="str" cm="1">
        <f t="array" ref="O839">_xlfn.IFS(J839="M","Medium",J839="L","Large",J839="D","Dark")</f>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_xlfn.XLOOKUP(C840,customers!$A$1:$A$1001,customers!$B$1:$B$1001,,0)</f>
        <v>Romain Avrashin</v>
      </c>
      <c r="G840" s="2" t="str">
        <f>IF(_xlfn.XLOOKUP(C840,customers!$A$1:$A$1001,customers!$C$1:$C$1001,,0)=0,"",_xlfn.XLOOKUP(C840,customers!$A$1:$A$1001,customers!$C$1:$C$1001,,0))</f>
        <v>ravrashinna@tamu.edu</v>
      </c>
      <c r="H840" s="2" t="str">
        <f>_xlfn.XLOOKUP(C840,customers!$A$1:$A$1001,customers!$G$1:$G$1001,,0)</f>
        <v>United States</v>
      </c>
      <c r="I840" t="str">
        <f>INDEX(products!$A$1:$G$49,MATCH(orders!$D840,products!$A$1:$A$49,0),MATCH(orders!I$1,products!$A$1:$G$1,0))</f>
        <v>Ara</v>
      </c>
      <c r="J840" t="str">
        <f>INDEX(products!$A$1:$G$49,MATCH(orders!$D840,products!$A$1:$A$49,0),MATCH(orders!J$1,products!$A$1:$G$1,0))</f>
        <v>D</v>
      </c>
      <c r="K840" s="7">
        <f>INDEX(products!$A$1:$G$49,MATCH(orders!$D840,products!$A$1:$A$49,0),MATCH(orders!K$1,products!$A$1:$G$1,0))</f>
        <v>2.5</v>
      </c>
      <c r="L840" s="4">
        <f>INDEX(products!$A$1:$G$49,MATCH(orders!$D840,products!$A$1:$A$49,0),MATCH(orders!L$1,products!$A$1:$G$1,0))</f>
        <v>22.884999999999998</v>
      </c>
      <c r="M840" s="4">
        <f t="shared" si="13"/>
        <v>114.42499999999998</v>
      </c>
      <c r="N840" t="str" cm="1">
        <f t="array" ref="N840">_xlfn.IFS(I840="Rob","Robusta",I840="Exc","Excelsa",I840="Ara","Arabica",I840="Lib","Liberica")</f>
        <v>Arabica</v>
      </c>
      <c r="O840" t="str" cm="1">
        <f t="array" ref="O840">_xlfn.IFS(J840="M","Medium",J840="L","Large",J840="D","Dark")</f>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_xlfn.XLOOKUP(C841,customers!$A$1:$A$1001,customers!$B$1:$B$1001,,0)</f>
        <v>Miran Doidge</v>
      </c>
      <c r="G841" s="2" t="str">
        <f>IF(_xlfn.XLOOKUP(C841,customers!$A$1:$A$1001,customers!$C$1:$C$1001,,0)=0,"",_xlfn.XLOOKUP(C841,customers!$A$1:$A$1001,customers!$C$1:$C$1001,,0))</f>
        <v>mdoidgenb@etsy.com</v>
      </c>
      <c r="H841" s="2" t="str">
        <f>_xlfn.XLOOKUP(C841,customers!$A$1:$A$1001,customers!$G$1:$G$1001,,0)</f>
        <v>United States</v>
      </c>
      <c r="I841" t="str">
        <f>INDEX(products!$A$1:$G$49,MATCH(orders!$D841,products!$A$1:$A$49,0),MATCH(orders!I$1,products!$A$1:$G$1,0))</f>
        <v>Exc</v>
      </c>
      <c r="J841" t="str">
        <f>INDEX(products!$A$1:$G$49,MATCH(orders!$D841,products!$A$1:$A$49,0),MATCH(orders!J$1,products!$A$1:$G$1,0))</f>
        <v>M</v>
      </c>
      <c r="K841" s="7">
        <f>INDEX(products!$A$1:$G$49,MATCH(orders!$D841,products!$A$1:$A$49,0),MATCH(orders!K$1,products!$A$1:$G$1,0))</f>
        <v>0.5</v>
      </c>
      <c r="L841" s="4">
        <f>INDEX(products!$A$1:$G$49,MATCH(orders!$D841,products!$A$1:$A$49,0),MATCH(orders!L$1,products!$A$1:$G$1,0))</f>
        <v>8.25</v>
      </c>
      <c r="M841" s="4">
        <f t="shared" si="13"/>
        <v>41.25</v>
      </c>
      <c r="N841" t="str" cm="1">
        <f t="array" ref="N841">_xlfn.IFS(I841="Rob","Robusta",I841="Exc","Excelsa",I841="Ara","Arabica",I841="Lib","Liberica")</f>
        <v>Excelsa</v>
      </c>
      <c r="O841" t="str" cm="1">
        <f t="array" ref="O841">_xlfn.IFS(J841="M","Medium",J841="L","Large",J841="D","Dark")</f>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_xlfn.XLOOKUP(C842,customers!$A$1:$A$1001,customers!$B$1:$B$1001,,0)</f>
        <v>Janeva Edinboro</v>
      </c>
      <c r="G842" s="2" t="str">
        <f>IF(_xlfn.XLOOKUP(C842,customers!$A$1:$A$1001,customers!$C$1:$C$1001,,0)=0,"",_xlfn.XLOOKUP(C842,customers!$A$1:$A$1001,customers!$C$1:$C$1001,,0))</f>
        <v>jedinboronc@reverbnation.com</v>
      </c>
      <c r="H842" s="2" t="str">
        <f>_xlfn.XLOOKUP(C842,customers!$A$1:$A$1001,customers!$G$1:$G$1001,,0)</f>
        <v>United States</v>
      </c>
      <c r="I842" t="str">
        <f>INDEX(products!$A$1:$G$49,MATCH(orders!$D842,products!$A$1:$A$49,0),MATCH(orders!I$1,products!$A$1:$G$1,0))</f>
        <v>Rob</v>
      </c>
      <c r="J842" t="str">
        <f>INDEX(products!$A$1:$G$49,MATCH(orders!$D842,products!$A$1:$A$49,0),MATCH(orders!J$1,products!$A$1:$G$1,0))</f>
        <v>L</v>
      </c>
      <c r="K842" s="7">
        <f>INDEX(products!$A$1:$G$49,MATCH(orders!$D842,products!$A$1:$A$49,0),MATCH(orders!K$1,products!$A$1:$G$1,0))</f>
        <v>0.5</v>
      </c>
      <c r="L842" s="4">
        <f>INDEX(products!$A$1:$G$49,MATCH(orders!$D842,products!$A$1:$A$49,0),MATCH(orders!L$1,products!$A$1:$G$1,0))</f>
        <v>7.169999999999999</v>
      </c>
      <c r="M842" s="4">
        <f t="shared" si="13"/>
        <v>28.679999999999996</v>
      </c>
      <c r="N842" t="str" cm="1">
        <f t="array" ref="N842">_xlfn.IFS(I842="Rob","Robusta",I842="Exc","Excelsa",I842="Ara","Arabica",I842="Lib","Liberica")</f>
        <v>Robusta</v>
      </c>
      <c r="O842" t="str" cm="1">
        <f t="array" ref="O842">_xlfn.IFS(J842="M","Medium",J842="L","Large",J842="D","Dark")</f>
        <v>Large</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_xlfn.XLOOKUP(C843,customers!$A$1:$A$1001,customers!$B$1:$B$1001,,0)</f>
        <v>Trumaine Tewelson</v>
      </c>
      <c r="G843" s="2" t="str">
        <f>IF(_xlfn.XLOOKUP(C843,customers!$A$1:$A$1001,customers!$C$1:$C$1001,,0)=0,"",_xlfn.XLOOKUP(C843,customers!$A$1:$A$1001,customers!$C$1:$C$1001,,0))</f>
        <v>ttewelsonnd@cdbaby.com</v>
      </c>
      <c r="H843" s="2" t="str">
        <f>_xlfn.XLOOKUP(C843,customers!$A$1:$A$1001,customers!$G$1:$G$1001,,0)</f>
        <v>United States</v>
      </c>
      <c r="I843" t="str">
        <f>INDEX(products!$A$1:$G$49,MATCH(orders!$D843,products!$A$1:$A$49,0),MATCH(orders!I$1,products!$A$1:$G$1,0))</f>
        <v>Lib</v>
      </c>
      <c r="J843" t="str">
        <f>INDEX(products!$A$1:$G$49,MATCH(orders!$D843,products!$A$1:$A$49,0),MATCH(orders!J$1,products!$A$1:$G$1,0))</f>
        <v>M</v>
      </c>
      <c r="K843" s="7">
        <f>INDEX(products!$A$1:$G$49,MATCH(orders!$D843,products!$A$1:$A$49,0),MATCH(orders!K$1,products!$A$1:$G$1,0))</f>
        <v>0.2</v>
      </c>
      <c r="L843" s="4">
        <f>INDEX(products!$A$1:$G$49,MATCH(orders!$D843,products!$A$1:$A$49,0),MATCH(orders!L$1,products!$A$1:$G$1,0))</f>
        <v>4.3650000000000002</v>
      </c>
      <c r="M843" s="4">
        <f t="shared" si="13"/>
        <v>4.3650000000000002</v>
      </c>
      <c r="N843" t="str" cm="1">
        <f t="array" ref="N843">_xlfn.IFS(I843="Rob","Robusta",I843="Exc","Excelsa",I843="Ara","Arabica",I843="Lib","Liberica")</f>
        <v>Liberica</v>
      </c>
      <c r="O843" t="str" cm="1">
        <f t="array" ref="O843">_xlfn.IFS(J843="M","Medium",J843="L","Large",J843="D","Dark")</f>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_xlfn.XLOOKUP(C844,customers!$A$1:$A$1001,customers!$B$1:$B$1001,,0)</f>
        <v>Odelia Skerme</v>
      </c>
      <c r="G844" s="2" t="str">
        <f>IF(_xlfn.XLOOKUP(C844,customers!$A$1:$A$1001,customers!$C$1:$C$1001,,0)=0,"",_xlfn.XLOOKUP(C844,customers!$A$1:$A$1001,customers!$C$1:$C$1001,,0))</f>
        <v>oskermen3@hatena.ne.jp</v>
      </c>
      <c r="H844" s="2" t="str">
        <f>_xlfn.XLOOKUP(C844,customers!$A$1:$A$1001,customers!$G$1:$G$1001,,0)</f>
        <v>United States</v>
      </c>
      <c r="I844" t="str">
        <f>INDEX(products!$A$1:$G$49,MATCH(orders!$D844,products!$A$1:$A$49,0),MATCH(orders!I$1,products!$A$1:$G$1,0))</f>
        <v>Exc</v>
      </c>
      <c r="J844" t="str">
        <f>INDEX(products!$A$1:$G$49,MATCH(orders!$D844,products!$A$1:$A$49,0),MATCH(orders!J$1,products!$A$1:$G$1,0))</f>
        <v>M</v>
      </c>
      <c r="K844" s="7">
        <f>INDEX(products!$A$1:$G$49,MATCH(orders!$D844,products!$A$1:$A$49,0),MATCH(orders!K$1,products!$A$1:$G$1,0))</f>
        <v>0.2</v>
      </c>
      <c r="L844" s="4">
        <f>INDEX(products!$A$1:$G$49,MATCH(orders!$D844,products!$A$1:$A$49,0),MATCH(orders!L$1,products!$A$1:$G$1,0))</f>
        <v>4.125</v>
      </c>
      <c r="M844" s="4">
        <f t="shared" si="13"/>
        <v>8.25</v>
      </c>
      <c r="N844" t="str" cm="1">
        <f t="array" ref="N844">_xlfn.IFS(I844="Rob","Robusta",I844="Exc","Excelsa",I844="Ara","Arabica",I844="Lib","Liberica")</f>
        <v>Excelsa</v>
      </c>
      <c r="O844" t="str" cm="1">
        <f t="array" ref="O844">_xlfn.IFS(J844="M","Medium",J844="L","Large",J844="D","Dark")</f>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_xlfn.XLOOKUP(C845,customers!$A$1:$A$1001,customers!$B$1:$B$1001,,0)</f>
        <v>De Drewitt</v>
      </c>
      <c r="G845" s="2" t="str">
        <f>IF(_xlfn.XLOOKUP(C845,customers!$A$1:$A$1001,customers!$C$1:$C$1001,,0)=0,"",_xlfn.XLOOKUP(C845,customers!$A$1:$A$1001,customers!$C$1:$C$1001,,0))</f>
        <v>ddrewittnf@mapquest.com</v>
      </c>
      <c r="H845" s="2" t="str">
        <f>_xlfn.XLOOKUP(C845,customers!$A$1:$A$1001,customers!$G$1:$G$1001,,0)</f>
        <v>United States</v>
      </c>
      <c r="I845" t="str">
        <f>INDEX(products!$A$1:$G$49,MATCH(orders!$D845,products!$A$1:$A$49,0),MATCH(orders!I$1,products!$A$1:$G$1,0))</f>
        <v>Exc</v>
      </c>
      <c r="J845" t="str">
        <f>INDEX(products!$A$1:$G$49,MATCH(orders!$D845,products!$A$1:$A$49,0),MATCH(orders!J$1,products!$A$1:$G$1,0))</f>
        <v>M</v>
      </c>
      <c r="K845" s="7">
        <f>INDEX(products!$A$1:$G$49,MATCH(orders!$D845,products!$A$1:$A$49,0),MATCH(orders!K$1,products!$A$1:$G$1,0))</f>
        <v>0.2</v>
      </c>
      <c r="L845" s="4">
        <f>INDEX(products!$A$1:$G$49,MATCH(orders!$D845,products!$A$1:$A$49,0),MATCH(orders!L$1,products!$A$1:$G$1,0))</f>
        <v>4.125</v>
      </c>
      <c r="M845" s="4">
        <f t="shared" si="13"/>
        <v>8.25</v>
      </c>
      <c r="N845" t="str" cm="1">
        <f t="array" ref="N845">_xlfn.IFS(I845="Rob","Robusta",I845="Exc","Excelsa",I845="Ara","Arabica",I845="Lib","Liberica")</f>
        <v>Excelsa</v>
      </c>
      <c r="O845" t="str" cm="1">
        <f t="array" ref="O845">_xlfn.IFS(J845="M","Medium",J845="L","Large",J845="D","Dark")</f>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_xlfn.XLOOKUP(C846,customers!$A$1:$A$1001,customers!$B$1:$B$1001,,0)</f>
        <v>Adelheid Gladhill</v>
      </c>
      <c r="G846" s="2" t="str">
        <f>IF(_xlfn.XLOOKUP(C846,customers!$A$1:$A$1001,customers!$C$1:$C$1001,,0)=0,"",_xlfn.XLOOKUP(C846,customers!$A$1:$A$1001,customers!$C$1:$C$1001,,0))</f>
        <v>agladhillng@stanford.edu</v>
      </c>
      <c r="H846" s="2" t="str">
        <f>_xlfn.XLOOKUP(C846,customers!$A$1:$A$1001,customers!$G$1:$G$1001,,0)</f>
        <v>United States</v>
      </c>
      <c r="I846" t="str">
        <f>INDEX(products!$A$1:$G$49,MATCH(orders!$D846,products!$A$1:$A$49,0),MATCH(orders!I$1,products!$A$1:$G$1,0))</f>
        <v>Ara</v>
      </c>
      <c r="J846" t="str">
        <f>INDEX(products!$A$1:$G$49,MATCH(orders!$D846,products!$A$1:$A$49,0),MATCH(orders!J$1,products!$A$1:$G$1,0))</f>
        <v>D</v>
      </c>
      <c r="K846" s="7">
        <f>INDEX(products!$A$1:$G$49,MATCH(orders!$D846,products!$A$1:$A$49,0),MATCH(orders!K$1,products!$A$1:$G$1,0))</f>
        <v>0.5</v>
      </c>
      <c r="L846" s="4">
        <f>INDEX(products!$A$1:$G$49,MATCH(orders!$D846,products!$A$1:$A$49,0),MATCH(orders!L$1,products!$A$1:$G$1,0))</f>
        <v>5.97</v>
      </c>
      <c r="M846" s="4">
        <f t="shared" si="13"/>
        <v>35.82</v>
      </c>
      <c r="N846" t="str" cm="1">
        <f t="array" ref="N846">_xlfn.IFS(I846="Rob","Robusta",I846="Exc","Excelsa",I846="Ara","Arabica",I846="Lib","Liberica")</f>
        <v>Arabica</v>
      </c>
      <c r="O846" t="str" cm="1">
        <f t="array" ref="O846">_xlfn.IFS(J846="M","Medium",J846="L","Large",J846="D","Dark")</f>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_xlfn.XLOOKUP(C847,customers!$A$1:$A$1001,customers!$B$1:$B$1001,,0)</f>
        <v>Murielle Lorinez</v>
      </c>
      <c r="G847" s="2" t="str">
        <f>IF(_xlfn.XLOOKUP(C847,customers!$A$1:$A$1001,customers!$C$1:$C$1001,,0)=0,"",_xlfn.XLOOKUP(C847,customers!$A$1:$A$1001,customers!$C$1:$C$1001,,0))</f>
        <v>mlorineznh@whitehouse.gov</v>
      </c>
      <c r="H847" s="2" t="str">
        <f>_xlfn.XLOOKUP(C847,customers!$A$1:$A$1001,customers!$G$1:$G$1001,,0)</f>
        <v>United States</v>
      </c>
      <c r="I847" t="str">
        <f>INDEX(products!$A$1:$G$49,MATCH(orders!$D847,products!$A$1:$A$49,0),MATCH(orders!I$1,products!$A$1:$G$1,0))</f>
        <v>Exc</v>
      </c>
      <c r="J847" t="str">
        <f>INDEX(products!$A$1:$G$49,MATCH(orders!$D847,products!$A$1:$A$49,0),MATCH(orders!J$1,products!$A$1:$G$1,0))</f>
        <v>D</v>
      </c>
      <c r="K847" s="7">
        <f>INDEX(products!$A$1:$G$49,MATCH(orders!$D847,products!$A$1:$A$49,0),MATCH(orders!K$1,products!$A$1:$G$1,0))</f>
        <v>2.5</v>
      </c>
      <c r="L847" s="4">
        <f>INDEX(products!$A$1:$G$49,MATCH(orders!$D847,products!$A$1:$A$49,0),MATCH(orders!L$1,products!$A$1:$G$1,0))</f>
        <v>27.945</v>
      </c>
      <c r="M847" s="4">
        <f t="shared" si="13"/>
        <v>167.67000000000002</v>
      </c>
      <c r="N847" t="str" cm="1">
        <f t="array" ref="N847">_xlfn.IFS(I847="Rob","Robusta",I847="Exc","Excelsa",I847="Ara","Arabica",I847="Lib","Liberica")</f>
        <v>Excelsa</v>
      </c>
      <c r="O847" t="str" cm="1">
        <f t="array" ref="O847">_xlfn.IFS(J847="M","Medium",J847="L","Large",J847="D","Dark")</f>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_xlfn.XLOOKUP(C848,customers!$A$1:$A$1001,customers!$B$1:$B$1001,,0)</f>
        <v>Edin Mathe</v>
      </c>
      <c r="G848" s="2" t="str">
        <f>IF(_xlfn.XLOOKUP(C848,customers!$A$1:$A$1001,customers!$C$1:$C$1001,,0)=0,"",_xlfn.XLOOKUP(C848,customers!$A$1:$A$1001,customers!$C$1:$C$1001,,0))</f>
        <v/>
      </c>
      <c r="H848" s="2" t="str">
        <f>_xlfn.XLOOKUP(C848,customers!$A$1:$A$1001,customers!$G$1:$G$1001,,0)</f>
        <v>United States</v>
      </c>
      <c r="I848" t="str">
        <f>INDEX(products!$A$1:$G$49,MATCH(orders!$D848,products!$A$1:$A$49,0),MATCH(orders!I$1,products!$A$1:$G$1,0))</f>
        <v>Ara</v>
      </c>
      <c r="J848" t="str">
        <f>INDEX(products!$A$1:$G$49,MATCH(orders!$D848,products!$A$1:$A$49,0),MATCH(orders!J$1,products!$A$1:$G$1,0))</f>
        <v>M</v>
      </c>
      <c r="K848" s="7">
        <f>INDEX(products!$A$1:$G$49,MATCH(orders!$D848,products!$A$1:$A$49,0),MATCH(orders!K$1,products!$A$1:$G$1,0))</f>
        <v>2.5</v>
      </c>
      <c r="L848" s="4">
        <f>INDEX(products!$A$1:$G$49,MATCH(orders!$D848,products!$A$1:$A$49,0),MATCH(orders!L$1,products!$A$1:$G$1,0))</f>
        <v>25.874999999999996</v>
      </c>
      <c r="M848" s="4">
        <f t="shared" si="13"/>
        <v>51.749999999999993</v>
      </c>
      <c r="N848" t="str" cm="1">
        <f t="array" ref="N848">_xlfn.IFS(I848="Rob","Robusta",I848="Exc","Excelsa",I848="Ara","Arabica",I848="Lib","Liberica")</f>
        <v>Arabica</v>
      </c>
      <c r="O848" t="str" cm="1">
        <f t="array" ref="O848">_xlfn.IFS(J848="M","Medium",J848="L","Large",J848="D","Dark")</f>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_xlfn.XLOOKUP(C849,customers!$A$1:$A$1001,customers!$B$1:$B$1001,,0)</f>
        <v>Mordy Van Der Vlies</v>
      </c>
      <c r="G849" s="2" t="str">
        <f>IF(_xlfn.XLOOKUP(C849,customers!$A$1:$A$1001,customers!$C$1:$C$1001,,0)=0,"",_xlfn.XLOOKUP(C849,customers!$A$1:$A$1001,customers!$C$1:$C$1001,,0))</f>
        <v>mvannj@wikipedia.org</v>
      </c>
      <c r="H849" s="2" t="str">
        <f>_xlfn.XLOOKUP(C849,customers!$A$1:$A$1001,customers!$G$1:$G$1001,,0)</f>
        <v>United States</v>
      </c>
      <c r="I849" t="str">
        <f>INDEX(products!$A$1:$G$49,MATCH(orders!$D849,products!$A$1:$A$49,0),MATCH(orders!I$1,products!$A$1:$G$1,0))</f>
        <v>Ara</v>
      </c>
      <c r="J849" t="str">
        <f>INDEX(products!$A$1:$G$49,MATCH(orders!$D849,products!$A$1:$A$49,0),MATCH(orders!J$1,products!$A$1:$G$1,0))</f>
        <v>D</v>
      </c>
      <c r="K849" s="7">
        <f>INDEX(products!$A$1:$G$49,MATCH(orders!$D849,products!$A$1:$A$49,0),MATCH(orders!K$1,products!$A$1:$G$1,0))</f>
        <v>0.2</v>
      </c>
      <c r="L849" s="4">
        <f>INDEX(products!$A$1:$G$49,MATCH(orders!$D849,products!$A$1:$A$49,0),MATCH(orders!L$1,products!$A$1:$G$1,0))</f>
        <v>2.9849999999999999</v>
      </c>
      <c r="M849" s="4">
        <f t="shared" si="13"/>
        <v>8.9550000000000001</v>
      </c>
      <c r="N849" t="str" cm="1">
        <f t="array" ref="N849">_xlfn.IFS(I849="Rob","Robusta",I849="Exc","Excelsa",I849="Ara","Arabica",I849="Lib","Liberica")</f>
        <v>Arabica</v>
      </c>
      <c r="O849" t="str" cm="1">
        <f t="array" ref="O849">_xlfn.IFS(J849="M","Medium",J849="L","Large",J849="D","Dark")</f>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_xlfn.XLOOKUP(C850,customers!$A$1:$A$1001,customers!$B$1:$B$1001,,0)</f>
        <v>Spencer Wastell</v>
      </c>
      <c r="G850" s="2" t="str">
        <f>IF(_xlfn.XLOOKUP(C850,customers!$A$1:$A$1001,customers!$C$1:$C$1001,,0)=0,"",_xlfn.XLOOKUP(C850,customers!$A$1:$A$1001,customers!$C$1:$C$1001,,0))</f>
        <v/>
      </c>
      <c r="H850" s="2" t="str">
        <f>_xlfn.XLOOKUP(C850,customers!$A$1:$A$1001,customers!$G$1:$G$1001,,0)</f>
        <v>United States</v>
      </c>
      <c r="I850" t="str">
        <f>INDEX(products!$A$1:$G$49,MATCH(orders!$D850,products!$A$1:$A$49,0),MATCH(orders!I$1,products!$A$1:$G$1,0))</f>
        <v>Exc</v>
      </c>
      <c r="J850" t="str">
        <f>INDEX(products!$A$1:$G$49,MATCH(orders!$D850,products!$A$1:$A$49,0),MATCH(orders!J$1,products!$A$1:$G$1,0))</f>
        <v>L</v>
      </c>
      <c r="K850" s="7">
        <f>INDEX(products!$A$1:$G$49,MATCH(orders!$D850,products!$A$1:$A$49,0),MATCH(orders!K$1,products!$A$1:$G$1,0))</f>
        <v>0.5</v>
      </c>
      <c r="L850" s="4">
        <f>INDEX(products!$A$1:$G$49,MATCH(orders!$D850,products!$A$1:$A$49,0),MATCH(orders!L$1,products!$A$1:$G$1,0))</f>
        <v>8.91</v>
      </c>
      <c r="M850" s="4">
        <f t="shared" si="13"/>
        <v>53.46</v>
      </c>
      <c r="N850" t="str" cm="1">
        <f t="array" ref="N850">_xlfn.IFS(I850="Rob","Robusta",I850="Exc","Excelsa",I850="Ara","Arabica",I850="Lib","Liberica")</f>
        <v>Excelsa</v>
      </c>
      <c r="O850" t="str" cm="1">
        <f t="array" ref="O850">_xlfn.IFS(J850="M","Medium",J850="L","Large",J850="D","Dark")</f>
        <v>Large</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_xlfn.XLOOKUP(C851,customers!$A$1:$A$1001,customers!$B$1:$B$1001,,0)</f>
        <v>Jemimah Ethelston</v>
      </c>
      <c r="G851" s="2" t="str">
        <f>IF(_xlfn.XLOOKUP(C851,customers!$A$1:$A$1001,customers!$C$1:$C$1001,,0)=0,"",_xlfn.XLOOKUP(C851,customers!$A$1:$A$1001,customers!$C$1:$C$1001,,0))</f>
        <v>jethelstonnl@creativecommons.org</v>
      </c>
      <c r="H851" s="2" t="str">
        <f>_xlfn.XLOOKUP(C851,customers!$A$1:$A$1001,customers!$G$1:$G$1001,,0)</f>
        <v>United States</v>
      </c>
      <c r="I851" t="str">
        <f>INDEX(products!$A$1:$G$49,MATCH(orders!$D851,products!$A$1:$A$49,0),MATCH(orders!I$1,products!$A$1:$G$1,0))</f>
        <v>Ara</v>
      </c>
      <c r="J851" t="str">
        <f>INDEX(products!$A$1:$G$49,MATCH(orders!$D851,products!$A$1:$A$49,0),MATCH(orders!J$1,products!$A$1:$G$1,0))</f>
        <v>L</v>
      </c>
      <c r="K851" s="7">
        <f>INDEX(products!$A$1:$G$49,MATCH(orders!$D851,products!$A$1:$A$49,0),MATCH(orders!K$1,products!$A$1:$G$1,0))</f>
        <v>0.2</v>
      </c>
      <c r="L851" s="4">
        <f>INDEX(products!$A$1:$G$49,MATCH(orders!$D851,products!$A$1:$A$49,0),MATCH(orders!L$1,products!$A$1:$G$1,0))</f>
        <v>3.8849999999999998</v>
      </c>
      <c r="M851" s="4">
        <f t="shared" si="13"/>
        <v>23.31</v>
      </c>
      <c r="N851" t="str" cm="1">
        <f t="array" ref="N851">_xlfn.IFS(I851="Rob","Robusta",I851="Exc","Excelsa",I851="Ara","Arabica",I851="Lib","Liberica")</f>
        <v>Arabica</v>
      </c>
      <c r="O851" t="str" cm="1">
        <f t="array" ref="O851">_xlfn.IFS(J851="M","Medium",J851="L","Large",J851="D","Dark")</f>
        <v>Large</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_xlfn.XLOOKUP(C852,customers!$A$1:$A$1001,customers!$B$1:$B$1001,,0)</f>
        <v>Jemimah Ethelston</v>
      </c>
      <c r="G852" s="2" t="str">
        <f>IF(_xlfn.XLOOKUP(C852,customers!$A$1:$A$1001,customers!$C$1:$C$1001,,0)=0,"",_xlfn.XLOOKUP(C852,customers!$A$1:$A$1001,customers!$C$1:$C$1001,,0))</f>
        <v>jethelstonnl@creativecommons.org</v>
      </c>
      <c r="H852" s="2" t="str">
        <f>_xlfn.XLOOKUP(C852,customers!$A$1:$A$1001,customers!$G$1:$G$1001,,0)</f>
        <v>United States</v>
      </c>
      <c r="I852" t="str">
        <f>INDEX(products!$A$1:$G$49,MATCH(orders!$D852,products!$A$1:$A$49,0),MATCH(orders!I$1,products!$A$1:$G$1,0))</f>
        <v>Ara</v>
      </c>
      <c r="J852" t="str">
        <f>INDEX(products!$A$1:$G$49,MATCH(orders!$D852,products!$A$1:$A$49,0),MATCH(orders!J$1,products!$A$1:$G$1,0))</f>
        <v>M</v>
      </c>
      <c r="K852" s="7">
        <f>INDEX(products!$A$1:$G$49,MATCH(orders!$D852,products!$A$1:$A$49,0),MATCH(orders!K$1,products!$A$1:$G$1,0))</f>
        <v>0.2</v>
      </c>
      <c r="L852" s="4">
        <f>INDEX(products!$A$1:$G$49,MATCH(orders!$D852,products!$A$1:$A$49,0),MATCH(orders!L$1,products!$A$1:$G$1,0))</f>
        <v>3.375</v>
      </c>
      <c r="M852" s="4">
        <f t="shared" si="13"/>
        <v>6.75</v>
      </c>
      <c r="N852" t="str" cm="1">
        <f t="array" ref="N852">_xlfn.IFS(I852="Rob","Robusta",I852="Exc","Excelsa",I852="Ara","Arabica",I852="Lib","Liberica")</f>
        <v>Arabica</v>
      </c>
      <c r="O852" t="str" cm="1">
        <f t="array" ref="O852">_xlfn.IFS(J852="M","Medium",J852="L","Large",J852="D","Dark")</f>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_xlfn.XLOOKUP(C853,customers!$A$1:$A$1001,customers!$B$1:$B$1001,,0)</f>
        <v>Perice Eberz</v>
      </c>
      <c r="G853" s="2" t="str">
        <f>IF(_xlfn.XLOOKUP(C853,customers!$A$1:$A$1001,customers!$C$1:$C$1001,,0)=0,"",_xlfn.XLOOKUP(C853,customers!$A$1:$A$1001,customers!$C$1:$C$1001,,0))</f>
        <v>peberznn@woothemes.com</v>
      </c>
      <c r="H853" s="2" t="str">
        <f>_xlfn.XLOOKUP(C853,customers!$A$1:$A$1001,customers!$G$1:$G$1001,,0)</f>
        <v>United States</v>
      </c>
      <c r="I853" t="str">
        <f>INDEX(products!$A$1:$G$49,MATCH(orders!$D853,products!$A$1:$A$49,0),MATCH(orders!I$1,products!$A$1:$G$1,0))</f>
        <v>Lib</v>
      </c>
      <c r="J853" t="str">
        <f>INDEX(products!$A$1:$G$49,MATCH(orders!$D853,products!$A$1:$A$49,0),MATCH(orders!J$1,products!$A$1:$G$1,0))</f>
        <v>D</v>
      </c>
      <c r="K853" s="7">
        <f>INDEX(products!$A$1:$G$49,MATCH(orders!$D853,products!$A$1:$A$49,0),MATCH(orders!K$1,products!$A$1:$G$1,0))</f>
        <v>0.5</v>
      </c>
      <c r="L853" s="4">
        <f>INDEX(products!$A$1:$G$49,MATCH(orders!$D853,products!$A$1:$A$49,0),MATCH(orders!L$1,products!$A$1:$G$1,0))</f>
        <v>7.77</v>
      </c>
      <c r="M853" s="4">
        <f t="shared" si="13"/>
        <v>7.77</v>
      </c>
      <c r="N853" t="str" cm="1">
        <f t="array" ref="N853">_xlfn.IFS(I853="Rob","Robusta",I853="Exc","Excelsa",I853="Ara","Arabica",I853="Lib","Liberica")</f>
        <v>Liberica</v>
      </c>
      <c r="O853" t="str" cm="1">
        <f t="array" ref="O853">_xlfn.IFS(J853="M","Medium",J853="L","Large",J853="D","Dark")</f>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_xlfn.XLOOKUP(C854,customers!$A$1:$A$1001,customers!$B$1:$B$1001,,0)</f>
        <v>Bear Gaish</v>
      </c>
      <c r="G854" s="2" t="str">
        <f>IF(_xlfn.XLOOKUP(C854,customers!$A$1:$A$1001,customers!$C$1:$C$1001,,0)=0,"",_xlfn.XLOOKUP(C854,customers!$A$1:$A$1001,customers!$C$1:$C$1001,,0))</f>
        <v>bgaishno@altervista.org</v>
      </c>
      <c r="H854" s="2" t="str">
        <f>_xlfn.XLOOKUP(C854,customers!$A$1:$A$1001,customers!$G$1:$G$1001,,0)</f>
        <v>United States</v>
      </c>
      <c r="I854" t="str">
        <f>INDEX(products!$A$1:$G$49,MATCH(orders!$D854,products!$A$1:$A$49,0),MATCH(orders!I$1,products!$A$1:$G$1,0))</f>
        <v>Lib</v>
      </c>
      <c r="J854" t="str">
        <f>INDEX(products!$A$1:$G$49,MATCH(orders!$D854,products!$A$1:$A$49,0),MATCH(orders!J$1,products!$A$1:$G$1,0))</f>
        <v>D</v>
      </c>
      <c r="K854" s="7">
        <f>INDEX(products!$A$1:$G$49,MATCH(orders!$D854,products!$A$1:$A$49,0),MATCH(orders!K$1,products!$A$1:$G$1,0))</f>
        <v>2.5</v>
      </c>
      <c r="L854" s="4">
        <f>INDEX(products!$A$1:$G$49,MATCH(orders!$D854,products!$A$1:$A$49,0),MATCH(orders!L$1,products!$A$1:$G$1,0))</f>
        <v>29.784999999999997</v>
      </c>
      <c r="M854" s="4">
        <f t="shared" si="13"/>
        <v>119.13999999999999</v>
      </c>
      <c r="N854" t="str" cm="1">
        <f t="array" ref="N854">_xlfn.IFS(I854="Rob","Robusta",I854="Exc","Excelsa",I854="Ara","Arabica",I854="Lib","Liberica")</f>
        <v>Liberica</v>
      </c>
      <c r="O854" t="str" cm="1">
        <f t="array" ref="O854">_xlfn.IFS(J854="M","Medium",J854="L","Large",J854="D","Dark")</f>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_xlfn.XLOOKUP(C855,customers!$A$1:$A$1001,customers!$B$1:$B$1001,,0)</f>
        <v>Lynnea Danton</v>
      </c>
      <c r="G855" s="2" t="str">
        <f>IF(_xlfn.XLOOKUP(C855,customers!$A$1:$A$1001,customers!$C$1:$C$1001,,0)=0,"",_xlfn.XLOOKUP(C855,customers!$A$1:$A$1001,customers!$C$1:$C$1001,,0))</f>
        <v>ldantonnp@miitbeian.gov.cn</v>
      </c>
      <c r="H855" s="2" t="str">
        <f>_xlfn.XLOOKUP(C855,customers!$A$1:$A$1001,customers!$G$1:$G$1001,,0)</f>
        <v>United States</v>
      </c>
      <c r="I855" t="str">
        <f>INDEX(products!$A$1:$G$49,MATCH(orders!$D855,products!$A$1:$A$49,0),MATCH(orders!I$1,products!$A$1:$G$1,0))</f>
        <v>Ara</v>
      </c>
      <c r="J855" t="str">
        <f>INDEX(products!$A$1:$G$49,MATCH(orders!$D855,products!$A$1:$A$49,0),MATCH(orders!J$1,products!$A$1:$G$1,0))</f>
        <v>D</v>
      </c>
      <c r="K855" s="7">
        <f>INDEX(products!$A$1:$G$49,MATCH(orders!$D855,products!$A$1:$A$49,0),MATCH(orders!K$1,products!$A$1:$G$1,0))</f>
        <v>1</v>
      </c>
      <c r="L855" s="4">
        <f>INDEX(products!$A$1:$G$49,MATCH(orders!$D855,products!$A$1:$A$49,0),MATCH(orders!L$1,products!$A$1:$G$1,0))</f>
        <v>9.9499999999999993</v>
      </c>
      <c r="M855" s="4">
        <f t="shared" si="13"/>
        <v>19.899999999999999</v>
      </c>
      <c r="N855" t="str" cm="1">
        <f t="array" ref="N855">_xlfn.IFS(I855="Rob","Robusta",I855="Exc","Excelsa",I855="Ara","Arabica",I855="Lib","Liberica")</f>
        <v>Arabica</v>
      </c>
      <c r="O855" t="str" cm="1">
        <f t="array" ref="O855">_xlfn.IFS(J855="M","Medium",J855="L","Large",J855="D","Dark")</f>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_xlfn.XLOOKUP(C856,customers!$A$1:$A$1001,customers!$B$1:$B$1001,,0)</f>
        <v>Skipton Morrall</v>
      </c>
      <c r="G856" s="2" t="str">
        <f>IF(_xlfn.XLOOKUP(C856,customers!$A$1:$A$1001,customers!$C$1:$C$1001,,0)=0,"",_xlfn.XLOOKUP(C856,customers!$A$1:$A$1001,customers!$C$1:$C$1001,,0))</f>
        <v>smorrallnq@answers.com</v>
      </c>
      <c r="H856" s="2" t="str">
        <f>_xlfn.XLOOKUP(C856,customers!$A$1:$A$1001,customers!$G$1:$G$1001,,0)</f>
        <v>United States</v>
      </c>
      <c r="I856" t="str">
        <f>INDEX(products!$A$1:$G$49,MATCH(orders!$D856,products!$A$1:$A$49,0),MATCH(orders!I$1,products!$A$1:$G$1,0))</f>
        <v>Rob</v>
      </c>
      <c r="J856" t="str">
        <f>INDEX(products!$A$1:$G$49,MATCH(orders!$D856,products!$A$1:$A$49,0),MATCH(orders!J$1,products!$A$1:$G$1,0))</f>
        <v>L</v>
      </c>
      <c r="K856" s="7">
        <f>INDEX(products!$A$1:$G$49,MATCH(orders!$D856,products!$A$1:$A$49,0),MATCH(orders!K$1,products!$A$1:$G$1,0))</f>
        <v>0.5</v>
      </c>
      <c r="L856" s="4">
        <f>INDEX(products!$A$1:$G$49,MATCH(orders!$D856,products!$A$1:$A$49,0),MATCH(orders!L$1,products!$A$1:$G$1,0))</f>
        <v>7.169999999999999</v>
      </c>
      <c r="M856" s="4">
        <f t="shared" si="13"/>
        <v>35.849999999999994</v>
      </c>
      <c r="N856" t="str" cm="1">
        <f t="array" ref="N856">_xlfn.IFS(I856="Rob","Robusta",I856="Exc","Excelsa",I856="Ara","Arabica",I856="Lib","Liberica")</f>
        <v>Robusta</v>
      </c>
      <c r="O856" t="str" cm="1">
        <f t="array" ref="O856">_xlfn.IFS(J856="M","Medium",J856="L","Large",J856="D","Dark")</f>
        <v>Large</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_xlfn.XLOOKUP(C857,customers!$A$1:$A$1001,customers!$B$1:$B$1001,,0)</f>
        <v>Devan Crownshaw</v>
      </c>
      <c r="G857" s="2" t="str">
        <f>IF(_xlfn.XLOOKUP(C857,customers!$A$1:$A$1001,customers!$C$1:$C$1001,,0)=0,"",_xlfn.XLOOKUP(C857,customers!$A$1:$A$1001,customers!$C$1:$C$1001,,0))</f>
        <v>dcrownshawnr@photobucket.com</v>
      </c>
      <c r="H857" s="2" t="str">
        <f>_xlfn.XLOOKUP(C857,customers!$A$1:$A$1001,customers!$G$1:$G$1001,,0)</f>
        <v>United States</v>
      </c>
      <c r="I857" t="str">
        <f>INDEX(products!$A$1:$G$49,MATCH(orders!$D857,products!$A$1:$A$49,0),MATCH(orders!I$1,products!$A$1:$G$1,0))</f>
        <v>Lib</v>
      </c>
      <c r="J857" t="str">
        <f>INDEX(products!$A$1:$G$49,MATCH(orders!$D857,products!$A$1:$A$49,0),MATCH(orders!J$1,products!$A$1:$G$1,0))</f>
        <v>D</v>
      </c>
      <c r="K857" s="7">
        <f>INDEX(products!$A$1:$G$49,MATCH(orders!$D857,products!$A$1:$A$49,0),MATCH(orders!K$1,products!$A$1:$G$1,0))</f>
        <v>2.5</v>
      </c>
      <c r="L857" s="4">
        <f>INDEX(products!$A$1:$G$49,MATCH(orders!$D857,products!$A$1:$A$49,0),MATCH(orders!L$1,products!$A$1:$G$1,0))</f>
        <v>29.784999999999997</v>
      </c>
      <c r="M857" s="4">
        <f t="shared" si="13"/>
        <v>89.35499999999999</v>
      </c>
      <c r="N857" t="str" cm="1">
        <f t="array" ref="N857">_xlfn.IFS(I857="Rob","Robusta",I857="Exc","Excelsa",I857="Ara","Arabica",I857="Lib","Liberica")</f>
        <v>Liberica</v>
      </c>
      <c r="O857" t="str" cm="1">
        <f t="array" ref="O857">_xlfn.IFS(J857="M","Medium",J857="L","Large",J857="D","Dark")</f>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_xlfn.XLOOKUP(C858,customers!$A$1:$A$1001,customers!$B$1:$B$1001,,0)</f>
        <v>Odelia Skerme</v>
      </c>
      <c r="G858" s="2" t="str">
        <f>IF(_xlfn.XLOOKUP(C858,customers!$A$1:$A$1001,customers!$C$1:$C$1001,,0)=0,"",_xlfn.XLOOKUP(C858,customers!$A$1:$A$1001,customers!$C$1:$C$1001,,0))</f>
        <v>oskermen3@hatena.ne.jp</v>
      </c>
      <c r="H858" s="2" t="str">
        <f>_xlfn.XLOOKUP(C858,customers!$A$1:$A$1001,customers!$G$1:$G$1001,,0)</f>
        <v>United States</v>
      </c>
      <c r="I858" t="str">
        <f>INDEX(products!$A$1:$G$49,MATCH(orders!$D858,products!$A$1:$A$49,0),MATCH(orders!I$1,products!$A$1:$G$1,0))</f>
        <v>Lib</v>
      </c>
      <c r="J858" t="str">
        <f>INDEX(products!$A$1:$G$49,MATCH(orders!$D858,products!$A$1:$A$49,0),MATCH(orders!J$1,products!$A$1:$G$1,0))</f>
        <v>M</v>
      </c>
      <c r="K858" s="7">
        <f>INDEX(products!$A$1:$G$49,MATCH(orders!$D858,products!$A$1:$A$49,0),MATCH(orders!K$1,products!$A$1:$G$1,0))</f>
        <v>0.2</v>
      </c>
      <c r="L858" s="4">
        <f>INDEX(products!$A$1:$G$49,MATCH(orders!$D858,products!$A$1:$A$49,0),MATCH(orders!L$1,products!$A$1:$G$1,0))</f>
        <v>4.3650000000000002</v>
      </c>
      <c r="M858" s="4">
        <f t="shared" si="13"/>
        <v>8.73</v>
      </c>
      <c r="N858" t="str" cm="1">
        <f t="array" ref="N858">_xlfn.IFS(I858="Rob","Robusta",I858="Exc","Excelsa",I858="Ara","Arabica",I858="Lib","Liberica")</f>
        <v>Liberica</v>
      </c>
      <c r="O858" t="str" cm="1">
        <f t="array" ref="O858">_xlfn.IFS(J858="M","Medium",J858="L","Large",J858="D","Dark")</f>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_xlfn.XLOOKUP(C859,customers!$A$1:$A$1001,customers!$B$1:$B$1001,,0)</f>
        <v>Joceline Reddoch</v>
      </c>
      <c r="G859" s="2" t="str">
        <f>IF(_xlfn.XLOOKUP(C859,customers!$A$1:$A$1001,customers!$C$1:$C$1001,,0)=0,"",_xlfn.XLOOKUP(C859,customers!$A$1:$A$1001,customers!$C$1:$C$1001,,0))</f>
        <v>jreddochnt@sun.com</v>
      </c>
      <c r="H859" s="2" t="str">
        <f>_xlfn.XLOOKUP(C859,customers!$A$1:$A$1001,customers!$G$1:$G$1001,,0)</f>
        <v>United States</v>
      </c>
      <c r="I859" t="str">
        <f>INDEX(products!$A$1:$G$49,MATCH(orders!$D859,products!$A$1:$A$49,0),MATCH(orders!I$1,products!$A$1:$G$1,0))</f>
        <v>Rob</v>
      </c>
      <c r="J859" t="str">
        <f>INDEX(products!$A$1:$G$49,MATCH(orders!$D859,products!$A$1:$A$49,0),MATCH(orders!J$1,products!$A$1:$G$1,0))</f>
        <v>L</v>
      </c>
      <c r="K859" s="7">
        <f>INDEX(products!$A$1:$G$49,MATCH(orders!$D859,products!$A$1:$A$49,0),MATCH(orders!K$1,products!$A$1:$G$1,0))</f>
        <v>2.5</v>
      </c>
      <c r="L859" s="4">
        <f>INDEX(products!$A$1:$G$49,MATCH(orders!$D859,products!$A$1:$A$49,0),MATCH(orders!L$1,products!$A$1:$G$1,0))</f>
        <v>27.484999999999996</v>
      </c>
      <c r="M859" s="4">
        <f t="shared" si="13"/>
        <v>137.42499999999998</v>
      </c>
      <c r="N859" t="str" cm="1">
        <f t="array" ref="N859">_xlfn.IFS(I859="Rob","Robusta",I859="Exc","Excelsa",I859="Ara","Arabica",I859="Lib","Liberica")</f>
        <v>Robusta</v>
      </c>
      <c r="O859" t="str" cm="1">
        <f t="array" ref="O859">_xlfn.IFS(J859="M","Medium",J859="L","Large",J859="D","Dark")</f>
        <v>Large</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_xlfn.XLOOKUP(C860,customers!$A$1:$A$1001,customers!$B$1:$B$1001,,0)</f>
        <v>Shelley Titley</v>
      </c>
      <c r="G860" s="2" t="str">
        <f>IF(_xlfn.XLOOKUP(C860,customers!$A$1:$A$1001,customers!$C$1:$C$1001,,0)=0,"",_xlfn.XLOOKUP(C860,customers!$A$1:$A$1001,customers!$C$1:$C$1001,,0))</f>
        <v>stitleynu@whitehouse.gov</v>
      </c>
      <c r="H860" s="2" t="str">
        <f>_xlfn.XLOOKUP(C860,customers!$A$1:$A$1001,customers!$G$1:$G$1001,,0)</f>
        <v>United States</v>
      </c>
      <c r="I860" t="str">
        <f>INDEX(products!$A$1:$G$49,MATCH(orders!$D860,products!$A$1:$A$49,0),MATCH(orders!I$1,products!$A$1:$G$1,0))</f>
        <v>Lib</v>
      </c>
      <c r="J860" t="str">
        <f>INDEX(products!$A$1:$G$49,MATCH(orders!$D860,products!$A$1:$A$49,0),MATCH(orders!J$1,products!$A$1:$G$1,0))</f>
        <v>M</v>
      </c>
      <c r="K860" s="7">
        <f>INDEX(products!$A$1:$G$49,MATCH(orders!$D860,products!$A$1:$A$49,0),MATCH(orders!K$1,products!$A$1:$G$1,0))</f>
        <v>0.5</v>
      </c>
      <c r="L860" s="4">
        <f>INDEX(products!$A$1:$G$49,MATCH(orders!$D860,products!$A$1:$A$49,0),MATCH(orders!L$1,products!$A$1:$G$1,0))</f>
        <v>8.73</v>
      </c>
      <c r="M860" s="4">
        <f t="shared" si="13"/>
        <v>34.92</v>
      </c>
      <c r="N860" t="str" cm="1">
        <f t="array" ref="N860">_xlfn.IFS(I860="Rob","Robusta",I860="Exc","Excelsa",I860="Ara","Arabica",I860="Lib","Liberica")</f>
        <v>Liberica</v>
      </c>
      <c r="O860" t="str" cm="1">
        <f t="array" ref="O860">_xlfn.IFS(J860="M","Medium",J860="L","Large",J860="D","Dark")</f>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_xlfn.XLOOKUP(C861,customers!$A$1:$A$1001,customers!$B$1:$B$1001,,0)</f>
        <v>Redd Simao</v>
      </c>
      <c r="G861" s="2" t="str">
        <f>IF(_xlfn.XLOOKUP(C861,customers!$A$1:$A$1001,customers!$C$1:$C$1001,,0)=0,"",_xlfn.XLOOKUP(C861,customers!$A$1:$A$1001,customers!$C$1:$C$1001,,0))</f>
        <v>rsimaonv@simplemachines.org</v>
      </c>
      <c r="H861" s="2" t="str">
        <f>_xlfn.XLOOKUP(C861,customers!$A$1:$A$1001,customers!$G$1:$G$1001,,0)</f>
        <v>United States</v>
      </c>
      <c r="I861" t="str">
        <f>INDEX(products!$A$1:$G$49,MATCH(orders!$D861,products!$A$1:$A$49,0),MATCH(orders!I$1,products!$A$1:$G$1,0))</f>
        <v>Ara</v>
      </c>
      <c r="J861" t="str">
        <f>INDEX(products!$A$1:$G$49,MATCH(orders!$D861,products!$A$1:$A$49,0),MATCH(orders!J$1,products!$A$1:$G$1,0))</f>
        <v>L</v>
      </c>
      <c r="K861" s="7">
        <f>INDEX(products!$A$1:$G$49,MATCH(orders!$D861,products!$A$1:$A$49,0),MATCH(orders!K$1,products!$A$1:$G$1,0))</f>
        <v>2.5</v>
      </c>
      <c r="L861" s="4">
        <f>INDEX(products!$A$1:$G$49,MATCH(orders!$D861,products!$A$1:$A$49,0),MATCH(orders!L$1,products!$A$1:$G$1,0))</f>
        <v>29.784999999999997</v>
      </c>
      <c r="M861" s="4">
        <f t="shared" si="13"/>
        <v>178.70999999999998</v>
      </c>
      <c r="N861" t="str" cm="1">
        <f t="array" ref="N861">_xlfn.IFS(I861="Rob","Robusta",I861="Exc","Excelsa",I861="Ara","Arabica",I861="Lib","Liberica")</f>
        <v>Arabica</v>
      </c>
      <c r="O861" t="str" cm="1">
        <f t="array" ref="O861">_xlfn.IFS(J861="M","Medium",J861="L","Large",J861="D","Dark")</f>
        <v>Large</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_xlfn.XLOOKUP(C862,customers!$A$1:$A$1001,customers!$B$1:$B$1001,,0)</f>
        <v>Cece Inker</v>
      </c>
      <c r="G862" s="2" t="str">
        <f>IF(_xlfn.XLOOKUP(C862,customers!$A$1:$A$1001,customers!$C$1:$C$1001,,0)=0,"",_xlfn.XLOOKUP(C862,customers!$A$1:$A$1001,customers!$C$1:$C$1001,,0))</f>
        <v/>
      </c>
      <c r="H862" s="2" t="str">
        <f>_xlfn.XLOOKUP(C862,customers!$A$1:$A$1001,customers!$G$1:$G$1001,,0)</f>
        <v>United States</v>
      </c>
      <c r="I862" t="str">
        <f>INDEX(products!$A$1:$G$49,MATCH(orders!$D862,products!$A$1:$A$49,0),MATCH(orders!I$1,products!$A$1:$G$1,0))</f>
        <v>Ara</v>
      </c>
      <c r="J862" t="str">
        <f>INDEX(products!$A$1:$G$49,MATCH(orders!$D862,products!$A$1:$A$49,0),MATCH(orders!J$1,products!$A$1:$G$1,0))</f>
        <v>M</v>
      </c>
      <c r="K862" s="7">
        <f>INDEX(products!$A$1:$G$49,MATCH(orders!$D862,products!$A$1:$A$49,0),MATCH(orders!K$1,products!$A$1:$G$1,0))</f>
        <v>2.5</v>
      </c>
      <c r="L862" s="4">
        <f>INDEX(products!$A$1:$G$49,MATCH(orders!$D862,products!$A$1:$A$49,0),MATCH(orders!L$1,products!$A$1:$G$1,0))</f>
        <v>25.874999999999996</v>
      </c>
      <c r="M862" s="4">
        <f t="shared" si="13"/>
        <v>25.874999999999996</v>
      </c>
      <c r="N862" t="str" cm="1">
        <f t="array" ref="N862">_xlfn.IFS(I862="Rob","Robusta",I862="Exc","Excelsa",I862="Ara","Arabica",I862="Lib","Liberica")</f>
        <v>Arabica</v>
      </c>
      <c r="O862" t="str" cm="1">
        <f t="array" ref="O862">_xlfn.IFS(J862="M","Medium",J862="L","Large",J862="D","Dark")</f>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_xlfn.XLOOKUP(C863,customers!$A$1:$A$1001,customers!$B$1:$B$1001,,0)</f>
        <v>Noel Chisholm</v>
      </c>
      <c r="G863" s="2" t="str">
        <f>IF(_xlfn.XLOOKUP(C863,customers!$A$1:$A$1001,customers!$C$1:$C$1001,,0)=0,"",_xlfn.XLOOKUP(C863,customers!$A$1:$A$1001,customers!$C$1:$C$1001,,0))</f>
        <v>nchisholmnx@example.com</v>
      </c>
      <c r="H863" s="2" t="str">
        <f>_xlfn.XLOOKUP(C863,customers!$A$1:$A$1001,customers!$G$1:$G$1001,,0)</f>
        <v>United States</v>
      </c>
      <c r="I863" t="str">
        <f>INDEX(products!$A$1:$G$49,MATCH(orders!$D863,products!$A$1:$A$49,0),MATCH(orders!I$1,products!$A$1:$G$1,0))</f>
        <v>Lib</v>
      </c>
      <c r="J863" t="str">
        <f>INDEX(products!$A$1:$G$49,MATCH(orders!$D863,products!$A$1:$A$49,0),MATCH(orders!J$1,products!$A$1:$G$1,0))</f>
        <v>D</v>
      </c>
      <c r="K863" s="7">
        <f>INDEX(products!$A$1:$G$49,MATCH(orders!$D863,products!$A$1:$A$49,0),MATCH(orders!K$1,products!$A$1:$G$1,0))</f>
        <v>1</v>
      </c>
      <c r="L863" s="4">
        <f>INDEX(products!$A$1:$G$49,MATCH(orders!$D863,products!$A$1:$A$49,0),MATCH(orders!L$1,products!$A$1:$G$1,0))</f>
        <v>12.95</v>
      </c>
      <c r="M863" s="4">
        <f t="shared" si="13"/>
        <v>77.699999999999989</v>
      </c>
      <c r="N863" t="str" cm="1">
        <f t="array" ref="N863">_xlfn.IFS(I863="Rob","Robusta",I863="Exc","Excelsa",I863="Ara","Arabica",I863="Lib","Liberica")</f>
        <v>Liberica</v>
      </c>
      <c r="O863" t="str" cm="1">
        <f t="array" ref="O863">_xlfn.IFS(J863="M","Medium",J863="L","Large",J863="D","Dark")</f>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_xlfn.XLOOKUP(C864,customers!$A$1:$A$1001,customers!$B$1:$B$1001,,0)</f>
        <v>Grazia Oats</v>
      </c>
      <c r="G864" s="2" t="str">
        <f>IF(_xlfn.XLOOKUP(C864,customers!$A$1:$A$1001,customers!$C$1:$C$1001,,0)=0,"",_xlfn.XLOOKUP(C864,customers!$A$1:$A$1001,customers!$C$1:$C$1001,,0))</f>
        <v>goatsny@live.com</v>
      </c>
      <c r="H864" s="2" t="str">
        <f>_xlfn.XLOOKUP(C864,customers!$A$1:$A$1001,customers!$G$1:$G$1001,,0)</f>
        <v>United States</v>
      </c>
      <c r="I864" t="str">
        <f>INDEX(products!$A$1:$G$49,MATCH(orders!$D864,products!$A$1:$A$49,0),MATCH(orders!I$1,products!$A$1:$G$1,0))</f>
        <v>Rob</v>
      </c>
      <c r="J864" t="str">
        <f>INDEX(products!$A$1:$G$49,MATCH(orders!$D864,products!$A$1:$A$49,0),MATCH(orders!J$1,products!$A$1:$G$1,0))</f>
        <v>M</v>
      </c>
      <c r="K864" s="7">
        <f>INDEX(products!$A$1:$G$49,MATCH(orders!$D864,products!$A$1:$A$49,0),MATCH(orders!K$1,products!$A$1:$G$1,0))</f>
        <v>1</v>
      </c>
      <c r="L864" s="4">
        <f>INDEX(products!$A$1:$G$49,MATCH(orders!$D864,products!$A$1:$A$49,0),MATCH(orders!L$1,products!$A$1:$G$1,0))</f>
        <v>9.9499999999999993</v>
      </c>
      <c r="M864" s="4">
        <f t="shared" si="13"/>
        <v>9.9499999999999993</v>
      </c>
      <c r="N864" t="str" cm="1">
        <f t="array" ref="N864">_xlfn.IFS(I864="Rob","Robusta",I864="Exc","Excelsa",I864="Ara","Arabica",I864="Lib","Liberica")</f>
        <v>Robusta</v>
      </c>
      <c r="O864" t="str" cm="1">
        <f t="array" ref="O864">_xlfn.IFS(J864="M","Medium",J864="L","Large",J864="D","Dark")</f>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_xlfn.XLOOKUP(C865,customers!$A$1:$A$1001,customers!$B$1:$B$1001,,0)</f>
        <v>Meade Birkin</v>
      </c>
      <c r="G865" s="2" t="str">
        <f>IF(_xlfn.XLOOKUP(C865,customers!$A$1:$A$1001,customers!$C$1:$C$1001,,0)=0,"",_xlfn.XLOOKUP(C865,customers!$A$1:$A$1001,customers!$C$1:$C$1001,,0))</f>
        <v>mbirkinnz@java.com</v>
      </c>
      <c r="H865" s="2" t="str">
        <f>_xlfn.XLOOKUP(C865,customers!$A$1:$A$1001,customers!$G$1:$G$1001,,0)</f>
        <v>United States</v>
      </c>
      <c r="I865" t="str">
        <f>INDEX(products!$A$1:$G$49,MATCH(orders!$D865,products!$A$1:$A$49,0),MATCH(orders!I$1,products!$A$1:$G$1,0))</f>
        <v>Lib</v>
      </c>
      <c r="J865" t="str">
        <f>INDEX(products!$A$1:$G$49,MATCH(orders!$D865,products!$A$1:$A$49,0),MATCH(orders!J$1,products!$A$1:$G$1,0))</f>
        <v>M</v>
      </c>
      <c r="K865" s="7">
        <f>INDEX(products!$A$1:$G$49,MATCH(orders!$D865,products!$A$1:$A$49,0),MATCH(orders!K$1,products!$A$1:$G$1,0))</f>
        <v>1</v>
      </c>
      <c r="L865" s="4">
        <f>INDEX(products!$A$1:$G$49,MATCH(orders!$D865,products!$A$1:$A$49,0),MATCH(orders!L$1,products!$A$1:$G$1,0))</f>
        <v>14.55</v>
      </c>
      <c r="M865" s="4">
        <f t="shared" si="13"/>
        <v>29.1</v>
      </c>
      <c r="N865" t="str" cm="1">
        <f t="array" ref="N865">_xlfn.IFS(I865="Rob","Robusta",I865="Exc","Excelsa",I865="Ara","Arabica",I865="Lib","Liberica")</f>
        <v>Liberica</v>
      </c>
      <c r="O865" t="str" cm="1">
        <f t="array" ref="O865">_xlfn.IFS(J865="M","Medium",J865="L","Large",J865="D","Dark")</f>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_xlfn.XLOOKUP(C866,customers!$A$1:$A$1001,customers!$B$1:$B$1001,,0)</f>
        <v>Ronda Pyson</v>
      </c>
      <c r="G866" s="2" t="str">
        <f>IF(_xlfn.XLOOKUP(C866,customers!$A$1:$A$1001,customers!$C$1:$C$1001,,0)=0,"",_xlfn.XLOOKUP(C866,customers!$A$1:$A$1001,customers!$C$1:$C$1001,,0))</f>
        <v>rpysono0@constantcontact.com</v>
      </c>
      <c r="H866" s="2" t="str">
        <f>_xlfn.XLOOKUP(C866,customers!$A$1:$A$1001,customers!$G$1:$G$1001,,0)</f>
        <v>Ireland</v>
      </c>
      <c r="I866" t="str">
        <f>INDEX(products!$A$1:$G$49,MATCH(orders!$D866,products!$A$1:$A$49,0),MATCH(orders!I$1,products!$A$1:$G$1,0))</f>
        <v>Rob</v>
      </c>
      <c r="J866" t="str">
        <f>INDEX(products!$A$1:$G$49,MATCH(orders!$D866,products!$A$1:$A$49,0),MATCH(orders!J$1,products!$A$1:$G$1,0))</f>
        <v>L</v>
      </c>
      <c r="K866" s="7">
        <f>INDEX(products!$A$1:$G$49,MATCH(orders!$D866,products!$A$1:$A$49,0),MATCH(orders!K$1,products!$A$1:$G$1,0))</f>
        <v>0.2</v>
      </c>
      <c r="L866" s="4">
        <f>INDEX(products!$A$1:$G$49,MATCH(orders!$D866,products!$A$1:$A$49,0),MATCH(orders!L$1,products!$A$1:$G$1,0))</f>
        <v>3.5849999999999995</v>
      </c>
      <c r="M866" s="4">
        <f t="shared" si="13"/>
        <v>21.509999999999998</v>
      </c>
      <c r="N866" t="str" cm="1">
        <f t="array" ref="N866">_xlfn.IFS(I866="Rob","Robusta",I866="Exc","Excelsa",I866="Ara","Arabica",I866="Lib","Liberica")</f>
        <v>Robusta</v>
      </c>
      <c r="O866" t="str" cm="1">
        <f t="array" ref="O866">_xlfn.IFS(J866="M","Medium",J866="L","Large",J866="D","Dark")</f>
        <v>Large</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_xlfn.XLOOKUP(C867,customers!$A$1:$A$1001,customers!$B$1:$B$1001,,0)</f>
        <v>Modesty MacConnechie</v>
      </c>
      <c r="G867" s="2" t="str">
        <f>IF(_xlfn.XLOOKUP(C867,customers!$A$1:$A$1001,customers!$C$1:$C$1001,,0)=0,"",_xlfn.XLOOKUP(C867,customers!$A$1:$A$1001,customers!$C$1:$C$1001,,0))</f>
        <v>mmacconnechieo9@reuters.com</v>
      </c>
      <c r="H867" s="2" t="str">
        <f>_xlfn.XLOOKUP(C867,customers!$A$1:$A$1001,customers!$G$1:$G$1001,,0)</f>
        <v>United States</v>
      </c>
      <c r="I867" t="str">
        <f>INDEX(products!$A$1:$G$49,MATCH(orders!$D867,products!$A$1:$A$49,0),MATCH(orders!I$1,products!$A$1:$G$1,0))</f>
        <v>Ara</v>
      </c>
      <c r="J867" t="str">
        <f>INDEX(products!$A$1:$G$49,MATCH(orders!$D867,products!$A$1:$A$49,0),MATCH(orders!J$1,products!$A$1:$G$1,0))</f>
        <v>M</v>
      </c>
      <c r="K867" s="7">
        <f>INDEX(products!$A$1:$G$49,MATCH(orders!$D867,products!$A$1:$A$49,0),MATCH(orders!K$1,products!$A$1:$G$1,0))</f>
        <v>0.5</v>
      </c>
      <c r="L867" s="4">
        <f>INDEX(products!$A$1:$G$49,MATCH(orders!$D867,products!$A$1:$A$49,0),MATCH(orders!L$1,products!$A$1:$G$1,0))</f>
        <v>6.75</v>
      </c>
      <c r="M867" s="4">
        <f t="shared" si="13"/>
        <v>6.75</v>
      </c>
      <c r="N867" t="str" cm="1">
        <f t="array" ref="N867">_xlfn.IFS(I867="Rob","Robusta",I867="Exc","Excelsa",I867="Ara","Arabica",I867="Lib","Liberica")</f>
        <v>Arabica</v>
      </c>
      <c r="O867" t="str" cm="1">
        <f t="array" ref="O867">_xlfn.IFS(J867="M","Medium",J867="L","Large",J867="D","Dark")</f>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_xlfn.XLOOKUP(C868,customers!$A$1:$A$1001,customers!$B$1:$B$1001,,0)</f>
        <v>Rafaela Treacher</v>
      </c>
      <c r="G868" s="2" t="str">
        <f>IF(_xlfn.XLOOKUP(C868,customers!$A$1:$A$1001,customers!$C$1:$C$1001,,0)=0,"",_xlfn.XLOOKUP(C868,customers!$A$1:$A$1001,customers!$C$1:$C$1001,,0))</f>
        <v>rtreachero2@usa.gov</v>
      </c>
      <c r="H868" s="2" t="str">
        <f>_xlfn.XLOOKUP(C868,customers!$A$1:$A$1001,customers!$G$1:$G$1001,,0)</f>
        <v>Ireland</v>
      </c>
      <c r="I868" t="str">
        <f>INDEX(products!$A$1:$G$49,MATCH(orders!$D868,products!$A$1:$A$49,0),MATCH(orders!I$1,products!$A$1:$G$1,0))</f>
        <v>Ara</v>
      </c>
      <c r="J868" t="str">
        <f>INDEX(products!$A$1:$G$49,MATCH(orders!$D868,products!$A$1:$A$49,0),MATCH(orders!J$1,products!$A$1:$G$1,0))</f>
        <v>D</v>
      </c>
      <c r="K868" s="7">
        <f>INDEX(products!$A$1:$G$49,MATCH(orders!$D868,products!$A$1:$A$49,0),MATCH(orders!K$1,products!$A$1:$G$1,0))</f>
        <v>0.5</v>
      </c>
      <c r="L868" s="4">
        <f>INDEX(products!$A$1:$G$49,MATCH(orders!$D868,products!$A$1:$A$49,0),MATCH(orders!L$1,products!$A$1:$G$1,0))</f>
        <v>5.97</v>
      </c>
      <c r="M868" s="4">
        <f t="shared" si="13"/>
        <v>17.91</v>
      </c>
      <c r="N868" t="str" cm="1">
        <f t="array" ref="N868">_xlfn.IFS(I868="Rob","Robusta",I868="Exc","Excelsa",I868="Ara","Arabica",I868="Lib","Liberica")</f>
        <v>Arabica</v>
      </c>
      <c r="O868" t="str" cm="1">
        <f t="array" ref="O868">_xlfn.IFS(J868="M","Medium",J868="L","Large",J868="D","Dark")</f>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_xlfn.XLOOKUP(C869,customers!$A$1:$A$1001,customers!$B$1:$B$1001,,0)</f>
        <v>Bee Fattorini</v>
      </c>
      <c r="G869" s="2" t="str">
        <f>IF(_xlfn.XLOOKUP(C869,customers!$A$1:$A$1001,customers!$C$1:$C$1001,,0)=0,"",_xlfn.XLOOKUP(C869,customers!$A$1:$A$1001,customers!$C$1:$C$1001,,0))</f>
        <v>bfattorinio3@quantcast.com</v>
      </c>
      <c r="H869" s="2" t="str">
        <f>_xlfn.XLOOKUP(C869,customers!$A$1:$A$1001,customers!$G$1:$G$1001,,0)</f>
        <v>Ireland</v>
      </c>
      <c r="I869" t="str">
        <f>INDEX(products!$A$1:$G$49,MATCH(orders!$D869,products!$A$1:$A$49,0),MATCH(orders!I$1,products!$A$1:$G$1,0))</f>
        <v>Ara</v>
      </c>
      <c r="J869" t="str">
        <f>INDEX(products!$A$1:$G$49,MATCH(orders!$D869,products!$A$1:$A$49,0),MATCH(orders!J$1,products!$A$1:$G$1,0))</f>
        <v>L</v>
      </c>
      <c r="K869" s="7">
        <f>INDEX(products!$A$1:$G$49,MATCH(orders!$D869,products!$A$1:$A$49,0),MATCH(orders!K$1,products!$A$1:$G$1,0))</f>
        <v>2.5</v>
      </c>
      <c r="L869" s="4">
        <f>INDEX(products!$A$1:$G$49,MATCH(orders!$D869,products!$A$1:$A$49,0),MATCH(orders!L$1,products!$A$1:$G$1,0))</f>
        <v>29.784999999999997</v>
      </c>
      <c r="M869" s="4">
        <f t="shared" si="13"/>
        <v>29.784999999999997</v>
      </c>
      <c r="N869" t="str" cm="1">
        <f t="array" ref="N869">_xlfn.IFS(I869="Rob","Robusta",I869="Exc","Excelsa",I869="Ara","Arabica",I869="Lib","Liberica")</f>
        <v>Arabica</v>
      </c>
      <c r="O869" t="str" cm="1">
        <f t="array" ref="O869">_xlfn.IFS(J869="M","Medium",J869="L","Large",J869="D","Dark")</f>
        <v>Large</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_xlfn.XLOOKUP(C870,customers!$A$1:$A$1001,customers!$B$1:$B$1001,,0)</f>
        <v>Margie Palleske</v>
      </c>
      <c r="G870" s="2" t="str">
        <f>IF(_xlfn.XLOOKUP(C870,customers!$A$1:$A$1001,customers!$C$1:$C$1001,,0)=0,"",_xlfn.XLOOKUP(C870,customers!$A$1:$A$1001,customers!$C$1:$C$1001,,0))</f>
        <v>mpalleskeo4@nyu.edu</v>
      </c>
      <c r="H870" s="2" t="str">
        <f>_xlfn.XLOOKUP(C870,customers!$A$1:$A$1001,customers!$G$1:$G$1001,,0)</f>
        <v>United States</v>
      </c>
      <c r="I870" t="str">
        <f>INDEX(products!$A$1:$G$49,MATCH(orders!$D870,products!$A$1:$A$49,0),MATCH(orders!I$1,products!$A$1:$G$1,0))</f>
        <v>Exc</v>
      </c>
      <c r="J870" t="str">
        <f>INDEX(products!$A$1:$G$49,MATCH(orders!$D870,products!$A$1:$A$49,0),MATCH(orders!J$1,products!$A$1:$G$1,0))</f>
        <v>M</v>
      </c>
      <c r="K870" s="7">
        <f>INDEX(products!$A$1:$G$49,MATCH(orders!$D870,products!$A$1:$A$49,0),MATCH(orders!K$1,products!$A$1:$G$1,0))</f>
        <v>0.5</v>
      </c>
      <c r="L870" s="4">
        <f>INDEX(products!$A$1:$G$49,MATCH(orders!$D870,products!$A$1:$A$49,0),MATCH(orders!L$1,products!$A$1:$G$1,0))</f>
        <v>8.25</v>
      </c>
      <c r="M870" s="4">
        <f t="shared" si="13"/>
        <v>41.25</v>
      </c>
      <c r="N870" t="str" cm="1">
        <f t="array" ref="N870">_xlfn.IFS(I870="Rob","Robusta",I870="Exc","Excelsa",I870="Ara","Arabica",I870="Lib","Liberica")</f>
        <v>Excelsa</v>
      </c>
      <c r="O870" t="str" cm="1">
        <f t="array" ref="O870">_xlfn.IFS(J870="M","Medium",J870="L","Large",J870="D","Dark")</f>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_xlfn.XLOOKUP(C871,customers!$A$1:$A$1001,customers!$B$1:$B$1001,,0)</f>
        <v>Alexina Randals</v>
      </c>
      <c r="G871" s="2" t="str">
        <f>IF(_xlfn.XLOOKUP(C871,customers!$A$1:$A$1001,customers!$C$1:$C$1001,,0)=0,"",_xlfn.XLOOKUP(C871,customers!$A$1:$A$1001,customers!$C$1:$C$1001,,0))</f>
        <v/>
      </c>
      <c r="H871" s="2" t="str">
        <f>_xlfn.XLOOKUP(C871,customers!$A$1:$A$1001,customers!$G$1:$G$1001,,0)</f>
        <v>United States</v>
      </c>
      <c r="I871" t="str">
        <f>INDEX(products!$A$1:$G$49,MATCH(orders!$D871,products!$A$1:$A$49,0),MATCH(orders!I$1,products!$A$1:$G$1,0))</f>
        <v>Rob</v>
      </c>
      <c r="J871" t="str">
        <f>INDEX(products!$A$1:$G$49,MATCH(orders!$D871,products!$A$1:$A$49,0),MATCH(orders!J$1,products!$A$1:$G$1,0))</f>
        <v>M</v>
      </c>
      <c r="K871" s="7">
        <f>INDEX(products!$A$1:$G$49,MATCH(orders!$D871,products!$A$1:$A$49,0),MATCH(orders!K$1,products!$A$1:$G$1,0))</f>
        <v>0.5</v>
      </c>
      <c r="L871" s="4">
        <f>INDEX(products!$A$1:$G$49,MATCH(orders!$D871,products!$A$1:$A$49,0),MATCH(orders!L$1,products!$A$1:$G$1,0))</f>
        <v>5.97</v>
      </c>
      <c r="M871" s="4">
        <f t="shared" si="13"/>
        <v>17.91</v>
      </c>
      <c r="N871" t="str" cm="1">
        <f t="array" ref="N871">_xlfn.IFS(I871="Rob","Robusta",I871="Exc","Excelsa",I871="Ara","Arabica",I871="Lib","Liberica")</f>
        <v>Robusta</v>
      </c>
      <c r="O871" t="str" cm="1">
        <f t="array" ref="O871">_xlfn.IFS(J871="M","Medium",J871="L","Large",J871="D","Dark")</f>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_xlfn.XLOOKUP(C872,customers!$A$1:$A$1001,customers!$B$1:$B$1001,,0)</f>
        <v>Filip Antcliffe</v>
      </c>
      <c r="G872" s="2" t="str">
        <f>IF(_xlfn.XLOOKUP(C872,customers!$A$1:$A$1001,customers!$C$1:$C$1001,,0)=0,"",_xlfn.XLOOKUP(C872,customers!$A$1:$A$1001,customers!$C$1:$C$1001,,0))</f>
        <v>fantcliffeo6@amazon.co.jp</v>
      </c>
      <c r="H872" s="2" t="str">
        <f>_xlfn.XLOOKUP(C872,customers!$A$1:$A$1001,customers!$G$1:$G$1001,,0)</f>
        <v>Ireland</v>
      </c>
      <c r="I872" t="str">
        <f>INDEX(products!$A$1:$G$49,MATCH(orders!$D872,products!$A$1:$A$49,0),MATCH(orders!I$1,products!$A$1:$G$1,0))</f>
        <v>Exc</v>
      </c>
      <c r="J872" t="str">
        <f>INDEX(products!$A$1:$G$49,MATCH(orders!$D872,products!$A$1:$A$49,0),MATCH(orders!J$1,products!$A$1:$G$1,0))</f>
        <v>D</v>
      </c>
      <c r="K872" s="7">
        <f>INDEX(products!$A$1:$G$49,MATCH(orders!$D872,products!$A$1:$A$49,0),MATCH(orders!K$1,products!$A$1:$G$1,0))</f>
        <v>0.5</v>
      </c>
      <c r="L872" s="4">
        <f>INDEX(products!$A$1:$G$49,MATCH(orders!$D872,products!$A$1:$A$49,0),MATCH(orders!L$1,products!$A$1:$G$1,0))</f>
        <v>7.29</v>
      </c>
      <c r="M872" s="4">
        <f t="shared" si="13"/>
        <v>7.29</v>
      </c>
      <c r="N872" t="str" cm="1">
        <f t="array" ref="N872">_xlfn.IFS(I872="Rob","Robusta",I872="Exc","Excelsa",I872="Ara","Arabica",I872="Lib","Liberica")</f>
        <v>Excelsa</v>
      </c>
      <c r="O872" t="str" cm="1">
        <f t="array" ref="O872">_xlfn.IFS(J872="M","Medium",J872="L","Large",J872="D","Dark")</f>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_xlfn.XLOOKUP(C873,customers!$A$1:$A$1001,customers!$B$1:$B$1001,,0)</f>
        <v>Peyter Matignon</v>
      </c>
      <c r="G873" s="2" t="str">
        <f>IF(_xlfn.XLOOKUP(C873,customers!$A$1:$A$1001,customers!$C$1:$C$1001,,0)=0,"",_xlfn.XLOOKUP(C873,customers!$A$1:$A$1001,customers!$C$1:$C$1001,,0))</f>
        <v>pmatignono7@harvard.edu</v>
      </c>
      <c r="H873" s="2" t="str">
        <f>_xlfn.XLOOKUP(C873,customers!$A$1:$A$1001,customers!$G$1:$G$1001,,0)</f>
        <v>United Kingdom</v>
      </c>
      <c r="I873" t="str">
        <f>INDEX(products!$A$1:$G$49,MATCH(orders!$D873,products!$A$1:$A$49,0),MATCH(orders!I$1,products!$A$1:$G$1,0))</f>
        <v>Exc</v>
      </c>
      <c r="J873" t="str">
        <f>INDEX(products!$A$1:$G$49,MATCH(orders!$D873,products!$A$1:$A$49,0),MATCH(orders!J$1,products!$A$1:$G$1,0))</f>
        <v>L</v>
      </c>
      <c r="K873" s="7">
        <f>INDEX(products!$A$1:$G$49,MATCH(orders!$D873,products!$A$1:$A$49,0),MATCH(orders!K$1,products!$A$1:$G$1,0))</f>
        <v>1</v>
      </c>
      <c r="L873" s="4">
        <f>INDEX(products!$A$1:$G$49,MATCH(orders!$D873,products!$A$1:$A$49,0),MATCH(orders!L$1,products!$A$1:$G$1,0))</f>
        <v>14.85</v>
      </c>
      <c r="M873" s="4">
        <f t="shared" si="13"/>
        <v>29.7</v>
      </c>
      <c r="N873" t="str" cm="1">
        <f t="array" ref="N873">_xlfn.IFS(I873="Rob","Robusta",I873="Exc","Excelsa",I873="Ara","Arabica",I873="Lib","Liberica")</f>
        <v>Excelsa</v>
      </c>
      <c r="O873" t="str" cm="1">
        <f t="array" ref="O873">_xlfn.IFS(J873="M","Medium",J873="L","Large",J873="D","Dark")</f>
        <v>Large</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_xlfn.XLOOKUP(C874,customers!$A$1:$A$1001,customers!$B$1:$B$1001,,0)</f>
        <v>Claudie Weond</v>
      </c>
      <c r="G874" s="2" t="str">
        <f>IF(_xlfn.XLOOKUP(C874,customers!$A$1:$A$1001,customers!$C$1:$C$1001,,0)=0,"",_xlfn.XLOOKUP(C874,customers!$A$1:$A$1001,customers!$C$1:$C$1001,,0))</f>
        <v>cweondo8@theglobeandmail.com</v>
      </c>
      <c r="H874" s="2" t="str">
        <f>_xlfn.XLOOKUP(C874,customers!$A$1:$A$1001,customers!$G$1:$G$1001,,0)</f>
        <v>United States</v>
      </c>
      <c r="I874" t="str">
        <f>INDEX(products!$A$1:$G$49,MATCH(orders!$D874,products!$A$1:$A$49,0),MATCH(orders!I$1,products!$A$1:$G$1,0))</f>
        <v>Ara</v>
      </c>
      <c r="J874" t="str">
        <f>INDEX(products!$A$1:$G$49,MATCH(orders!$D874,products!$A$1:$A$49,0),MATCH(orders!J$1,products!$A$1:$G$1,0))</f>
        <v>M</v>
      </c>
      <c r="K874" s="7">
        <f>INDEX(products!$A$1:$G$49,MATCH(orders!$D874,products!$A$1:$A$49,0),MATCH(orders!K$1,products!$A$1:$G$1,0))</f>
        <v>1</v>
      </c>
      <c r="L874" s="4">
        <f>INDEX(products!$A$1:$G$49,MATCH(orders!$D874,products!$A$1:$A$49,0),MATCH(orders!L$1,products!$A$1:$G$1,0))</f>
        <v>11.25</v>
      </c>
      <c r="M874" s="4">
        <f t="shared" si="13"/>
        <v>22.5</v>
      </c>
      <c r="N874" t="str" cm="1">
        <f t="array" ref="N874">_xlfn.IFS(I874="Rob","Robusta",I874="Exc","Excelsa",I874="Ara","Arabica",I874="Lib","Liberica")</f>
        <v>Arabica</v>
      </c>
      <c r="O874" t="str" cm="1">
        <f t="array" ref="O874">_xlfn.IFS(J874="M","Medium",J874="L","Large",J874="D","Dark")</f>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_xlfn.XLOOKUP(C875,customers!$A$1:$A$1001,customers!$B$1:$B$1001,,0)</f>
        <v>Modesty MacConnechie</v>
      </c>
      <c r="G875" s="2" t="str">
        <f>IF(_xlfn.XLOOKUP(C875,customers!$A$1:$A$1001,customers!$C$1:$C$1001,,0)=0,"",_xlfn.XLOOKUP(C875,customers!$A$1:$A$1001,customers!$C$1:$C$1001,,0))</f>
        <v>mmacconnechieo9@reuters.com</v>
      </c>
      <c r="H875" s="2" t="str">
        <f>_xlfn.XLOOKUP(C875,customers!$A$1:$A$1001,customers!$G$1:$G$1001,,0)</f>
        <v>United States</v>
      </c>
      <c r="I875" t="str">
        <f>INDEX(products!$A$1:$G$49,MATCH(orders!$D875,products!$A$1:$A$49,0),MATCH(orders!I$1,products!$A$1:$G$1,0))</f>
        <v>Rob</v>
      </c>
      <c r="J875" t="str">
        <f>INDEX(products!$A$1:$G$49,MATCH(orders!$D875,products!$A$1:$A$49,0),MATCH(orders!J$1,products!$A$1:$G$1,0))</f>
        <v>M</v>
      </c>
      <c r="K875" s="7">
        <f>INDEX(products!$A$1:$G$49,MATCH(orders!$D875,products!$A$1:$A$49,0),MATCH(orders!K$1,products!$A$1:$G$1,0))</f>
        <v>0.2</v>
      </c>
      <c r="L875" s="4">
        <f>INDEX(products!$A$1:$G$49,MATCH(orders!$D875,products!$A$1:$A$49,0),MATCH(orders!L$1,products!$A$1:$G$1,0))</f>
        <v>2.9849999999999999</v>
      </c>
      <c r="M875" s="4">
        <f t="shared" si="13"/>
        <v>11.94</v>
      </c>
      <c r="N875" t="str" cm="1">
        <f t="array" ref="N875">_xlfn.IFS(I875="Rob","Robusta",I875="Exc","Excelsa",I875="Ara","Arabica",I875="Lib","Liberica")</f>
        <v>Robusta</v>
      </c>
      <c r="O875" t="str" cm="1">
        <f t="array" ref="O875">_xlfn.IFS(J875="M","Medium",J875="L","Large",J875="D","Dark")</f>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_xlfn.XLOOKUP(C876,customers!$A$1:$A$1001,customers!$B$1:$B$1001,,0)</f>
        <v>Jaquenette Skentelbery</v>
      </c>
      <c r="G876" s="2" t="str">
        <f>IF(_xlfn.XLOOKUP(C876,customers!$A$1:$A$1001,customers!$C$1:$C$1001,,0)=0,"",_xlfn.XLOOKUP(C876,customers!$A$1:$A$1001,customers!$C$1:$C$1001,,0))</f>
        <v>jskentelberyoa@paypal.com</v>
      </c>
      <c r="H876" s="2" t="str">
        <f>_xlfn.XLOOKUP(C876,customers!$A$1:$A$1001,customers!$G$1:$G$1001,,0)</f>
        <v>United States</v>
      </c>
      <c r="I876" t="str">
        <f>INDEX(products!$A$1:$G$49,MATCH(orders!$D876,products!$A$1:$A$49,0),MATCH(orders!I$1,products!$A$1:$G$1,0))</f>
        <v>Ara</v>
      </c>
      <c r="J876" t="str">
        <f>INDEX(products!$A$1:$G$49,MATCH(orders!$D876,products!$A$1:$A$49,0),MATCH(orders!J$1,products!$A$1:$G$1,0))</f>
        <v>L</v>
      </c>
      <c r="K876" s="7">
        <f>INDEX(products!$A$1:$G$49,MATCH(orders!$D876,products!$A$1:$A$49,0),MATCH(orders!K$1,products!$A$1:$G$1,0))</f>
        <v>1</v>
      </c>
      <c r="L876" s="4">
        <f>INDEX(products!$A$1:$G$49,MATCH(orders!$D876,products!$A$1:$A$49,0),MATCH(orders!L$1,products!$A$1:$G$1,0))</f>
        <v>12.95</v>
      </c>
      <c r="M876" s="4">
        <f t="shared" si="13"/>
        <v>25.9</v>
      </c>
      <c r="N876" t="str" cm="1">
        <f t="array" ref="N876">_xlfn.IFS(I876="Rob","Robusta",I876="Exc","Excelsa",I876="Ara","Arabica",I876="Lib","Liberica")</f>
        <v>Arabica</v>
      </c>
      <c r="O876" t="str" cm="1">
        <f t="array" ref="O876">_xlfn.IFS(J876="M","Medium",J876="L","Large",J876="D","Dark")</f>
        <v>Large</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_xlfn.XLOOKUP(C877,customers!$A$1:$A$1001,customers!$B$1:$B$1001,,0)</f>
        <v>Orazio Comber</v>
      </c>
      <c r="G877" s="2" t="str">
        <f>IF(_xlfn.XLOOKUP(C877,customers!$A$1:$A$1001,customers!$C$1:$C$1001,,0)=0,"",_xlfn.XLOOKUP(C877,customers!$A$1:$A$1001,customers!$C$1:$C$1001,,0))</f>
        <v>ocomberob@goo.gl</v>
      </c>
      <c r="H877" s="2" t="str">
        <f>_xlfn.XLOOKUP(C877,customers!$A$1:$A$1001,customers!$G$1:$G$1001,,0)</f>
        <v>Ireland</v>
      </c>
      <c r="I877" t="str">
        <f>INDEX(products!$A$1:$G$49,MATCH(orders!$D877,products!$A$1:$A$49,0),MATCH(orders!I$1,products!$A$1:$G$1,0))</f>
        <v>Lib</v>
      </c>
      <c r="J877" t="str">
        <f>INDEX(products!$A$1:$G$49,MATCH(orders!$D877,products!$A$1:$A$49,0),MATCH(orders!J$1,products!$A$1:$G$1,0))</f>
        <v>M</v>
      </c>
      <c r="K877" s="7">
        <f>INDEX(products!$A$1:$G$49,MATCH(orders!$D877,products!$A$1:$A$49,0),MATCH(orders!K$1,products!$A$1:$G$1,0))</f>
        <v>0.5</v>
      </c>
      <c r="L877" s="4">
        <f>INDEX(products!$A$1:$G$49,MATCH(orders!$D877,products!$A$1:$A$49,0),MATCH(orders!L$1,products!$A$1:$G$1,0))</f>
        <v>8.73</v>
      </c>
      <c r="M877" s="4">
        <f t="shared" si="13"/>
        <v>43.650000000000006</v>
      </c>
      <c r="N877" t="str" cm="1">
        <f t="array" ref="N877">_xlfn.IFS(I877="Rob","Robusta",I877="Exc","Excelsa",I877="Ara","Arabica",I877="Lib","Liberica")</f>
        <v>Liberica</v>
      </c>
      <c r="O877" t="str" cm="1">
        <f t="array" ref="O877">_xlfn.IFS(J877="M","Medium",J877="L","Large",J877="D","Dark")</f>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_xlfn.XLOOKUP(C878,customers!$A$1:$A$1001,customers!$B$1:$B$1001,,0)</f>
        <v>Orazio Comber</v>
      </c>
      <c r="G878" s="2" t="str">
        <f>IF(_xlfn.XLOOKUP(C878,customers!$A$1:$A$1001,customers!$C$1:$C$1001,,0)=0,"",_xlfn.XLOOKUP(C878,customers!$A$1:$A$1001,customers!$C$1:$C$1001,,0))</f>
        <v>ocomberob@goo.gl</v>
      </c>
      <c r="H878" s="2" t="str">
        <f>_xlfn.XLOOKUP(C878,customers!$A$1:$A$1001,customers!$G$1:$G$1001,,0)</f>
        <v>Ireland</v>
      </c>
      <c r="I878" t="str">
        <f>INDEX(products!$A$1:$G$49,MATCH(orders!$D878,products!$A$1:$A$49,0),MATCH(orders!I$1,products!$A$1:$G$1,0))</f>
        <v>Ara</v>
      </c>
      <c r="J878" t="str">
        <f>INDEX(products!$A$1:$G$49,MATCH(orders!$D878,products!$A$1:$A$49,0),MATCH(orders!J$1,products!$A$1:$G$1,0))</f>
        <v>L</v>
      </c>
      <c r="K878" s="7">
        <f>INDEX(products!$A$1:$G$49,MATCH(orders!$D878,products!$A$1:$A$49,0),MATCH(orders!K$1,products!$A$1:$G$1,0))</f>
        <v>0.5</v>
      </c>
      <c r="L878" s="4">
        <f>INDEX(products!$A$1:$G$49,MATCH(orders!$D878,products!$A$1:$A$49,0),MATCH(orders!L$1,products!$A$1:$G$1,0))</f>
        <v>7.77</v>
      </c>
      <c r="M878" s="4">
        <f t="shared" si="13"/>
        <v>46.62</v>
      </c>
      <c r="N878" t="str" cm="1">
        <f t="array" ref="N878">_xlfn.IFS(I878="Rob","Robusta",I878="Exc","Excelsa",I878="Ara","Arabica",I878="Lib","Liberica")</f>
        <v>Arabica</v>
      </c>
      <c r="O878" t="str" cm="1">
        <f t="array" ref="O878">_xlfn.IFS(J878="M","Medium",J878="L","Large",J878="D","Dark")</f>
        <v>Large</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_xlfn.XLOOKUP(C879,customers!$A$1:$A$1001,customers!$B$1:$B$1001,,0)</f>
        <v>Zachary Tramel</v>
      </c>
      <c r="G879" s="2" t="str">
        <f>IF(_xlfn.XLOOKUP(C879,customers!$A$1:$A$1001,customers!$C$1:$C$1001,,0)=0,"",_xlfn.XLOOKUP(C879,customers!$A$1:$A$1001,customers!$C$1:$C$1001,,0))</f>
        <v>ztramelod@netlog.com</v>
      </c>
      <c r="H879" s="2" t="str">
        <f>_xlfn.XLOOKUP(C879,customers!$A$1:$A$1001,customers!$G$1:$G$1001,,0)</f>
        <v>United States</v>
      </c>
      <c r="I879" t="str">
        <f>INDEX(products!$A$1:$G$49,MATCH(orders!$D879,products!$A$1:$A$49,0),MATCH(orders!I$1,products!$A$1:$G$1,0))</f>
        <v>Lib</v>
      </c>
      <c r="J879" t="str">
        <f>INDEX(products!$A$1:$G$49,MATCH(orders!$D879,products!$A$1:$A$49,0),MATCH(orders!J$1,products!$A$1:$G$1,0))</f>
        <v>L</v>
      </c>
      <c r="K879" s="7">
        <f>INDEX(products!$A$1:$G$49,MATCH(orders!$D879,products!$A$1:$A$49,0),MATCH(orders!K$1,products!$A$1:$G$1,0))</f>
        <v>0.5</v>
      </c>
      <c r="L879" s="4">
        <f>INDEX(products!$A$1:$G$49,MATCH(orders!$D879,products!$A$1:$A$49,0),MATCH(orders!L$1,products!$A$1:$G$1,0))</f>
        <v>9.51</v>
      </c>
      <c r="M879" s="4">
        <f t="shared" si="13"/>
        <v>28.53</v>
      </c>
      <c r="N879" t="str" cm="1">
        <f t="array" ref="N879">_xlfn.IFS(I879="Rob","Robusta",I879="Exc","Excelsa",I879="Ara","Arabica",I879="Lib","Liberica")</f>
        <v>Liberica</v>
      </c>
      <c r="O879" t="str" cm="1">
        <f t="array" ref="O879">_xlfn.IFS(J879="M","Medium",J879="L","Large",J879="D","Dark")</f>
        <v>Large</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_xlfn.XLOOKUP(C880,customers!$A$1:$A$1001,customers!$B$1:$B$1001,,0)</f>
        <v>Izaak Primak</v>
      </c>
      <c r="G880" s="2" t="str">
        <f>IF(_xlfn.XLOOKUP(C880,customers!$A$1:$A$1001,customers!$C$1:$C$1001,,0)=0,"",_xlfn.XLOOKUP(C880,customers!$A$1:$A$1001,customers!$C$1:$C$1001,,0))</f>
        <v/>
      </c>
      <c r="H880" s="2" t="str">
        <f>_xlfn.XLOOKUP(C880,customers!$A$1:$A$1001,customers!$G$1:$G$1001,,0)</f>
        <v>United States</v>
      </c>
      <c r="I880" t="str">
        <f>INDEX(products!$A$1:$G$49,MATCH(orders!$D880,products!$A$1:$A$49,0),MATCH(orders!I$1,products!$A$1:$G$1,0))</f>
        <v>Rob</v>
      </c>
      <c r="J880" t="str">
        <f>INDEX(products!$A$1:$G$49,MATCH(orders!$D880,products!$A$1:$A$49,0),MATCH(orders!J$1,products!$A$1:$G$1,0))</f>
        <v>L</v>
      </c>
      <c r="K880" s="7">
        <f>INDEX(products!$A$1:$G$49,MATCH(orders!$D880,products!$A$1:$A$49,0),MATCH(orders!K$1,products!$A$1:$G$1,0))</f>
        <v>2.5</v>
      </c>
      <c r="L880" s="4">
        <f>INDEX(products!$A$1:$G$49,MATCH(orders!$D880,products!$A$1:$A$49,0),MATCH(orders!L$1,products!$A$1:$G$1,0))</f>
        <v>27.484999999999996</v>
      </c>
      <c r="M880" s="4">
        <f t="shared" si="13"/>
        <v>27.484999999999996</v>
      </c>
      <c r="N880" t="str" cm="1">
        <f t="array" ref="N880">_xlfn.IFS(I880="Rob","Robusta",I880="Exc","Excelsa",I880="Ara","Arabica",I880="Lib","Liberica")</f>
        <v>Robusta</v>
      </c>
      <c r="O880" t="str" cm="1">
        <f t="array" ref="O880">_xlfn.IFS(J880="M","Medium",J880="L","Large",J880="D","Dark")</f>
        <v>Large</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_xlfn.XLOOKUP(C881,customers!$A$1:$A$1001,customers!$B$1:$B$1001,,0)</f>
        <v>Brittani Thoresbie</v>
      </c>
      <c r="G881" s="2" t="str">
        <f>IF(_xlfn.XLOOKUP(C881,customers!$A$1:$A$1001,customers!$C$1:$C$1001,,0)=0,"",_xlfn.XLOOKUP(C881,customers!$A$1:$A$1001,customers!$C$1:$C$1001,,0))</f>
        <v/>
      </c>
      <c r="H881" s="2" t="str">
        <f>_xlfn.XLOOKUP(C881,customers!$A$1:$A$1001,customers!$G$1:$G$1001,,0)</f>
        <v>United States</v>
      </c>
      <c r="I881" t="str">
        <f>INDEX(products!$A$1:$G$49,MATCH(orders!$D881,products!$A$1:$A$49,0),MATCH(orders!I$1,products!$A$1:$G$1,0))</f>
        <v>Exc</v>
      </c>
      <c r="J881" t="str">
        <f>INDEX(products!$A$1:$G$49,MATCH(orders!$D881,products!$A$1:$A$49,0),MATCH(orders!J$1,products!$A$1:$G$1,0))</f>
        <v>D</v>
      </c>
      <c r="K881" s="7">
        <f>INDEX(products!$A$1:$G$49,MATCH(orders!$D881,products!$A$1:$A$49,0),MATCH(orders!K$1,products!$A$1:$G$1,0))</f>
        <v>0.2</v>
      </c>
      <c r="L881" s="4">
        <f>INDEX(products!$A$1:$G$49,MATCH(orders!$D881,products!$A$1:$A$49,0),MATCH(orders!L$1,products!$A$1:$G$1,0))</f>
        <v>3.645</v>
      </c>
      <c r="M881" s="4">
        <f t="shared" si="13"/>
        <v>10.935</v>
      </c>
      <c r="N881" t="str" cm="1">
        <f t="array" ref="N881">_xlfn.IFS(I881="Rob","Robusta",I881="Exc","Excelsa",I881="Ara","Arabica",I881="Lib","Liberica")</f>
        <v>Excelsa</v>
      </c>
      <c r="O881" t="str" cm="1">
        <f t="array" ref="O881">_xlfn.IFS(J881="M","Medium",J881="L","Large",J881="D","Dark")</f>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_xlfn.XLOOKUP(C882,customers!$A$1:$A$1001,customers!$B$1:$B$1001,,0)</f>
        <v>Constanta Hatfull</v>
      </c>
      <c r="G882" s="2" t="str">
        <f>IF(_xlfn.XLOOKUP(C882,customers!$A$1:$A$1001,customers!$C$1:$C$1001,,0)=0,"",_xlfn.XLOOKUP(C882,customers!$A$1:$A$1001,customers!$C$1:$C$1001,,0))</f>
        <v>chatfullog@ebay.com</v>
      </c>
      <c r="H882" s="2" t="str">
        <f>_xlfn.XLOOKUP(C882,customers!$A$1:$A$1001,customers!$G$1:$G$1001,,0)</f>
        <v>United States</v>
      </c>
      <c r="I882" t="str">
        <f>INDEX(products!$A$1:$G$49,MATCH(orders!$D882,products!$A$1:$A$49,0),MATCH(orders!I$1,products!$A$1:$G$1,0))</f>
        <v>Rob</v>
      </c>
      <c r="J882" t="str">
        <f>INDEX(products!$A$1:$G$49,MATCH(orders!$D882,products!$A$1:$A$49,0),MATCH(orders!J$1,products!$A$1:$G$1,0))</f>
        <v>L</v>
      </c>
      <c r="K882" s="7">
        <f>INDEX(products!$A$1:$G$49,MATCH(orders!$D882,products!$A$1:$A$49,0),MATCH(orders!K$1,products!$A$1:$G$1,0))</f>
        <v>0.2</v>
      </c>
      <c r="L882" s="4">
        <f>INDEX(products!$A$1:$G$49,MATCH(orders!$D882,products!$A$1:$A$49,0),MATCH(orders!L$1,products!$A$1:$G$1,0))</f>
        <v>3.5849999999999995</v>
      </c>
      <c r="M882" s="4">
        <f t="shared" si="13"/>
        <v>7.169999999999999</v>
      </c>
      <c r="N882" t="str" cm="1">
        <f t="array" ref="N882">_xlfn.IFS(I882="Rob","Robusta",I882="Exc","Excelsa",I882="Ara","Arabica",I882="Lib","Liberica")</f>
        <v>Robusta</v>
      </c>
      <c r="O882" t="str" cm="1">
        <f t="array" ref="O882">_xlfn.IFS(J882="M","Medium",J882="L","Large",J882="D","Dark")</f>
        <v>Large</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_xlfn.XLOOKUP(C883,customers!$A$1:$A$1001,customers!$B$1:$B$1001,,0)</f>
        <v>Bobbe Castagneto</v>
      </c>
      <c r="G883" s="2" t="str">
        <f>IF(_xlfn.XLOOKUP(C883,customers!$A$1:$A$1001,customers!$C$1:$C$1001,,0)=0,"",_xlfn.XLOOKUP(C883,customers!$A$1:$A$1001,customers!$C$1:$C$1001,,0))</f>
        <v/>
      </c>
      <c r="H883" s="2" t="str">
        <f>_xlfn.XLOOKUP(C883,customers!$A$1:$A$1001,customers!$G$1:$G$1001,,0)</f>
        <v>United States</v>
      </c>
      <c r="I883" t="str">
        <f>INDEX(products!$A$1:$G$49,MATCH(orders!$D883,products!$A$1:$A$49,0),MATCH(orders!I$1,products!$A$1:$G$1,0))</f>
        <v>Ara</v>
      </c>
      <c r="J883" t="str">
        <f>INDEX(products!$A$1:$G$49,MATCH(orders!$D883,products!$A$1:$A$49,0),MATCH(orders!J$1,products!$A$1:$G$1,0))</f>
        <v>L</v>
      </c>
      <c r="K883" s="7">
        <f>INDEX(products!$A$1:$G$49,MATCH(orders!$D883,products!$A$1:$A$49,0),MATCH(orders!K$1,products!$A$1:$G$1,0))</f>
        <v>0.2</v>
      </c>
      <c r="L883" s="4">
        <f>INDEX(products!$A$1:$G$49,MATCH(orders!$D883,products!$A$1:$A$49,0),MATCH(orders!L$1,products!$A$1:$G$1,0))</f>
        <v>3.8849999999999998</v>
      </c>
      <c r="M883" s="4">
        <f t="shared" si="13"/>
        <v>23.31</v>
      </c>
      <c r="N883" t="str" cm="1">
        <f t="array" ref="N883">_xlfn.IFS(I883="Rob","Robusta",I883="Exc","Excelsa",I883="Ara","Arabica",I883="Lib","Liberica")</f>
        <v>Arabica</v>
      </c>
      <c r="O883" t="str" cm="1">
        <f t="array" ref="O883">_xlfn.IFS(J883="M","Medium",J883="L","Large",J883="D","Dark")</f>
        <v>Large</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_xlfn.XLOOKUP(C884,customers!$A$1:$A$1001,customers!$B$1:$B$1001,,0)</f>
        <v>Kippie Marrison</v>
      </c>
      <c r="G884" s="2" t="str">
        <f>IF(_xlfn.XLOOKUP(C884,customers!$A$1:$A$1001,customers!$C$1:$C$1001,,0)=0,"",_xlfn.XLOOKUP(C884,customers!$A$1:$A$1001,customers!$C$1:$C$1001,,0))</f>
        <v>kmarrisonoq@dropbox.com</v>
      </c>
      <c r="H884" s="2" t="str">
        <f>_xlfn.XLOOKUP(C884,customers!$A$1:$A$1001,customers!$G$1:$G$1001,,0)</f>
        <v>United States</v>
      </c>
      <c r="I884" t="str">
        <f>INDEX(products!$A$1:$G$49,MATCH(orders!$D884,products!$A$1:$A$49,0),MATCH(orders!I$1,products!$A$1:$G$1,0))</f>
        <v>Ara</v>
      </c>
      <c r="J884" t="str">
        <f>INDEX(products!$A$1:$G$49,MATCH(orders!$D884,products!$A$1:$A$49,0),MATCH(orders!J$1,products!$A$1:$G$1,0))</f>
        <v>D</v>
      </c>
      <c r="K884" s="7">
        <f>INDEX(products!$A$1:$G$49,MATCH(orders!$D884,products!$A$1:$A$49,0),MATCH(orders!K$1,products!$A$1:$G$1,0))</f>
        <v>2.5</v>
      </c>
      <c r="L884" s="4">
        <f>INDEX(products!$A$1:$G$49,MATCH(orders!$D884,products!$A$1:$A$49,0),MATCH(orders!L$1,products!$A$1:$G$1,0))</f>
        <v>22.884999999999998</v>
      </c>
      <c r="M884" s="4">
        <f t="shared" si="13"/>
        <v>114.42499999999998</v>
      </c>
      <c r="N884" t="str" cm="1">
        <f t="array" ref="N884">_xlfn.IFS(I884="Rob","Robusta",I884="Exc","Excelsa",I884="Ara","Arabica",I884="Lib","Liberica")</f>
        <v>Arabica</v>
      </c>
      <c r="O884" t="str" cm="1">
        <f t="array" ref="O884">_xlfn.IFS(J884="M","Medium",J884="L","Large",J884="D","Dark")</f>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_xlfn.XLOOKUP(C885,customers!$A$1:$A$1001,customers!$B$1:$B$1001,,0)</f>
        <v>Lindon Agnolo</v>
      </c>
      <c r="G885" s="2" t="str">
        <f>IF(_xlfn.XLOOKUP(C885,customers!$A$1:$A$1001,customers!$C$1:$C$1001,,0)=0,"",_xlfn.XLOOKUP(C885,customers!$A$1:$A$1001,customers!$C$1:$C$1001,,0))</f>
        <v>lagnolooj@pinterest.com</v>
      </c>
      <c r="H885" s="2" t="str">
        <f>_xlfn.XLOOKUP(C885,customers!$A$1:$A$1001,customers!$G$1:$G$1001,,0)</f>
        <v>United States</v>
      </c>
      <c r="I885" t="str">
        <f>INDEX(products!$A$1:$G$49,MATCH(orders!$D885,products!$A$1:$A$49,0),MATCH(orders!I$1,products!$A$1:$G$1,0))</f>
        <v>Ara</v>
      </c>
      <c r="J885" t="str">
        <f>INDEX(products!$A$1:$G$49,MATCH(orders!$D885,products!$A$1:$A$49,0),MATCH(orders!J$1,products!$A$1:$G$1,0))</f>
        <v>M</v>
      </c>
      <c r="K885" s="7">
        <f>INDEX(products!$A$1:$G$49,MATCH(orders!$D885,products!$A$1:$A$49,0),MATCH(orders!K$1,products!$A$1:$G$1,0))</f>
        <v>2.5</v>
      </c>
      <c r="L885" s="4">
        <f>INDEX(products!$A$1:$G$49,MATCH(orders!$D885,products!$A$1:$A$49,0),MATCH(orders!L$1,products!$A$1:$G$1,0))</f>
        <v>25.874999999999996</v>
      </c>
      <c r="M885" s="4">
        <f t="shared" si="13"/>
        <v>77.624999999999986</v>
      </c>
      <c r="N885" t="str" cm="1">
        <f t="array" ref="N885">_xlfn.IFS(I885="Rob","Robusta",I885="Exc","Excelsa",I885="Ara","Arabica",I885="Lib","Liberica")</f>
        <v>Arabica</v>
      </c>
      <c r="O885" t="str" cm="1">
        <f t="array" ref="O885">_xlfn.IFS(J885="M","Medium",J885="L","Large",J885="D","Dark")</f>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_xlfn.XLOOKUP(C886,customers!$A$1:$A$1001,customers!$B$1:$B$1001,,0)</f>
        <v>Delainey Kiddy</v>
      </c>
      <c r="G886" s="2" t="str">
        <f>IF(_xlfn.XLOOKUP(C886,customers!$A$1:$A$1001,customers!$C$1:$C$1001,,0)=0,"",_xlfn.XLOOKUP(C886,customers!$A$1:$A$1001,customers!$C$1:$C$1001,,0))</f>
        <v>dkiddyok@fda.gov</v>
      </c>
      <c r="H886" s="2" t="str">
        <f>_xlfn.XLOOKUP(C886,customers!$A$1:$A$1001,customers!$G$1:$G$1001,,0)</f>
        <v>United States</v>
      </c>
      <c r="I886" t="str">
        <f>INDEX(products!$A$1:$G$49,MATCH(orders!$D886,products!$A$1:$A$49,0),MATCH(orders!I$1,products!$A$1:$G$1,0))</f>
        <v>Rob</v>
      </c>
      <c r="J886" t="str">
        <f>INDEX(products!$A$1:$G$49,MATCH(orders!$D886,products!$A$1:$A$49,0),MATCH(orders!J$1,products!$A$1:$G$1,0))</f>
        <v>D</v>
      </c>
      <c r="K886" s="7">
        <f>INDEX(products!$A$1:$G$49,MATCH(orders!$D886,products!$A$1:$A$49,0),MATCH(orders!K$1,products!$A$1:$G$1,0))</f>
        <v>0.5</v>
      </c>
      <c r="L886" s="4">
        <f>INDEX(products!$A$1:$G$49,MATCH(orders!$D886,products!$A$1:$A$49,0),MATCH(orders!L$1,products!$A$1:$G$1,0))</f>
        <v>5.3699999999999992</v>
      </c>
      <c r="M886" s="4">
        <f t="shared" si="13"/>
        <v>5.3699999999999992</v>
      </c>
      <c r="N886" t="str" cm="1">
        <f t="array" ref="N886">_xlfn.IFS(I886="Rob","Robusta",I886="Exc","Excelsa",I886="Ara","Arabica",I886="Lib","Liberica")</f>
        <v>Robusta</v>
      </c>
      <c r="O886" t="str" cm="1">
        <f t="array" ref="O886">_xlfn.IFS(J886="M","Medium",J886="L","Large",J886="D","Dark")</f>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_xlfn.XLOOKUP(C887,customers!$A$1:$A$1001,customers!$B$1:$B$1001,,0)</f>
        <v>Helli Petroulis</v>
      </c>
      <c r="G887" s="2" t="str">
        <f>IF(_xlfn.XLOOKUP(C887,customers!$A$1:$A$1001,customers!$C$1:$C$1001,,0)=0,"",_xlfn.XLOOKUP(C887,customers!$A$1:$A$1001,customers!$C$1:$C$1001,,0))</f>
        <v>hpetroulisol@state.tx.us</v>
      </c>
      <c r="H887" s="2" t="str">
        <f>_xlfn.XLOOKUP(C887,customers!$A$1:$A$1001,customers!$G$1:$G$1001,,0)</f>
        <v>Ireland</v>
      </c>
      <c r="I887" t="str">
        <f>INDEX(products!$A$1:$G$49,MATCH(orders!$D887,products!$A$1:$A$49,0),MATCH(orders!I$1,products!$A$1:$G$1,0))</f>
        <v>Rob</v>
      </c>
      <c r="J887" t="str">
        <f>INDEX(products!$A$1:$G$49,MATCH(orders!$D887,products!$A$1:$A$49,0),MATCH(orders!J$1,products!$A$1:$G$1,0))</f>
        <v>D</v>
      </c>
      <c r="K887" s="7">
        <f>INDEX(products!$A$1:$G$49,MATCH(orders!$D887,products!$A$1:$A$49,0),MATCH(orders!K$1,products!$A$1:$G$1,0))</f>
        <v>2.5</v>
      </c>
      <c r="L887" s="4">
        <f>INDEX(products!$A$1:$G$49,MATCH(orders!$D887,products!$A$1:$A$49,0),MATCH(orders!L$1,products!$A$1:$G$1,0))</f>
        <v>20.584999999999997</v>
      </c>
      <c r="M887" s="4">
        <f t="shared" si="13"/>
        <v>123.50999999999999</v>
      </c>
      <c r="N887" t="str" cm="1">
        <f t="array" ref="N887">_xlfn.IFS(I887="Rob","Robusta",I887="Exc","Excelsa",I887="Ara","Arabica",I887="Lib","Liberica")</f>
        <v>Robusta</v>
      </c>
      <c r="O887" t="str" cm="1">
        <f t="array" ref="O887">_xlfn.IFS(J887="M","Medium",J887="L","Large",J887="D","Dark")</f>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_xlfn.XLOOKUP(C888,customers!$A$1:$A$1001,customers!$B$1:$B$1001,,0)</f>
        <v>Marty Scholl</v>
      </c>
      <c r="G888" s="2" t="str">
        <f>IF(_xlfn.XLOOKUP(C888,customers!$A$1:$A$1001,customers!$C$1:$C$1001,,0)=0,"",_xlfn.XLOOKUP(C888,customers!$A$1:$A$1001,customers!$C$1:$C$1001,,0))</f>
        <v>mschollom@taobao.com</v>
      </c>
      <c r="H888" s="2" t="str">
        <f>_xlfn.XLOOKUP(C888,customers!$A$1:$A$1001,customers!$G$1:$G$1001,,0)</f>
        <v>United States</v>
      </c>
      <c r="I888" t="str">
        <f>INDEX(products!$A$1:$G$49,MATCH(orders!$D888,products!$A$1:$A$49,0),MATCH(orders!I$1,products!$A$1:$G$1,0))</f>
        <v>Lib</v>
      </c>
      <c r="J888" t="str">
        <f>INDEX(products!$A$1:$G$49,MATCH(orders!$D888,products!$A$1:$A$49,0),MATCH(orders!J$1,products!$A$1:$G$1,0))</f>
        <v>M</v>
      </c>
      <c r="K888" s="7">
        <f>INDEX(products!$A$1:$G$49,MATCH(orders!$D888,products!$A$1:$A$49,0),MATCH(orders!K$1,products!$A$1:$G$1,0))</f>
        <v>0.5</v>
      </c>
      <c r="L888" s="4">
        <f>INDEX(products!$A$1:$G$49,MATCH(orders!$D888,products!$A$1:$A$49,0),MATCH(orders!L$1,products!$A$1:$G$1,0))</f>
        <v>8.73</v>
      </c>
      <c r="M888" s="4">
        <f t="shared" si="13"/>
        <v>17.46</v>
      </c>
      <c r="N888" t="str" cm="1">
        <f t="array" ref="N888">_xlfn.IFS(I888="Rob","Robusta",I888="Exc","Excelsa",I888="Ara","Arabica",I888="Lib","Liberica")</f>
        <v>Liberica</v>
      </c>
      <c r="O888" t="str" cm="1">
        <f t="array" ref="O888">_xlfn.IFS(J888="M","Medium",J888="L","Large",J888="D","Dark")</f>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_xlfn.XLOOKUP(C889,customers!$A$1:$A$1001,customers!$B$1:$B$1001,,0)</f>
        <v>Kienan Ferson</v>
      </c>
      <c r="G889" s="2" t="str">
        <f>IF(_xlfn.XLOOKUP(C889,customers!$A$1:$A$1001,customers!$C$1:$C$1001,,0)=0,"",_xlfn.XLOOKUP(C889,customers!$A$1:$A$1001,customers!$C$1:$C$1001,,0))</f>
        <v>kfersonon@g.co</v>
      </c>
      <c r="H889" s="2" t="str">
        <f>_xlfn.XLOOKUP(C889,customers!$A$1:$A$1001,customers!$G$1:$G$1001,,0)</f>
        <v>United States</v>
      </c>
      <c r="I889" t="str">
        <f>INDEX(products!$A$1:$G$49,MATCH(orders!$D889,products!$A$1:$A$49,0),MATCH(orders!I$1,products!$A$1:$G$1,0))</f>
        <v>Exc</v>
      </c>
      <c r="J889" t="str">
        <f>INDEX(products!$A$1:$G$49,MATCH(orders!$D889,products!$A$1:$A$49,0),MATCH(orders!J$1,products!$A$1:$G$1,0))</f>
        <v>L</v>
      </c>
      <c r="K889" s="7">
        <f>INDEX(products!$A$1:$G$49,MATCH(orders!$D889,products!$A$1:$A$49,0),MATCH(orders!K$1,products!$A$1:$G$1,0))</f>
        <v>0.2</v>
      </c>
      <c r="L889" s="4">
        <f>INDEX(products!$A$1:$G$49,MATCH(orders!$D889,products!$A$1:$A$49,0),MATCH(orders!L$1,products!$A$1:$G$1,0))</f>
        <v>4.4550000000000001</v>
      </c>
      <c r="M889" s="4">
        <f t="shared" si="13"/>
        <v>13.365</v>
      </c>
      <c r="N889" t="str" cm="1">
        <f t="array" ref="N889">_xlfn.IFS(I889="Rob","Robusta",I889="Exc","Excelsa",I889="Ara","Arabica",I889="Lib","Liberica")</f>
        <v>Excelsa</v>
      </c>
      <c r="O889" t="str" cm="1">
        <f t="array" ref="O889">_xlfn.IFS(J889="M","Medium",J889="L","Large",J889="D","Dark")</f>
        <v>Large</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_xlfn.XLOOKUP(C890,customers!$A$1:$A$1001,customers!$B$1:$B$1001,,0)</f>
        <v>Blake Kelloway</v>
      </c>
      <c r="G890" s="2" t="str">
        <f>IF(_xlfn.XLOOKUP(C890,customers!$A$1:$A$1001,customers!$C$1:$C$1001,,0)=0,"",_xlfn.XLOOKUP(C890,customers!$A$1:$A$1001,customers!$C$1:$C$1001,,0))</f>
        <v>bkellowayoo@omniture.com</v>
      </c>
      <c r="H890" s="2" t="str">
        <f>_xlfn.XLOOKUP(C890,customers!$A$1:$A$1001,customers!$G$1:$G$1001,,0)</f>
        <v>United States</v>
      </c>
      <c r="I890" t="str">
        <f>INDEX(products!$A$1:$G$49,MATCH(orders!$D890,products!$A$1:$A$49,0),MATCH(orders!I$1,products!$A$1:$G$1,0))</f>
        <v>Ara</v>
      </c>
      <c r="J890" t="str">
        <f>INDEX(products!$A$1:$G$49,MATCH(orders!$D890,products!$A$1:$A$49,0),MATCH(orders!J$1,products!$A$1:$G$1,0))</f>
        <v>L</v>
      </c>
      <c r="K890" s="7">
        <f>INDEX(products!$A$1:$G$49,MATCH(orders!$D890,products!$A$1:$A$49,0),MATCH(orders!K$1,products!$A$1:$G$1,0))</f>
        <v>0.2</v>
      </c>
      <c r="L890" s="4">
        <f>INDEX(products!$A$1:$G$49,MATCH(orders!$D890,products!$A$1:$A$49,0),MATCH(orders!L$1,products!$A$1:$G$1,0))</f>
        <v>3.8849999999999998</v>
      </c>
      <c r="M890" s="4">
        <f t="shared" si="13"/>
        <v>7.77</v>
      </c>
      <c r="N890" t="str" cm="1">
        <f t="array" ref="N890">_xlfn.IFS(I890="Rob","Robusta",I890="Exc","Excelsa",I890="Ara","Arabica",I890="Lib","Liberica")</f>
        <v>Arabica</v>
      </c>
      <c r="O890" t="str" cm="1">
        <f t="array" ref="O890">_xlfn.IFS(J890="M","Medium",J890="L","Large",J890="D","Dark")</f>
        <v>Large</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_xlfn.XLOOKUP(C891,customers!$A$1:$A$1001,customers!$B$1:$B$1001,,0)</f>
        <v>Scarlett Oliffe</v>
      </c>
      <c r="G891" s="2" t="str">
        <f>IF(_xlfn.XLOOKUP(C891,customers!$A$1:$A$1001,customers!$C$1:$C$1001,,0)=0,"",_xlfn.XLOOKUP(C891,customers!$A$1:$A$1001,customers!$C$1:$C$1001,,0))</f>
        <v>soliffeop@yellowbook.com</v>
      </c>
      <c r="H891" s="2" t="str">
        <f>_xlfn.XLOOKUP(C891,customers!$A$1:$A$1001,customers!$G$1:$G$1001,,0)</f>
        <v>United States</v>
      </c>
      <c r="I891" t="str">
        <f>INDEX(products!$A$1:$G$49,MATCH(orders!$D891,products!$A$1:$A$49,0),MATCH(orders!I$1,products!$A$1:$G$1,0))</f>
        <v>Rob</v>
      </c>
      <c r="J891" t="str">
        <f>INDEX(products!$A$1:$G$49,MATCH(orders!$D891,products!$A$1:$A$49,0),MATCH(orders!J$1,products!$A$1:$G$1,0))</f>
        <v>D</v>
      </c>
      <c r="K891" s="7">
        <f>INDEX(products!$A$1:$G$49,MATCH(orders!$D891,products!$A$1:$A$49,0),MATCH(orders!K$1,products!$A$1:$G$1,0))</f>
        <v>0.2</v>
      </c>
      <c r="L891" s="4">
        <f>INDEX(products!$A$1:$G$49,MATCH(orders!$D891,products!$A$1:$A$49,0),MATCH(orders!L$1,products!$A$1:$G$1,0))</f>
        <v>2.6849999999999996</v>
      </c>
      <c r="M891" s="4">
        <f t="shared" si="13"/>
        <v>2.6849999999999996</v>
      </c>
      <c r="N891" t="str" cm="1">
        <f t="array" ref="N891">_xlfn.IFS(I891="Rob","Robusta",I891="Exc","Excelsa",I891="Ara","Arabica",I891="Lib","Liberica")</f>
        <v>Robusta</v>
      </c>
      <c r="O891" t="str" cm="1">
        <f t="array" ref="O891">_xlfn.IFS(J891="M","Medium",J891="L","Large",J891="D","Dark")</f>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_xlfn.XLOOKUP(C892,customers!$A$1:$A$1001,customers!$B$1:$B$1001,,0)</f>
        <v>Kippie Marrison</v>
      </c>
      <c r="G892" s="2" t="str">
        <f>IF(_xlfn.XLOOKUP(C892,customers!$A$1:$A$1001,customers!$C$1:$C$1001,,0)=0,"",_xlfn.XLOOKUP(C892,customers!$A$1:$A$1001,customers!$C$1:$C$1001,,0))</f>
        <v>kmarrisonoq@dropbox.com</v>
      </c>
      <c r="H892" s="2" t="str">
        <f>_xlfn.XLOOKUP(C892,customers!$A$1:$A$1001,customers!$G$1:$G$1001,,0)</f>
        <v>United States</v>
      </c>
      <c r="I892" t="str">
        <f>INDEX(products!$A$1:$G$49,MATCH(orders!$D892,products!$A$1:$A$49,0),MATCH(orders!I$1,products!$A$1:$G$1,0))</f>
        <v>Rob</v>
      </c>
      <c r="J892" t="str">
        <f>INDEX(products!$A$1:$G$49,MATCH(orders!$D892,products!$A$1:$A$49,0),MATCH(orders!J$1,products!$A$1:$G$1,0))</f>
        <v>D</v>
      </c>
      <c r="K892" s="7">
        <f>INDEX(products!$A$1:$G$49,MATCH(orders!$D892,products!$A$1:$A$49,0),MATCH(orders!K$1,products!$A$1:$G$1,0))</f>
        <v>2.5</v>
      </c>
      <c r="L892" s="4">
        <f>INDEX(products!$A$1:$G$49,MATCH(orders!$D892,products!$A$1:$A$49,0),MATCH(orders!L$1,products!$A$1:$G$1,0))</f>
        <v>20.584999999999997</v>
      </c>
      <c r="M892" s="4">
        <f t="shared" si="13"/>
        <v>20.584999999999997</v>
      </c>
      <c r="N892" t="str" cm="1">
        <f t="array" ref="N892">_xlfn.IFS(I892="Rob","Robusta",I892="Exc","Excelsa",I892="Ara","Arabica",I892="Lib","Liberica")</f>
        <v>Robusta</v>
      </c>
      <c r="O892" t="str" cm="1">
        <f t="array" ref="O892">_xlfn.IFS(J892="M","Medium",J892="L","Large",J892="D","Dark")</f>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_xlfn.XLOOKUP(C893,customers!$A$1:$A$1001,customers!$B$1:$B$1001,,0)</f>
        <v>Celestia Dolohunty</v>
      </c>
      <c r="G893" s="2" t="str">
        <f>IF(_xlfn.XLOOKUP(C893,customers!$A$1:$A$1001,customers!$C$1:$C$1001,,0)=0,"",_xlfn.XLOOKUP(C893,customers!$A$1:$A$1001,customers!$C$1:$C$1001,,0))</f>
        <v>cdolohuntyor@dailymail.co.uk</v>
      </c>
      <c r="H893" s="2" t="str">
        <f>_xlfn.XLOOKUP(C893,customers!$A$1:$A$1001,customers!$G$1:$G$1001,,0)</f>
        <v>United States</v>
      </c>
      <c r="I893" t="str">
        <f>INDEX(products!$A$1:$G$49,MATCH(orders!$D893,products!$A$1:$A$49,0),MATCH(orders!I$1,products!$A$1:$G$1,0))</f>
        <v>Ara</v>
      </c>
      <c r="J893" t="str">
        <f>INDEX(products!$A$1:$G$49,MATCH(orders!$D893,products!$A$1:$A$49,0),MATCH(orders!J$1,products!$A$1:$G$1,0))</f>
        <v>D</v>
      </c>
      <c r="K893" s="7">
        <f>INDEX(products!$A$1:$G$49,MATCH(orders!$D893,products!$A$1:$A$49,0),MATCH(orders!K$1,products!$A$1:$G$1,0))</f>
        <v>2.5</v>
      </c>
      <c r="L893" s="4">
        <f>INDEX(products!$A$1:$G$49,MATCH(orders!$D893,products!$A$1:$A$49,0),MATCH(orders!L$1,products!$A$1:$G$1,0))</f>
        <v>22.884999999999998</v>
      </c>
      <c r="M893" s="4">
        <f t="shared" si="13"/>
        <v>114.42499999999998</v>
      </c>
      <c r="N893" t="str" cm="1">
        <f t="array" ref="N893">_xlfn.IFS(I893="Rob","Robusta",I893="Exc","Excelsa",I893="Ara","Arabica",I893="Lib","Liberica")</f>
        <v>Arabica</v>
      </c>
      <c r="O893" t="str" cm="1">
        <f t="array" ref="O893">_xlfn.IFS(J893="M","Medium",J893="L","Large",J893="D","Dark")</f>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_xlfn.XLOOKUP(C894,customers!$A$1:$A$1001,customers!$B$1:$B$1001,,0)</f>
        <v>Patsy Vasilenko</v>
      </c>
      <c r="G894" s="2" t="str">
        <f>IF(_xlfn.XLOOKUP(C894,customers!$A$1:$A$1001,customers!$C$1:$C$1001,,0)=0,"",_xlfn.XLOOKUP(C894,customers!$A$1:$A$1001,customers!$C$1:$C$1001,,0))</f>
        <v>pvasilenkoos@addtoany.com</v>
      </c>
      <c r="H894" s="2" t="str">
        <f>_xlfn.XLOOKUP(C894,customers!$A$1:$A$1001,customers!$G$1:$G$1001,,0)</f>
        <v>United Kingdom</v>
      </c>
      <c r="I894" t="str">
        <f>INDEX(products!$A$1:$G$49,MATCH(orders!$D894,products!$A$1:$A$49,0),MATCH(orders!I$1,products!$A$1:$G$1,0))</f>
        <v>Exc</v>
      </c>
      <c r="J894" t="str">
        <f>INDEX(products!$A$1:$G$49,MATCH(orders!$D894,products!$A$1:$A$49,0),MATCH(orders!J$1,products!$A$1:$G$1,0))</f>
        <v>M</v>
      </c>
      <c r="K894" s="7">
        <f>INDEX(products!$A$1:$G$49,MATCH(orders!$D894,products!$A$1:$A$49,0),MATCH(orders!K$1,products!$A$1:$G$1,0))</f>
        <v>0.2</v>
      </c>
      <c r="L894" s="4">
        <f>INDEX(products!$A$1:$G$49,MATCH(orders!$D894,products!$A$1:$A$49,0),MATCH(orders!L$1,products!$A$1:$G$1,0))</f>
        <v>4.125</v>
      </c>
      <c r="M894" s="4">
        <f t="shared" si="13"/>
        <v>20.625</v>
      </c>
      <c r="N894" t="str" cm="1">
        <f t="array" ref="N894">_xlfn.IFS(I894="Rob","Robusta",I894="Exc","Excelsa",I894="Ara","Arabica",I894="Lib","Liberica")</f>
        <v>Excelsa</v>
      </c>
      <c r="O894" t="str" cm="1">
        <f t="array" ref="O894">_xlfn.IFS(J894="M","Medium",J894="L","Large",J894="D","Dark")</f>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_xlfn.XLOOKUP(C895,customers!$A$1:$A$1001,customers!$B$1:$B$1001,,0)</f>
        <v>Raphaela Schankelborg</v>
      </c>
      <c r="G895" s="2" t="str">
        <f>IF(_xlfn.XLOOKUP(C895,customers!$A$1:$A$1001,customers!$C$1:$C$1001,,0)=0,"",_xlfn.XLOOKUP(C895,customers!$A$1:$A$1001,customers!$C$1:$C$1001,,0))</f>
        <v>rschankelborgot@ameblo.jp</v>
      </c>
      <c r="H895" s="2" t="str">
        <f>_xlfn.XLOOKUP(C895,customers!$A$1:$A$1001,customers!$G$1:$G$1001,,0)</f>
        <v>United States</v>
      </c>
      <c r="I895" t="str">
        <f>INDEX(products!$A$1:$G$49,MATCH(orders!$D895,products!$A$1:$A$49,0),MATCH(orders!I$1,products!$A$1:$G$1,0))</f>
        <v>Lib</v>
      </c>
      <c r="J895" t="str">
        <f>INDEX(products!$A$1:$G$49,MATCH(orders!$D895,products!$A$1:$A$49,0),MATCH(orders!J$1,products!$A$1:$G$1,0))</f>
        <v>L</v>
      </c>
      <c r="K895" s="7">
        <f>INDEX(products!$A$1:$G$49,MATCH(orders!$D895,products!$A$1:$A$49,0),MATCH(orders!K$1,products!$A$1:$G$1,0))</f>
        <v>0.5</v>
      </c>
      <c r="L895" s="4">
        <f>INDEX(products!$A$1:$G$49,MATCH(orders!$D895,products!$A$1:$A$49,0),MATCH(orders!L$1,products!$A$1:$G$1,0))</f>
        <v>9.51</v>
      </c>
      <c r="M895" s="4">
        <f t="shared" si="13"/>
        <v>57.06</v>
      </c>
      <c r="N895" t="str" cm="1">
        <f t="array" ref="N895">_xlfn.IFS(I895="Rob","Robusta",I895="Exc","Excelsa",I895="Ara","Arabica",I895="Lib","Liberica")</f>
        <v>Liberica</v>
      </c>
      <c r="O895" t="str" cm="1">
        <f t="array" ref="O895">_xlfn.IFS(J895="M","Medium",J895="L","Large",J895="D","Dark")</f>
        <v>Large</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_xlfn.XLOOKUP(C896,customers!$A$1:$A$1001,customers!$B$1:$B$1001,,0)</f>
        <v>Sharity Wickens</v>
      </c>
      <c r="G896" s="2" t="str">
        <f>IF(_xlfn.XLOOKUP(C896,customers!$A$1:$A$1001,customers!$C$1:$C$1001,,0)=0,"",_xlfn.XLOOKUP(C896,customers!$A$1:$A$1001,customers!$C$1:$C$1001,,0))</f>
        <v/>
      </c>
      <c r="H896" s="2" t="str">
        <f>_xlfn.XLOOKUP(C896,customers!$A$1:$A$1001,customers!$G$1:$G$1001,,0)</f>
        <v>Ireland</v>
      </c>
      <c r="I896" t="str">
        <f>INDEX(products!$A$1:$G$49,MATCH(orders!$D896,products!$A$1:$A$49,0),MATCH(orders!I$1,products!$A$1:$G$1,0))</f>
        <v>Rob</v>
      </c>
      <c r="J896" t="str">
        <f>INDEX(products!$A$1:$G$49,MATCH(orders!$D896,products!$A$1:$A$49,0),MATCH(orders!J$1,products!$A$1:$G$1,0))</f>
        <v>D</v>
      </c>
      <c r="K896" s="7">
        <f>INDEX(products!$A$1:$G$49,MATCH(orders!$D896,products!$A$1:$A$49,0),MATCH(orders!K$1,products!$A$1:$G$1,0))</f>
        <v>2.5</v>
      </c>
      <c r="L896" s="4">
        <f>INDEX(products!$A$1:$G$49,MATCH(orders!$D896,products!$A$1:$A$49,0),MATCH(orders!L$1,products!$A$1:$G$1,0))</f>
        <v>20.584999999999997</v>
      </c>
      <c r="M896" s="4">
        <f t="shared" si="13"/>
        <v>82.339999999999989</v>
      </c>
      <c r="N896" t="str" cm="1">
        <f t="array" ref="N896">_xlfn.IFS(I896="Rob","Robusta",I896="Exc","Excelsa",I896="Ara","Arabica",I896="Lib","Liberica")</f>
        <v>Robusta</v>
      </c>
      <c r="O896" t="str" cm="1">
        <f t="array" ref="O896">_xlfn.IFS(J896="M","Medium",J896="L","Large",J896="D","Dark")</f>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_xlfn.XLOOKUP(C897,customers!$A$1:$A$1001,customers!$B$1:$B$1001,,0)</f>
        <v>Derick Snow</v>
      </c>
      <c r="G897" s="2" t="str">
        <f>IF(_xlfn.XLOOKUP(C897,customers!$A$1:$A$1001,customers!$C$1:$C$1001,,0)=0,"",_xlfn.XLOOKUP(C897,customers!$A$1:$A$1001,customers!$C$1:$C$1001,,0))</f>
        <v/>
      </c>
      <c r="H897" s="2" t="str">
        <f>_xlfn.XLOOKUP(C897,customers!$A$1:$A$1001,customers!$G$1:$G$1001,,0)</f>
        <v>United States</v>
      </c>
      <c r="I897" t="str">
        <f>INDEX(products!$A$1:$G$49,MATCH(orders!$D897,products!$A$1:$A$49,0),MATCH(orders!I$1,products!$A$1:$G$1,0))</f>
        <v>Exc</v>
      </c>
      <c r="J897" t="str">
        <f>INDEX(products!$A$1:$G$49,MATCH(orders!$D897,products!$A$1:$A$49,0),MATCH(orders!J$1,products!$A$1:$G$1,0))</f>
        <v>M</v>
      </c>
      <c r="K897" s="7">
        <f>INDEX(products!$A$1:$G$49,MATCH(orders!$D897,products!$A$1:$A$49,0),MATCH(orders!K$1,products!$A$1:$G$1,0))</f>
        <v>2.5</v>
      </c>
      <c r="L897" s="4">
        <f>INDEX(products!$A$1:$G$49,MATCH(orders!$D897,products!$A$1:$A$49,0),MATCH(orders!L$1,products!$A$1:$G$1,0))</f>
        <v>31.624999999999996</v>
      </c>
      <c r="M897" s="4">
        <f t="shared" si="13"/>
        <v>158.12499999999997</v>
      </c>
      <c r="N897" t="str" cm="1">
        <f t="array" ref="N897">_xlfn.IFS(I897="Rob","Robusta",I897="Exc","Excelsa",I897="Ara","Arabica",I897="Lib","Liberica")</f>
        <v>Excelsa</v>
      </c>
      <c r="O897" t="str" cm="1">
        <f t="array" ref="O897">_xlfn.IFS(J897="M","Medium",J897="L","Large",J897="D","Dark")</f>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_xlfn.XLOOKUP(C898,customers!$A$1:$A$1001,customers!$B$1:$B$1001,,0)</f>
        <v>Baxy Cargen</v>
      </c>
      <c r="G898" s="2" t="str">
        <f>IF(_xlfn.XLOOKUP(C898,customers!$A$1:$A$1001,customers!$C$1:$C$1001,,0)=0,"",_xlfn.XLOOKUP(C898,customers!$A$1:$A$1001,customers!$C$1:$C$1001,,0))</f>
        <v>bcargenow@geocities.jp</v>
      </c>
      <c r="H898" s="2" t="str">
        <f>_xlfn.XLOOKUP(C898,customers!$A$1:$A$1001,customers!$G$1:$G$1001,,0)</f>
        <v>United States</v>
      </c>
      <c r="I898" t="str">
        <f>INDEX(products!$A$1:$G$49,MATCH(orders!$D898,products!$A$1:$A$49,0),MATCH(orders!I$1,products!$A$1:$G$1,0))</f>
        <v>Rob</v>
      </c>
      <c r="J898" t="str">
        <f>INDEX(products!$A$1:$G$49,MATCH(orders!$D898,products!$A$1:$A$49,0),MATCH(orders!J$1,products!$A$1:$G$1,0))</f>
        <v>D</v>
      </c>
      <c r="K898" s="7">
        <f>INDEX(products!$A$1:$G$49,MATCH(orders!$D898,products!$A$1:$A$49,0),MATCH(orders!K$1,products!$A$1:$G$1,0))</f>
        <v>0.5</v>
      </c>
      <c r="L898" s="4">
        <f>INDEX(products!$A$1:$G$49,MATCH(orders!$D898,products!$A$1:$A$49,0),MATCH(orders!L$1,products!$A$1:$G$1,0))</f>
        <v>5.3699999999999992</v>
      </c>
      <c r="M898" s="4">
        <f t="shared" si="13"/>
        <v>32.22</v>
      </c>
      <c r="N898" t="str" cm="1">
        <f t="array" ref="N898">_xlfn.IFS(I898="Rob","Robusta",I898="Exc","Excelsa",I898="Ara","Arabica",I898="Lib","Liberica")</f>
        <v>Robusta</v>
      </c>
      <c r="O898" t="str" cm="1">
        <f t="array" ref="O898">_xlfn.IFS(J898="M","Medium",J898="L","Large",J898="D","Dark")</f>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_xlfn.XLOOKUP(C899,customers!$A$1:$A$1001,customers!$B$1:$B$1001,,0)</f>
        <v>Ryann Stickler</v>
      </c>
      <c r="G899" s="2" t="str">
        <f>IF(_xlfn.XLOOKUP(C899,customers!$A$1:$A$1001,customers!$C$1:$C$1001,,0)=0,"",_xlfn.XLOOKUP(C899,customers!$A$1:$A$1001,customers!$C$1:$C$1001,,0))</f>
        <v>rsticklerox@printfriendly.com</v>
      </c>
      <c r="H899" s="2" t="str">
        <f>_xlfn.XLOOKUP(C899,customers!$A$1:$A$1001,customers!$G$1:$G$1001,,0)</f>
        <v>United Kingdom</v>
      </c>
      <c r="I899" t="str">
        <f>INDEX(products!$A$1:$G$49,MATCH(orders!$D899,products!$A$1:$A$49,0),MATCH(orders!I$1,products!$A$1:$G$1,0))</f>
        <v>Exc</v>
      </c>
      <c r="J899" t="str">
        <f>INDEX(products!$A$1:$G$49,MATCH(orders!$D899,products!$A$1:$A$49,0),MATCH(orders!J$1,products!$A$1:$G$1,0))</f>
        <v>D</v>
      </c>
      <c r="K899" s="7">
        <f>INDEX(products!$A$1:$G$49,MATCH(orders!$D899,products!$A$1:$A$49,0),MATCH(orders!K$1,products!$A$1:$G$1,0))</f>
        <v>1</v>
      </c>
      <c r="L899" s="4">
        <f>INDEX(products!$A$1:$G$49,MATCH(orders!$D899,products!$A$1:$A$49,0),MATCH(orders!L$1,products!$A$1:$G$1,0))</f>
        <v>12.15</v>
      </c>
      <c r="M899" s="4">
        <f t="shared" ref="M899:M962" si="14">L899*E899</f>
        <v>24.3</v>
      </c>
      <c r="N899" t="str" cm="1">
        <f t="array" ref="N899">_xlfn.IFS(I899="Rob","Robusta",I899="Exc","Excelsa",I899="Ara","Arabica",I899="Lib","Liberica")</f>
        <v>Excelsa</v>
      </c>
      <c r="O899" t="str" cm="1">
        <f t="array" ref="O899">_xlfn.IFS(J899="M","Medium",J899="L","Large",J899="D","Dark")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_xlfn.XLOOKUP(C900,customers!$A$1:$A$1001,customers!$B$1:$B$1001,,0)</f>
        <v>Daryn Cassius</v>
      </c>
      <c r="G900" s="2" t="str">
        <f>IF(_xlfn.XLOOKUP(C900,customers!$A$1:$A$1001,customers!$C$1:$C$1001,,0)=0,"",_xlfn.XLOOKUP(C900,customers!$A$1:$A$1001,customers!$C$1:$C$1001,,0))</f>
        <v/>
      </c>
      <c r="H900" s="2" t="str">
        <f>_xlfn.XLOOKUP(C900,customers!$A$1:$A$1001,customers!$G$1:$G$1001,,0)</f>
        <v>United States</v>
      </c>
      <c r="I900" t="str">
        <f>INDEX(products!$A$1:$G$49,MATCH(orders!$D900,products!$A$1:$A$49,0),MATCH(orders!I$1,products!$A$1:$G$1,0))</f>
        <v>Rob</v>
      </c>
      <c r="J900" t="str">
        <f>INDEX(products!$A$1:$G$49,MATCH(orders!$D900,products!$A$1:$A$49,0),MATCH(orders!J$1,products!$A$1:$G$1,0))</f>
        <v>L</v>
      </c>
      <c r="K900" s="7">
        <f>INDEX(products!$A$1:$G$49,MATCH(orders!$D900,products!$A$1:$A$49,0),MATCH(orders!K$1,products!$A$1:$G$1,0))</f>
        <v>0.5</v>
      </c>
      <c r="L900" s="4">
        <f>INDEX(products!$A$1:$G$49,MATCH(orders!$D900,products!$A$1:$A$49,0),MATCH(orders!L$1,products!$A$1:$G$1,0))</f>
        <v>7.169999999999999</v>
      </c>
      <c r="M900" s="4">
        <f t="shared" si="14"/>
        <v>35.849999999999994</v>
      </c>
      <c r="N900" t="str" cm="1">
        <f t="array" ref="N900">_xlfn.IFS(I900="Rob","Robusta",I900="Exc","Excelsa",I900="Ara","Arabica",I900="Lib","Liberica")</f>
        <v>Robusta</v>
      </c>
      <c r="O900" t="str" cm="1">
        <f t="array" ref="O900">_xlfn.IFS(J900="M","Medium",J900="L","Large",J900="D","Dark")</f>
        <v>Large</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_xlfn.XLOOKUP(C901,customers!$A$1:$A$1001,customers!$B$1:$B$1001,,0)</f>
        <v>Derick Snow</v>
      </c>
      <c r="G901" s="2" t="str">
        <f>IF(_xlfn.XLOOKUP(C901,customers!$A$1:$A$1001,customers!$C$1:$C$1001,,0)=0,"",_xlfn.XLOOKUP(C901,customers!$A$1:$A$1001,customers!$C$1:$C$1001,,0))</f>
        <v/>
      </c>
      <c r="H901" s="2" t="str">
        <f>_xlfn.XLOOKUP(C901,customers!$A$1:$A$1001,customers!$G$1:$G$1001,,0)</f>
        <v>United States</v>
      </c>
      <c r="I901" t="str">
        <f>INDEX(products!$A$1:$G$49,MATCH(orders!$D901,products!$A$1:$A$49,0),MATCH(orders!I$1,products!$A$1:$G$1,0))</f>
        <v>Lib</v>
      </c>
      <c r="J901" t="str">
        <f>INDEX(products!$A$1:$G$49,MATCH(orders!$D901,products!$A$1:$A$49,0),MATCH(orders!J$1,products!$A$1:$G$1,0))</f>
        <v>M</v>
      </c>
      <c r="K901" s="7">
        <f>INDEX(products!$A$1:$G$49,MATCH(orders!$D901,products!$A$1:$A$49,0),MATCH(orders!K$1,products!$A$1:$G$1,0))</f>
        <v>1</v>
      </c>
      <c r="L901" s="4">
        <f>INDEX(products!$A$1:$G$49,MATCH(orders!$D901,products!$A$1:$A$49,0),MATCH(orders!L$1,products!$A$1:$G$1,0))</f>
        <v>14.55</v>
      </c>
      <c r="M901" s="4">
        <f t="shared" si="14"/>
        <v>72.75</v>
      </c>
      <c r="N901" t="str" cm="1">
        <f t="array" ref="N901">_xlfn.IFS(I901="Rob","Robusta",I901="Exc","Excelsa",I901="Ara","Arabica",I901="Lib","Liberica")</f>
        <v>Liberica</v>
      </c>
      <c r="O901" t="str" cm="1">
        <f t="array" ref="O901">_xlfn.IFS(J901="M","Medium",J901="L","Large",J901="D","Dark")</f>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_xlfn.XLOOKUP(C902,customers!$A$1:$A$1001,customers!$B$1:$B$1001,,0)</f>
        <v>Skelly Dolohunty</v>
      </c>
      <c r="G902" s="2" t="str">
        <f>IF(_xlfn.XLOOKUP(C902,customers!$A$1:$A$1001,customers!$C$1:$C$1001,,0)=0,"",_xlfn.XLOOKUP(C902,customers!$A$1:$A$1001,customers!$C$1:$C$1001,,0))</f>
        <v/>
      </c>
      <c r="H902" s="2" t="str">
        <f>_xlfn.XLOOKUP(C902,customers!$A$1:$A$1001,customers!$G$1:$G$1001,,0)</f>
        <v>Ireland</v>
      </c>
      <c r="I902" t="str">
        <f>INDEX(products!$A$1:$G$49,MATCH(orders!$D902,products!$A$1:$A$49,0),MATCH(orders!I$1,products!$A$1:$G$1,0))</f>
        <v>Lib</v>
      </c>
      <c r="J902" t="str">
        <f>INDEX(products!$A$1:$G$49,MATCH(orders!$D902,products!$A$1:$A$49,0),MATCH(orders!J$1,products!$A$1:$G$1,0))</f>
        <v>L</v>
      </c>
      <c r="K902" s="7">
        <f>INDEX(products!$A$1:$G$49,MATCH(orders!$D902,products!$A$1:$A$49,0),MATCH(orders!K$1,products!$A$1:$G$1,0))</f>
        <v>1</v>
      </c>
      <c r="L902" s="4">
        <f>INDEX(products!$A$1:$G$49,MATCH(orders!$D902,products!$A$1:$A$49,0),MATCH(orders!L$1,products!$A$1:$G$1,0))</f>
        <v>15.85</v>
      </c>
      <c r="M902" s="4">
        <f t="shared" si="14"/>
        <v>47.55</v>
      </c>
      <c r="N902" t="str" cm="1">
        <f t="array" ref="N902">_xlfn.IFS(I902="Rob","Robusta",I902="Exc","Excelsa",I902="Ara","Arabica",I902="Lib","Liberica")</f>
        <v>Liberica</v>
      </c>
      <c r="O902" t="str" cm="1">
        <f t="array" ref="O902">_xlfn.IFS(J902="M","Medium",J902="L","Large",J902="D","Dark")</f>
        <v>Large</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_xlfn.XLOOKUP(C903,customers!$A$1:$A$1001,customers!$B$1:$B$1001,,0)</f>
        <v>Drake Jevon</v>
      </c>
      <c r="G903" s="2" t="str">
        <f>IF(_xlfn.XLOOKUP(C903,customers!$A$1:$A$1001,customers!$C$1:$C$1001,,0)=0,"",_xlfn.XLOOKUP(C903,customers!$A$1:$A$1001,customers!$C$1:$C$1001,,0))</f>
        <v>djevonp1@ibm.com</v>
      </c>
      <c r="H903" s="2" t="str">
        <f>_xlfn.XLOOKUP(C903,customers!$A$1:$A$1001,customers!$G$1:$G$1001,,0)</f>
        <v>United States</v>
      </c>
      <c r="I903" t="str">
        <f>INDEX(products!$A$1:$G$49,MATCH(orders!$D903,products!$A$1:$A$49,0),MATCH(orders!I$1,products!$A$1:$G$1,0))</f>
        <v>Rob</v>
      </c>
      <c r="J903" t="str">
        <f>INDEX(products!$A$1:$G$49,MATCH(orders!$D903,products!$A$1:$A$49,0),MATCH(orders!J$1,products!$A$1:$G$1,0))</f>
        <v>L</v>
      </c>
      <c r="K903" s="7">
        <f>INDEX(products!$A$1:$G$49,MATCH(orders!$D903,products!$A$1:$A$49,0),MATCH(orders!K$1,products!$A$1:$G$1,0))</f>
        <v>0.2</v>
      </c>
      <c r="L903" s="4">
        <f>INDEX(products!$A$1:$G$49,MATCH(orders!$D903,products!$A$1:$A$49,0),MATCH(orders!L$1,products!$A$1:$G$1,0))</f>
        <v>3.5849999999999995</v>
      </c>
      <c r="M903" s="4">
        <f t="shared" si="14"/>
        <v>3.5849999999999995</v>
      </c>
      <c r="N903" t="str" cm="1">
        <f t="array" ref="N903">_xlfn.IFS(I903="Rob","Robusta",I903="Exc","Excelsa",I903="Ara","Arabica",I903="Lib","Liberica")</f>
        <v>Robusta</v>
      </c>
      <c r="O903" t="str" cm="1">
        <f t="array" ref="O903">_xlfn.IFS(J903="M","Medium",J903="L","Large",J903="D","Dark")</f>
        <v>Large</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_xlfn.XLOOKUP(C904,customers!$A$1:$A$1001,customers!$B$1:$B$1001,,0)</f>
        <v>Hall Ranner</v>
      </c>
      <c r="G904" s="2" t="str">
        <f>IF(_xlfn.XLOOKUP(C904,customers!$A$1:$A$1001,customers!$C$1:$C$1001,,0)=0,"",_xlfn.XLOOKUP(C904,customers!$A$1:$A$1001,customers!$C$1:$C$1001,,0))</f>
        <v>hrannerp2@omniture.com</v>
      </c>
      <c r="H904" s="2" t="str">
        <f>_xlfn.XLOOKUP(C904,customers!$A$1:$A$1001,customers!$G$1:$G$1001,,0)</f>
        <v>United States</v>
      </c>
      <c r="I904" t="str">
        <f>INDEX(products!$A$1:$G$49,MATCH(orders!$D904,products!$A$1:$A$49,0),MATCH(orders!I$1,products!$A$1:$G$1,0))</f>
        <v>Exc</v>
      </c>
      <c r="J904" t="str">
        <f>INDEX(products!$A$1:$G$49,MATCH(orders!$D904,products!$A$1:$A$49,0),MATCH(orders!J$1,products!$A$1:$G$1,0))</f>
        <v>M</v>
      </c>
      <c r="K904" s="7">
        <f>INDEX(products!$A$1:$G$49,MATCH(orders!$D904,products!$A$1:$A$49,0),MATCH(orders!K$1,products!$A$1:$G$1,0))</f>
        <v>2.5</v>
      </c>
      <c r="L904" s="4">
        <f>INDEX(products!$A$1:$G$49,MATCH(orders!$D904,products!$A$1:$A$49,0),MATCH(orders!L$1,products!$A$1:$G$1,0))</f>
        <v>31.624999999999996</v>
      </c>
      <c r="M904" s="4">
        <f t="shared" si="14"/>
        <v>158.12499999999997</v>
      </c>
      <c r="N904" t="str" cm="1">
        <f t="array" ref="N904">_xlfn.IFS(I904="Rob","Robusta",I904="Exc","Excelsa",I904="Ara","Arabica",I904="Lib","Liberica")</f>
        <v>Excelsa</v>
      </c>
      <c r="O904" t="str" cm="1">
        <f t="array" ref="O904">_xlfn.IFS(J904="M","Medium",J904="L","Large",J904="D","Dark")</f>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_xlfn.XLOOKUP(C905,customers!$A$1:$A$1001,customers!$B$1:$B$1001,,0)</f>
        <v>Berkly Imrie</v>
      </c>
      <c r="G905" s="2" t="str">
        <f>IF(_xlfn.XLOOKUP(C905,customers!$A$1:$A$1001,customers!$C$1:$C$1001,,0)=0,"",_xlfn.XLOOKUP(C905,customers!$A$1:$A$1001,customers!$C$1:$C$1001,,0))</f>
        <v>bimriep3@addtoany.com</v>
      </c>
      <c r="H905" s="2" t="str">
        <f>_xlfn.XLOOKUP(C905,customers!$A$1:$A$1001,customers!$G$1:$G$1001,,0)</f>
        <v>United States</v>
      </c>
      <c r="I905" t="str">
        <f>INDEX(products!$A$1:$G$49,MATCH(orders!$D905,products!$A$1:$A$49,0),MATCH(orders!I$1,products!$A$1:$G$1,0))</f>
        <v>Lib</v>
      </c>
      <c r="J905" t="str">
        <f>INDEX(products!$A$1:$G$49,MATCH(orders!$D905,products!$A$1:$A$49,0),MATCH(orders!J$1,products!$A$1:$G$1,0))</f>
        <v>M</v>
      </c>
      <c r="K905" s="7">
        <f>INDEX(products!$A$1:$G$49,MATCH(orders!$D905,products!$A$1:$A$49,0),MATCH(orders!K$1,products!$A$1:$G$1,0))</f>
        <v>0.5</v>
      </c>
      <c r="L905" s="4">
        <f>INDEX(products!$A$1:$G$49,MATCH(orders!$D905,products!$A$1:$A$49,0),MATCH(orders!L$1,products!$A$1:$G$1,0))</f>
        <v>8.73</v>
      </c>
      <c r="M905" s="4">
        <f t="shared" si="14"/>
        <v>17.46</v>
      </c>
      <c r="N905" t="str" cm="1">
        <f t="array" ref="N905">_xlfn.IFS(I905="Rob","Robusta",I905="Exc","Excelsa",I905="Ara","Arabica",I905="Lib","Liberica")</f>
        <v>Liberica</v>
      </c>
      <c r="O905" t="str" cm="1">
        <f t="array" ref="O905">_xlfn.IFS(J905="M","Medium",J905="L","Large",J905="D","Dark")</f>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_xlfn.XLOOKUP(C906,customers!$A$1:$A$1001,customers!$B$1:$B$1001,,0)</f>
        <v>Dorey Sopper</v>
      </c>
      <c r="G906" s="2" t="str">
        <f>IF(_xlfn.XLOOKUP(C906,customers!$A$1:$A$1001,customers!$C$1:$C$1001,,0)=0,"",_xlfn.XLOOKUP(C906,customers!$A$1:$A$1001,customers!$C$1:$C$1001,,0))</f>
        <v>dsopperp4@eventbrite.com</v>
      </c>
      <c r="H906" s="2" t="str">
        <f>_xlfn.XLOOKUP(C906,customers!$A$1:$A$1001,customers!$G$1:$G$1001,,0)</f>
        <v>United States</v>
      </c>
      <c r="I906" t="str">
        <f>INDEX(products!$A$1:$G$49,MATCH(orders!$D906,products!$A$1:$A$49,0),MATCH(orders!I$1,products!$A$1:$G$1,0))</f>
        <v>Ara</v>
      </c>
      <c r="J906" t="str">
        <f>INDEX(products!$A$1:$G$49,MATCH(orders!$D906,products!$A$1:$A$49,0),MATCH(orders!J$1,products!$A$1:$G$1,0))</f>
        <v>L</v>
      </c>
      <c r="K906" s="7">
        <f>INDEX(products!$A$1:$G$49,MATCH(orders!$D906,products!$A$1:$A$49,0),MATCH(orders!K$1,products!$A$1:$G$1,0))</f>
        <v>2.5</v>
      </c>
      <c r="L906" s="4">
        <f>INDEX(products!$A$1:$G$49,MATCH(orders!$D906,products!$A$1:$A$49,0),MATCH(orders!L$1,products!$A$1:$G$1,0))</f>
        <v>29.784999999999997</v>
      </c>
      <c r="M906" s="4">
        <f t="shared" si="14"/>
        <v>148.92499999999998</v>
      </c>
      <c r="N906" t="str" cm="1">
        <f t="array" ref="N906">_xlfn.IFS(I906="Rob","Robusta",I906="Exc","Excelsa",I906="Ara","Arabica",I906="Lib","Liberica")</f>
        <v>Arabica</v>
      </c>
      <c r="O906" t="str" cm="1">
        <f t="array" ref="O906">_xlfn.IFS(J906="M","Medium",J906="L","Large",J906="D","Dark")</f>
        <v>Large</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_xlfn.XLOOKUP(C907,customers!$A$1:$A$1001,customers!$B$1:$B$1001,,0)</f>
        <v>Darcy Lochran</v>
      </c>
      <c r="G907" s="2" t="str">
        <f>IF(_xlfn.XLOOKUP(C907,customers!$A$1:$A$1001,customers!$C$1:$C$1001,,0)=0,"",_xlfn.XLOOKUP(C907,customers!$A$1:$A$1001,customers!$C$1:$C$1001,,0))</f>
        <v/>
      </c>
      <c r="H907" s="2" t="str">
        <f>_xlfn.XLOOKUP(C907,customers!$A$1:$A$1001,customers!$G$1:$G$1001,,0)</f>
        <v>United States</v>
      </c>
      <c r="I907" t="str">
        <f>INDEX(products!$A$1:$G$49,MATCH(orders!$D907,products!$A$1:$A$49,0),MATCH(orders!I$1,products!$A$1:$G$1,0))</f>
        <v>Ara</v>
      </c>
      <c r="J907" t="str">
        <f>INDEX(products!$A$1:$G$49,MATCH(orders!$D907,products!$A$1:$A$49,0),MATCH(orders!J$1,products!$A$1:$G$1,0))</f>
        <v>M</v>
      </c>
      <c r="K907" s="7">
        <f>INDEX(products!$A$1:$G$49,MATCH(orders!$D907,products!$A$1:$A$49,0),MATCH(orders!K$1,products!$A$1:$G$1,0))</f>
        <v>0.5</v>
      </c>
      <c r="L907" s="4">
        <f>INDEX(products!$A$1:$G$49,MATCH(orders!$D907,products!$A$1:$A$49,0),MATCH(orders!L$1,products!$A$1:$G$1,0))</f>
        <v>6.75</v>
      </c>
      <c r="M907" s="4">
        <f t="shared" si="14"/>
        <v>40.5</v>
      </c>
      <c r="N907" t="str" cm="1">
        <f t="array" ref="N907">_xlfn.IFS(I907="Rob","Robusta",I907="Exc","Excelsa",I907="Ara","Arabica",I907="Lib","Liberica")</f>
        <v>Arabica</v>
      </c>
      <c r="O907" t="str" cm="1">
        <f t="array" ref="O907">_xlfn.IFS(J907="M","Medium",J907="L","Large",J907="D","Dark")</f>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_xlfn.XLOOKUP(C908,customers!$A$1:$A$1001,customers!$B$1:$B$1001,,0)</f>
        <v>Lauritz Ledgley</v>
      </c>
      <c r="G908" s="2" t="str">
        <f>IF(_xlfn.XLOOKUP(C908,customers!$A$1:$A$1001,customers!$C$1:$C$1001,,0)=0,"",_xlfn.XLOOKUP(C908,customers!$A$1:$A$1001,customers!$C$1:$C$1001,,0))</f>
        <v>lledgleyp6@de.vu</v>
      </c>
      <c r="H908" s="2" t="str">
        <f>_xlfn.XLOOKUP(C908,customers!$A$1:$A$1001,customers!$G$1:$G$1001,,0)</f>
        <v>United States</v>
      </c>
      <c r="I908" t="str">
        <f>INDEX(products!$A$1:$G$49,MATCH(orders!$D908,products!$A$1:$A$49,0),MATCH(orders!I$1,products!$A$1:$G$1,0))</f>
        <v>Ara</v>
      </c>
      <c r="J908" t="str">
        <f>INDEX(products!$A$1:$G$49,MATCH(orders!$D908,products!$A$1:$A$49,0),MATCH(orders!J$1,products!$A$1:$G$1,0))</f>
        <v>M</v>
      </c>
      <c r="K908" s="7">
        <f>INDEX(products!$A$1:$G$49,MATCH(orders!$D908,products!$A$1:$A$49,0),MATCH(orders!K$1,products!$A$1:$G$1,0))</f>
        <v>0.5</v>
      </c>
      <c r="L908" s="4">
        <f>INDEX(products!$A$1:$G$49,MATCH(orders!$D908,products!$A$1:$A$49,0),MATCH(orders!L$1,products!$A$1:$G$1,0))</f>
        <v>6.75</v>
      </c>
      <c r="M908" s="4">
        <f t="shared" si="14"/>
        <v>27</v>
      </c>
      <c r="N908" t="str" cm="1">
        <f t="array" ref="N908">_xlfn.IFS(I908="Rob","Robusta",I908="Exc","Excelsa",I908="Ara","Arabica",I908="Lib","Liberica")</f>
        <v>Arabica</v>
      </c>
      <c r="O908" t="str" cm="1">
        <f t="array" ref="O908">_xlfn.IFS(J908="M","Medium",J908="L","Large",J908="D","Dark")</f>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_xlfn.XLOOKUP(C909,customers!$A$1:$A$1001,customers!$B$1:$B$1001,,0)</f>
        <v>Tawnya Menary</v>
      </c>
      <c r="G909" s="2" t="str">
        <f>IF(_xlfn.XLOOKUP(C909,customers!$A$1:$A$1001,customers!$C$1:$C$1001,,0)=0,"",_xlfn.XLOOKUP(C909,customers!$A$1:$A$1001,customers!$C$1:$C$1001,,0))</f>
        <v>tmenaryp7@phoca.cz</v>
      </c>
      <c r="H909" s="2" t="str">
        <f>_xlfn.XLOOKUP(C909,customers!$A$1:$A$1001,customers!$G$1:$G$1001,,0)</f>
        <v>United States</v>
      </c>
      <c r="I909" t="str">
        <f>INDEX(products!$A$1:$G$49,MATCH(orders!$D909,products!$A$1:$A$49,0),MATCH(orders!I$1,products!$A$1:$G$1,0))</f>
        <v>Lib</v>
      </c>
      <c r="J909" t="str">
        <f>INDEX(products!$A$1:$G$49,MATCH(orders!$D909,products!$A$1:$A$49,0),MATCH(orders!J$1,products!$A$1:$G$1,0))</f>
        <v>D</v>
      </c>
      <c r="K909" s="7">
        <f>INDEX(products!$A$1:$G$49,MATCH(orders!$D909,products!$A$1:$A$49,0),MATCH(orders!K$1,products!$A$1:$G$1,0))</f>
        <v>1</v>
      </c>
      <c r="L909" s="4">
        <f>INDEX(products!$A$1:$G$49,MATCH(orders!$D909,products!$A$1:$A$49,0),MATCH(orders!L$1,products!$A$1:$G$1,0))</f>
        <v>12.95</v>
      </c>
      <c r="M909" s="4">
        <f t="shared" si="14"/>
        <v>38.849999999999994</v>
      </c>
      <c r="N909" t="str" cm="1">
        <f t="array" ref="N909">_xlfn.IFS(I909="Rob","Robusta",I909="Exc","Excelsa",I909="Ara","Arabica",I909="Lib","Liberica")</f>
        <v>Liberica</v>
      </c>
      <c r="O909" t="str" cm="1">
        <f t="array" ref="O909">_xlfn.IFS(J909="M","Medium",J909="L","Large",J909="D","Dark")</f>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_xlfn.XLOOKUP(C910,customers!$A$1:$A$1001,customers!$B$1:$B$1001,,0)</f>
        <v>Gustaf Ciccotti</v>
      </c>
      <c r="G910" s="2" t="str">
        <f>IF(_xlfn.XLOOKUP(C910,customers!$A$1:$A$1001,customers!$C$1:$C$1001,,0)=0,"",_xlfn.XLOOKUP(C910,customers!$A$1:$A$1001,customers!$C$1:$C$1001,,0))</f>
        <v>gciccottip8@so-net.ne.jp</v>
      </c>
      <c r="H910" s="2" t="str">
        <f>_xlfn.XLOOKUP(C910,customers!$A$1:$A$1001,customers!$G$1:$G$1001,,0)</f>
        <v>United States</v>
      </c>
      <c r="I910" t="str">
        <f>INDEX(products!$A$1:$G$49,MATCH(orders!$D910,products!$A$1:$A$49,0),MATCH(orders!I$1,products!$A$1:$G$1,0))</f>
        <v>Rob</v>
      </c>
      <c r="J910" t="str">
        <f>INDEX(products!$A$1:$G$49,MATCH(orders!$D910,products!$A$1:$A$49,0),MATCH(orders!J$1,products!$A$1:$G$1,0))</f>
        <v>L</v>
      </c>
      <c r="K910" s="7">
        <f>INDEX(products!$A$1:$G$49,MATCH(orders!$D910,products!$A$1:$A$49,0),MATCH(orders!K$1,products!$A$1:$G$1,0))</f>
        <v>1</v>
      </c>
      <c r="L910" s="4">
        <f>INDEX(products!$A$1:$G$49,MATCH(orders!$D910,products!$A$1:$A$49,0),MATCH(orders!L$1,products!$A$1:$G$1,0))</f>
        <v>11.95</v>
      </c>
      <c r="M910" s="4">
        <f t="shared" si="14"/>
        <v>59.75</v>
      </c>
      <c r="N910" t="str" cm="1">
        <f t="array" ref="N910">_xlfn.IFS(I910="Rob","Robusta",I910="Exc","Excelsa",I910="Ara","Arabica",I910="Lib","Liberica")</f>
        <v>Robusta</v>
      </c>
      <c r="O910" t="str" cm="1">
        <f t="array" ref="O910">_xlfn.IFS(J910="M","Medium",J910="L","Large",J910="D","Dark")</f>
        <v>Large</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_xlfn.XLOOKUP(C911,customers!$A$1:$A$1001,customers!$B$1:$B$1001,,0)</f>
        <v>Bobbe Renner</v>
      </c>
      <c r="G911" s="2" t="str">
        <f>IF(_xlfn.XLOOKUP(C911,customers!$A$1:$A$1001,customers!$C$1:$C$1001,,0)=0,"",_xlfn.XLOOKUP(C911,customers!$A$1:$A$1001,customers!$C$1:$C$1001,,0))</f>
        <v/>
      </c>
      <c r="H911" s="2" t="str">
        <f>_xlfn.XLOOKUP(C911,customers!$A$1:$A$1001,customers!$G$1:$G$1001,,0)</f>
        <v>United States</v>
      </c>
      <c r="I911" t="str">
        <f>INDEX(products!$A$1:$G$49,MATCH(orders!$D911,products!$A$1:$A$49,0),MATCH(orders!I$1,products!$A$1:$G$1,0))</f>
        <v>Rob</v>
      </c>
      <c r="J911" t="str">
        <f>INDEX(products!$A$1:$G$49,MATCH(orders!$D911,products!$A$1:$A$49,0),MATCH(orders!J$1,products!$A$1:$G$1,0))</f>
        <v>L</v>
      </c>
      <c r="K911" s="7">
        <f>INDEX(products!$A$1:$G$49,MATCH(orders!$D911,products!$A$1:$A$49,0),MATCH(orders!K$1,products!$A$1:$G$1,0))</f>
        <v>0.2</v>
      </c>
      <c r="L911" s="4">
        <f>INDEX(products!$A$1:$G$49,MATCH(orders!$D911,products!$A$1:$A$49,0),MATCH(orders!L$1,products!$A$1:$G$1,0))</f>
        <v>3.5849999999999995</v>
      </c>
      <c r="M911" s="4">
        <f t="shared" si="14"/>
        <v>10.754999999999999</v>
      </c>
      <c r="N911" t="str" cm="1">
        <f t="array" ref="N911">_xlfn.IFS(I911="Rob","Robusta",I911="Exc","Excelsa",I911="Ara","Arabica",I911="Lib","Liberica")</f>
        <v>Robusta</v>
      </c>
      <c r="O911" t="str" cm="1">
        <f t="array" ref="O911">_xlfn.IFS(J911="M","Medium",J911="L","Large",J911="D","Dark")</f>
        <v>Large</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_xlfn.XLOOKUP(C912,customers!$A$1:$A$1001,customers!$B$1:$B$1001,,0)</f>
        <v>Wilton Jallin</v>
      </c>
      <c r="G912" s="2" t="str">
        <f>IF(_xlfn.XLOOKUP(C912,customers!$A$1:$A$1001,customers!$C$1:$C$1001,,0)=0,"",_xlfn.XLOOKUP(C912,customers!$A$1:$A$1001,customers!$C$1:$C$1001,,0))</f>
        <v>wjallinpa@pcworld.com</v>
      </c>
      <c r="H912" s="2" t="str">
        <f>_xlfn.XLOOKUP(C912,customers!$A$1:$A$1001,customers!$G$1:$G$1001,,0)</f>
        <v>United States</v>
      </c>
      <c r="I912" t="str">
        <f>INDEX(products!$A$1:$G$49,MATCH(orders!$D912,products!$A$1:$A$49,0),MATCH(orders!I$1,products!$A$1:$G$1,0))</f>
        <v>Ara</v>
      </c>
      <c r="J912" t="str">
        <f>INDEX(products!$A$1:$G$49,MATCH(orders!$D912,products!$A$1:$A$49,0),MATCH(orders!J$1,products!$A$1:$G$1,0))</f>
        <v>D</v>
      </c>
      <c r="K912" s="7">
        <f>INDEX(products!$A$1:$G$49,MATCH(orders!$D912,products!$A$1:$A$49,0),MATCH(orders!K$1,products!$A$1:$G$1,0))</f>
        <v>2.5</v>
      </c>
      <c r="L912" s="4">
        <f>INDEX(products!$A$1:$G$49,MATCH(orders!$D912,products!$A$1:$A$49,0),MATCH(orders!L$1,products!$A$1:$G$1,0))</f>
        <v>22.884999999999998</v>
      </c>
      <c r="M912" s="4">
        <f t="shared" si="14"/>
        <v>91.539999999999992</v>
      </c>
      <c r="N912" t="str" cm="1">
        <f t="array" ref="N912">_xlfn.IFS(I912="Rob","Robusta",I912="Exc","Excelsa",I912="Ara","Arabica",I912="Lib","Liberica")</f>
        <v>Arabica</v>
      </c>
      <c r="O912" t="str" cm="1">
        <f t="array" ref="O912">_xlfn.IFS(J912="M","Medium",J912="L","Large",J912="D","Dark")</f>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_xlfn.XLOOKUP(C913,customers!$A$1:$A$1001,customers!$B$1:$B$1001,,0)</f>
        <v>Mindy Bogey</v>
      </c>
      <c r="G913" s="2" t="str">
        <f>IF(_xlfn.XLOOKUP(C913,customers!$A$1:$A$1001,customers!$C$1:$C$1001,,0)=0,"",_xlfn.XLOOKUP(C913,customers!$A$1:$A$1001,customers!$C$1:$C$1001,,0))</f>
        <v>mbogeypb@thetimes.co.uk</v>
      </c>
      <c r="H913" s="2" t="str">
        <f>_xlfn.XLOOKUP(C913,customers!$A$1:$A$1001,customers!$G$1:$G$1001,,0)</f>
        <v>United States</v>
      </c>
      <c r="I913" t="str">
        <f>INDEX(products!$A$1:$G$49,MATCH(orders!$D913,products!$A$1:$A$49,0),MATCH(orders!I$1,products!$A$1:$G$1,0))</f>
        <v>Ara</v>
      </c>
      <c r="J913" t="str">
        <f>INDEX(products!$A$1:$G$49,MATCH(orders!$D913,products!$A$1:$A$49,0),MATCH(orders!J$1,products!$A$1:$G$1,0))</f>
        <v>M</v>
      </c>
      <c r="K913" s="7">
        <f>INDEX(products!$A$1:$G$49,MATCH(orders!$D913,products!$A$1:$A$49,0),MATCH(orders!K$1,products!$A$1:$G$1,0))</f>
        <v>1</v>
      </c>
      <c r="L913" s="4">
        <f>INDEX(products!$A$1:$G$49,MATCH(orders!$D913,products!$A$1:$A$49,0),MATCH(orders!L$1,products!$A$1:$G$1,0))</f>
        <v>11.25</v>
      </c>
      <c r="M913" s="4">
        <f t="shared" si="14"/>
        <v>45</v>
      </c>
      <c r="N913" t="str" cm="1">
        <f t="array" ref="N913">_xlfn.IFS(I913="Rob","Robusta",I913="Exc","Excelsa",I913="Ara","Arabica",I913="Lib","Liberica")</f>
        <v>Arabica</v>
      </c>
      <c r="O913" t="str" cm="1">
        <f t="array" ref="O913">_xlfn.IFS(J913="M","Medium",J913="L","Large",J913="D","Dark")</f>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_xlfn.XLOOKUP(C914,customers!$A$1:$A$1001,customers!$B$1:$B$1001,,0)</f>
        <v>Paulie Fonzone</v>
      </c>
      <c r="G914" s="2" t="str">
        <f>IF(_xlfn.XLOOKUP(C914,customers!$A$1:$A$1001,customers!$C$1:$C$1001,,0)=0,"",_xlfn.XLOOKUP(C914,customers!$A$1:$A$1001,customers!$C$1:$C$1001,,0))</f>
        <v/>
      </c>
      <c r="H914" s="2" t="str">
        <f>_xlfn.XLOOKUP(C914,customers!$A$1:$A$1001,customers!$G$1:$G$1001,,0)</f>
        <v>United States</v>
      </c>
      <c r="I914" t="str">
        <f>INDEX(products!$A$1:$G$49,MATCH(orders!$D914,products!$A$1:$A$49,0),MATCH(orders!I$1,products!$A$1:$G$1,0))</f>
        <v>Rob</v>
      </c>
      <c r="J914" t="str">
        <f>INDEX(products!$A$1:$G$49,MATCH(orders!$D914,products!$A$1:$A$49,0),MATCH(orders!J$1,products!$A$1:$G$1,0))</f>
        <v>M</v>
      </c>
      <c r="K914" s="7">
        <f>INDEX(products!$A$1:$G$49,MATCH(orders!$D914,products!$A$1:$A$49,0),MATCH(orders!K$1,products!$A$1:$G$1,0))</f>
        <v>2.5</v>
      </c>
      <c r="L914" s="4">
        <f>INDEX(products!$A$1:$G$49,MATCH(orders!$D914,products!$A$1:$A$49,0),MATCH(orders!L$1,products!$A$1:$G$1,0))</f>
        <v>22.884999999999998</v>
      </c>
      <c r="M914" s="4">
        <f t="shared" si="14"/>
        <v>137.31</v>
      </c>
      <c r="N914" t="str" cm="1">
        <f t="array" ref="N914">_xlfn.IFS(I914="Rob","Robusta",I914="Exc","Excelsa",I914="Ara","Arabica",I914="Lib","Liberica")</f>
        <v>Robusta</v>
      </c>
      <c r="O914" t="str" cm="1">
        <f t="array" ref="O914">_xlfn.IFS(J914="M","Medium",J914="L","Large",J914="D","Dark")</f>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_xlfn.XLOOKUP(C915,customers!$A$1:$A$1001,customers!$B$1:$B$1001,,0)</f>
        <v>Merrile Cobbledick</v>
      </c>
      <c r="G915" s="2" t="str">
        <f>IF(_xlfn.XLOOKUP(C915,customers!$A$1:$A$1001,customers!$C$1:$C$1001,,0)=0,"",_xlfn.XLOOKUP(C915,customers!$A$1:$A$1001,customers!$C$1:$C$1001,,0))</f>
        <v>mcobbledickpd@ucsd.edu</v>
      </c>
      <c r="H915" s="2" t="str">
        <f>_xlfn.XLOOKUP(C915,customers!$A$1:$A$1001,customers!$G$1:$G$1001,,0)</f>
        <v>United States</v>
      </c>
      <c r="I915" t="str">
        <f>INDEX(products!$A$1:$G$49,MATCH(orders!$D915,products!$A$1:$A$49,0),MATCH(orders!I$1,products!$A$1:$G$1,0))</f>
        <v>Ara</v>
      </c>
      <c r="J915" t="str">
        <f>INDEX(products!$A$1:$G$49,MATCH(orders!$D915,products!$A$1:$A$49,0),MATCH(orders!J$1,products!$A$1:$G$1,0))</f>
        <v>M</v>
      </c>
      <c r="K915" s="7">
        <f>INDEX(products!$A$1:$G$49,MATCH(orders!$D915,products!$A$1:$A$49,0),MATCH(orders!K$1,products!$A$1:$G$1,0))</f>
        <v>0.5</v>
      </c>
      <c r="L915" s="4">
        <f>INDEX(products!$A$1:$G$49,MATCH(orders!$D915,products!$A$1:$A$49,0),MATCH(orders!L$1,products!$A$1:$G$1,0))</f>
        <v>6.75</v>
      </c>
      <c r="M915" s="4">
        <f t="shared" si="14"/>
        <v>6.75</v>
      </c>
      <c r="N915" t="str" cm="1">
        <f t="array" ref="N915">_xlfn.IFS(I915="Rob","Robusta",I915="Exc","Excelsa",I915="Ara","Arabica",I915="Lib","Liberica")</f>
        <v>Arabica</v>
      </c>
      <c r="O915" t="str" cm="1">
        <f t="array" ref="O915">_xlfn.IFS(J915="M","Medium",J915="L","Large",J915="D","Dark")</f>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_xlfn.XLOOKUP(C916,customers!$A$1:$A$1001,customers!$B$1:$B$1001,,0)</f>
        <v>Antonius Lewry</v>
      </c>
      <c r="G916" s="2" t="str">
        <f>IF(_xlfn.XLOOKUP(C916,customers!$A$1:$A$1001,customers!$C$1:$C$1001,,0)=0,"",_xlfn.XLOOKUP(C916,customers!$A$1:$A$1001,customers!$C$1:$C$1001,,0))</f>
        <v>alewrype@whitehouse.gov</v>
      </c>
      <c r="H916" s="2" t="str">
        <f>_xlfn.XLOOKUP(C916,customers!$A$1:$A$1001,customers!$G$1:$G$1001,,0)</f>
        <v>United States</v>
      </c>
      <c r="I916" t="str">
        <f>INDEX(products!$A$1:$G$49,MATCH(orders!$D916,products!$A$1:$A$49,0),MATCH(orders!I$1,products!$A$1:$G$1,0))</f>
        <v>Ara</v>
      </c>
      <c r="J916" t="str">
        <f>INDEX(products!$A$1:$G$49,MATCH(orders!$D916,products!$A$1:$A$49,0),MATCH(orders!J$1,products!$A$1:$G$1,0))</f>
        <v>M</v>
      </c>
      <c r="K916" s="7">
        <f>INDEX(products!$A$1:$G$49,MATCH(orders!$D916,products!$A$1:$A$49,0),MATCH(orders!K$1,products!$A$1:$G$1,0))</f>
        <v>1</v>
      </c>
      <c r="L916" s="4">
        <f>INDEX(products!$A$1:$G$49,MATCH(orders!$D916,products!$A$1:$A$49,0),MATCH(orders!L$1,products!$A$1:$G$1,0))</f>
        <v>11.25</v>
      </c>
      <c r="M916" s="4">
        <f t="shared" si="14"/>
        <v>45</v>
      </c>
      <c r="N916" t="str" cm="1">
        <f t="array" ref="N916">_xlfn.IFS(I916="Rob","Robusta",I916="Exc","Excelsa",I916="Ara","Arabica",I916="Lib","Liberica")</f>
        <v>Arabica</v>
      </c>
      <c r="O916" t="str" cm="1">
        <f t="array" ref="O916">_xlfn.IFS(J916="M","Medium",J916="L","Large",J916="D","Dark")</f>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_xlfn.XLOOKUP(C917,customers!$A$1:$A$1001,customers!$B$1:$B$1001,,0)</f>
        <v>Isis Hessel</v>
      </c>
      <c r="G917" s="2" t="str">
        <f>IF(_xlfn.XLOOKUP(C917,customers!$A$1:$A$1001,customers!$C$1:$C$1001,,0)=0,"",_xlfn.XLOOKUP(C917,customers!$A$1:$A$1001,customers!$C$1:$C$1001,,0))</f>
        <v>ihesselpf@ox.ac.uk</v>
      </c>
      <c r="H917" s="2" t="str">
        <f>_xlfn.XLOOKUP(C917,customers!$A$1:$A$1001,customers!$G$1:$G$1001,,0)</f>
        <v>United States</v>
      </c>
      <c r="I917" t="str">
        <f>INDEX(products!$A$1:$G$49,MATCH(orders!$D917,products!$A$1:$A$49,0),MATCH(orders!I$1,products!$A$1:$G$1,0))</f>
        <v>Exc</v>
      </c>
      <c r="J917" t="str">
        <f>INDEX(products!$A$1:$G$49,MATCH(orders!$D917,products!$A$1:$A$49,0),MATCH(orders!J$1,products!$A$1:$G$1,0))</f>
        <v>D</v>
      </c>
      <c r="K917" s="7">
        <f>INDEX(products!$A$1:$G$49,MATCH(orders!$D917,products!$A$1:$A$49,0),MATCH(orders!K$1,products!$A$1:$G$1,0))</f>
        <v>2.5</v>
      </c>
      <c r="L917" s="4">
        <f>INDEX(products!$A$1:$G$49,MATCH(orders!$D917,products!$A$1:$A$49,0),MATCH(orders!L$1,products!$A$1:$G$1,0))</f>
        <v>27.945</v>
      </c>
      <c r="M917" s="4">
        <f t="shared" si="14"/>
        <v>83.835000000000008</v>
      </c>
      <c r="N917" t="str" cm="1">
        <f t="array" ref="N917">_xlfn.IFS(I917="Rob","Robusta",I917="Exc","Excelsa",I917="Ara","Arabica",I917="Lib","Liberica")</f>
        <v>Excelsa</v>
      </c>
      <c r="O917" t="str" cm="1">
        <f t="array" ref="O917">_xlfn.IFS(J917="M","Medium",J917="L","Large",J917="D","Dark")</f>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_xlfn.XLOOKUP(C918,customers!$A$1:$A$1001,customers!$B$1:$B$1001,,0)</f>
        <v>Harland Trematick</v>
      </c>
      <c r="G918" s="2" t="str">
        <f>IF(_xlfn.XLOOKUP(C918,customers!$A$1:$A$1001,customers!$C$1:$C$1001,,0)=0,"",_xlfn.XLOOKUP(C918,customers!$A$1:$A$1001,customers!$C$1:$C$1001,,0))</f>
        <v/>
      </c>
      <c r="H918" s="2" t="str">
        <f>_xlfn.XLOOKUP(C918,customers!$A$1:$A$1001,customers!$G$1:$G$1001,,0)</f>
        <v>Ireland</v>
      </c>
      <c r="I918" t="str">
        <f>INDEX(products!$A$1:$G$49,MATCH(orders!$D918,products!$A$1:$A$49,0),MATCH(orders!I$1,products!$A$1:$G$1,0))</f>
        <v>Exc</v>
      </c>
      <c r="J918" t="str">
        <f>INDEX(products!$A$1:$G$49,MATCH(orders!$D918,products!$A$1:$A$49,0),MATCH(orders!J$1,products!$A$1:$G$1,0))</f>
        <v>D</v>
      </c>
      <c r="K918" s="7">
        <f>INDEX(products!$A$1:$G$49,MATCH(orders!$D918,products!$A$1:$A$49,0),MATCH(orders!K$1,products!$A$1:$G$1,0))</f>
        <v>0.2</v>
      </c>
      <c r="L918" s="4">
        <f>INDEX(products!$A$1:$G$49,MATCH(orders!$D918,products!$A$1:$A$49,0),MATCH(orders!L$1,products!$A$1:$G$1,0))</f>
        <v>3.645</v>
      </c>
      <c r="M918" s="4">
        <f t="shared" si="14"/>
        <v>3.645</v>
      </c>
      <c r="N918" t="str" cm="1">
        <f t="array" ref="N918">_xlfn.IFS(I918="Rob","Robusta",I918="Exc","Excelsa",I918="Ara","Arabica",I918="Lib","Liberica")</f>
        <v>Excelsa</v>
      </c>
      <c r="O918" t="str" cm="1">
        <f t="array" ref="O918">_xlfn.IFS(J918="M","Medium",J918="L","Large",J918="D","Dark")</f>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_xlfn.XLOOKUP(C919,customers!$A$1:$A$1001,customers!$B$1:$B$1001,,0)</f>
        <v>Chloris Sorrell</v>
      </c>
      <c r="G919" s="2" t="str">
        <f>IF(_xlfn.XLOOKUP(C919,customers!$A$1:$A$1001,customers!$C$1:$C$1001,,0)=0,"",_xlfn.XLOOKUP(C919,customers!$A$1:$A$1001,customers!$C$1:$C$1001,,0))</f>
        <v>csorrellph@amazon.com</v>
      </c>
      <c r="H919" s="2" t="str">
        <f>_xlfn.XLOOKUP(C919,customers!$A$1:$A$1001,customers!$G$1:$G$1001,,0)</f>
        <v>United Kingdom</v>
      </c>
      <c r="I919" t="str">
        <f>INDEX(products!$A$1:$G$49,MATCH(orders!$D919,products!$A$1:$A$49,0),MATCH(orders!I$1,products!$A$1:$G$1,0))</f>
        <v>Ara</v>
      </c>
      <c r="J919" t="str">
        <f>INDEX(products!$A$1:$G$49,MATCH(orders!$D919,products!$A$1:$A$49,0),MATCH(orders!J$1,products!$A$1:$G$1,0))</f>
        <v>M</v>
      </c>
      <c r="K919" s="7">
        <f>INDEX(products!$A$1:$G$49,MATCH(orders!$D919,products!$A$1:$A$49,0),MATCH(orders!K$1,products!$A$1:$G$1,0))</f>
        <v>0.5</v>
      </c>
      <c r="L919" s="4">
        <f>INDEX(products!$A$1:$G$49,MATCH(orders!$D919,products!$A$1:$A$49,0),MATCH(orders!L$1,products!$A$1:$G$1,0))</f>
        <v>6.75</v>
      </c>
      <c r="M919" s="4">
        <f t="shared" si="14"/>
        <v>6.75</v>
      </c>
      <c r="N919" t="str" cm="1">
        <f t="array" ref="N919">_xlfn.IFS(I919="Rob","Robusta",I919="Exc","Excelsa",I919="Ara","Arabica",I919="Lib","Liberica")</f>
        <v>Arabica</v>
      </c>
      <c r="O919" t="str" cm="1">
        <f t="array" ref="O919">_xlfn.IFS(J919="M","Medium",J919="L","Large",J919="D","Dark")</f>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_xlfn.XLOOKUP(C920,customers!$A$1:$A$1001,customers!$B$1:$B$1001,,0)</f>
        <v>Chloris Sorrell</v>
      </c>
      <c r="G920" s="2" t="str">
        <f>IF(_xlfn.XLOOKUP(C920,customers!$A$1:$A$1001,customers!$C$1:$C$1001,,0)=0,"",_xlfn.XLOOKUP(C920,customers!$A$1:$A$1001,customers!$C$1:$C$1001,,0))</f>
        <v>csorrellph@amazon.com</v>
      </c>
      <c r="H920" s="2" t="str">
        <f>_xlfn.XLOOKUP(C920,customers!$A$1:$A$1001,customers!$G$1:$G$1001,,0)</f>
        <v>United Kingdom</v>
      </c>
      <c r="I920" t="str">
        <f>INDEX(products!$A$1:$G$49,MATCH(orders!$D920,products!$A$1:$A$49,0),MATCH(orders!I$1,products!$A$1:$G$1,0))</f>
        <v>Exc</v>
      </c>
      <c r="J920" t="str">
        <f>INDEX(products!$A$1:$G$49,MATCH(orders!$D920,products!$A$1:$A$49,0),MATCH(orders!J$1,products!$A$1:$G$1,0))</f>
        <v>D</v>
      </c>
      <c r="K920" s="7">
        <f>INDEX(products!$A$1:$G$49,MATCH(orders!$D920,products!$A$1:$A$49,0),MATCH(orders!K$1,products!$A$1:$G$1,0))</f>
        <v>0.5</v>
      </c>
      <c r="L920" s="4">
        <f>INDEX(products!$A$1:$G$49,MATCH(orders!$D920,products!$A$1:$A$49,0),MATCH(orders!L$1,products!$A$1:$G$1,0))</f>
        <v>7.29</v>
      </c>
      <c r="M920" s="4">
        <f t="shared" si="14"/>
        <v>21.87</v>
      </c>
      <c r="N920" t="str" cm="1">
        <f t="array" ref="N920">_xlfn.IFS(I920="Rob","Robusta",I920="Exc","Excelsa",I920="Ara","Arabica",I920="Lib","Liberica")</f>
        <v>Excelsa</v>
      </c>
      <c r="O920" t="str" cm="1">
        <f t="array" ref="O920">_xlfn.IFS(J920="M","Medium",J920="L","Large",J920="D","Dark")</f>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_xlfn.XLOOKUP(C921,customers!$A$1:$A$1001,customers!$B$1:$B$1001,,0)</f>
        <v>Quintina Heavyside</v>
      </c>
      <c r="G921" s="2" t="str">
        <f>IF(_xlfn.XLOOKUP(C921,customers!$A$1:$A$1001,customers!$C$1:$C$1001,,0)=0,"",_xlfn.XLOOKUP(C921,customers!$A$1:$A$1001,customers!$C$1:$C$1001,,0))</f>
        <v>qheavysidepj@unc.edu</v>
      </c>
      <c r="H921" s="2" t="str">
        <f>_xlfn.XLOOKUP(C921,customers!$A$1:$A$1001,customers!$G$1:$G$1001,,0)</f>
        <v>United States</v>
      </c>
      <c r="I921" t="str">
        <f>INDEX(products!$A$1:$G$49,MATCH(orders!$D921,products!$A$1:$A$49,0),MATCH(orders!I$1,products!$A$1:$G$1,0))</f>
        <v>Rob</v>
      </c>
      <c r="J921" t="str">
        <f>INDEX(products!$A$1:$G$49,MATCH(orders!$D921,products!$A$1:$A$49,0),MATCH(orders!J$1,products!$A$1:$G$1,0))</f>
        <v>D</v>
      </c>
      <c r="K921" s="7">
        <f>INDEX(products!$A$1:$G$49,MATCH(orders!$D921,products!$A$1:$A$49,0),MATCH(orders!K$1,products!$A$1:$G$1,0))</f>
        <v>0.2</v>
      </c>
      <c r="L921" s="4">
        <f>INDEX(products!$A$1:$G$49,MATCH(orders!$D921,products!$A$1:$A$49,0),MATCH(orders!L$1,products!$A$1:$G$1,0))</f>
        <v>2.6849999999999996</v>
      </c>
      <c r="M921" s="4">
        <f t="shared" si="14"/>
        <v>13.424999999999997</v>
      </c>
      <c r="N921" t="str" cm="1">
        <f t="array" ref="N921">_xlfn.IFS(I921="Rob","Robusta",I921="Exc","Excelsa",I921="Ara","Arabica",I921="Lib","Liberica")</f>
        <v>Robusta</v>
      </c>
      <c r="O921" t="str" cm="1">
        <f t="array" ref="O921">_xlfn.IFS(J921="M","Medium",J921="L","Large",J921="D","Dark")</f>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_xlfn.XLOOKUP(C922,customers!$A$1:$A$1001,customers!$B$1:$B$1001,,0)</f>
        <v>Hadley Reuven</v>
      </c>
      <c r="G922" s="2" t="str">
        <f>IF(_xlfn.XLOOKUP(C922,customers!$A$1:$A$1001,customers!$C$1:$C$1001,,0)=0,"",_xlfn.XLOOKUP(C922,customers!$A$1:$A$1001,customers!$C$1:$C$1001,,0))</f>
        <v>hreuvenpk@whitehouse.gov</v>
      </c>
      <c r="H922" s="2" t="str">
        <f>_xlfn.XLOOKUP(C922,customers!$A$1:$A$1001,customers!$G$1:$G$1001,,0)</f>
        <v>United States</v>
      </c>
      <c r="I922" t="str">
        <f>INDEX(products!$A$1:$G$49,MATCH(orders!$D922,products!$A$1:$A$49,0),MATCH(orders!I$1,products!$A$1:$G$1,0))</f>
        <v>Rob</v>
      </c>
      <c r="J922" t="str">
        <f>INDEX(products!$A$1:$G$49,MATCH(orders!$D922,products!$A$1:$A$49,0),MATCH(orders!J$1,products!$A$1:$G$1,0))</f>
        <v>D</v>
      </c>
      <c r="K922" s="7">
        <f>INDEX(products!$A$1:$G$49,MATCH(orders!$D922,products!$A$1:$A$49,0),MATCH(orders!K$1,products!$A$1:$G$1,0))</f>
        <v>2.5</v>
      </c>
      <c r="L922" s="4">
        <f>INDEX(products!$A$1:$G$49,MATCH(orders!$D922,products!$A$1:$A$49,0),MATCH(orders!L$1,products!$A$1:$G$1,0))</f>
        <v>20.584999999999997</v>
      </c>
      <c r="M922" s="4">
        <f t="shared" si="14"/>
        <v>123.50999999999999</v>
      </c>
      <c r="N922" t="str" cm="1">
        <f t="array" ref="N922">_xlfn.IFS(I922="Rob","Robusta",I922="Exc","Excelsa",I922="Ara","Arabica",I922="Lib","Liberica")</f>
        <v>Robusta</v>
      </c>
      <c r="O922" t="str" cm="1">
        <f t="array" ref="O922">_xlfn.IFS(J922="M","Medium",J922="L","Large",J922="D","Dark")</f>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_xlfn.XLOOKUP(C923,customers!$A$1:$A$1001,customers!$B$1:$B$1001,,0)</f>
        <v>Mitch Attwool</v>
      </c>
      <c r="G923" s="2" t="str">
        <f>IF(_xlfn.XLOOKUP(C923,customers!$A$1:$A$1001,customers!$C$1:$C$1001,,0)=0,"",_xlfn.XLOOKUP(C923,customers!$A$1:$A$1001,customers!$C$1:$C$1001,,0))</f>
        <v>mattwoolpl@nba.com</v>
      </c>
      <c r="H923" s="2" t="str">
        <f>_xlfn.XLOOKUP(C923,customers!$A$1:$A$1001,customers!$G$1:$G$1001,,0)</f>
        <v>United States</v>
      </c>
      <c r="I923" t="str">
        <f>INDEX(products!$A$1:$G$49,MATCH(orders!$D923,products!$A$1:$A$49,0),MATCH(orders!I$1,products!$A$1:$G$1,0))</f>
        <v>Lib</v>
      </c>
      <c r="J923" t="str">
        <f>INDEX(products!$A$1:$G$49,MATCH(orders!$D923,products!$A$1:$A$49,0),MATCH(orders!J$1,products!$A$1:$G$1,0))</f>
        <v>D</v>
      </c>
      <c r="K923" s="7">
        <f>INDEX(products!$A$1:$G$49,MATCH(orders!$D923,products!$A$1:$A$49,0),MATCH(orders!K$1,products!$A$1:$G$1,0))</f>
        <v>0.2</v>
      </c>
      <c r="L923" s="4">
        <f>INDEX(products!$A$1:$G$49,MATCH(orders!$D923,products!$A$1:$A$49,0),MATCH(orders!L$1,products!$A$1:$G$1,0))</f>
        <v>3.8849999999999998</v>
      </c>
      <c r="M923" s="4">
        <f t="shared" si="14"/>
        <v>7.77</v>
      </c>
      <c r="N923" t="str" cm="1">
        <f t="array" ref="N923">_xlfn.IFS(I923="Rob","Robusta",I923="Exc","Excelsa",I923="Ara","Arabica",I923="Lib","Liberica")</f>
        <v>Liberica</v>
      </c>
      <c r="O923" t="str" cm="1">
        <f t="array" ref="O923">_xlfn.IFS(J923="M","Medium",J923="L","Large",J923="D","Dark")</f>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_xlfn.XLOOKUP(C924,customers!$A$1:$A$1001,customers!$B$1:$B$1001,,0)</f>
        <v>Charin Maplethorp</v>
      </c>
      <c r="G924" s="2" t="str">
        <f>IF(_xlfn.XLOOKUP(C924,customers!$A$1:$A$1001,customers!$C$1:$C$1001,,0)=0,"",_xlfn.XLOOKUP(C924,customers!$A$1:$A$1001,customers!$C$1:$C$1001,,0))</f>
        <v/>
      </c>
      <c r="H924" s="2" t="str">
        <f>_xlfn.XLOOKUP(C924,customers!$A$1:$A$1001,customers!$G$1:$G$1001,,0)</f>
        <v>United States</v>
      </c>
      <c r="I924" t="str">
        <f>INDEX(products!$A$1:$G$49,MATCH(orders!$D924,products!$A$1:$A$49,0),MATCH(orders!I$1,products!$A$1:$G$1,0))</f>
        <v>Ara</v>
      </c>
      <c r="J924" t="str">
        <f>INDEX(products!$A$1:$G$49,MATCH(orders!$D924,products!$A$1:$A$49,0),MATCH(orders!J$1,products!$A$1:$G$1,0))</f>
        <v>M</v>
      </c>
      <c r="K924" s="7">
        <f>INDEX(products!$A$1:$G$49,MATCH(orders!$D924,products!$A$1:$A$49,0),MATCH(orders!K$1,products!$A$1:$G$1,0))</f>
        <v>1</v>
      </c>
      <c r="L924" s="4">
        <f>INDEX(products!$A$1:$G$49,MATCH(orders!$D924,products!$A$1:$A$49,0),MATCH(orders!L$1,products!$A$1:$G$1,0))</f>
        <v>11.25</v>
      </c>
      <c r="M924" s="4">
        <f t="shared" si="14"/>
        <v>67.5</v>
      </c>
      <c r="N924" t="str" cm="1">
        <f t="array" ref="N924">_xlfn.IFS(I924="Rob","Robusta",I924="Exc","Excelsa",I924="Ara","Arabica",I924="Lib","Liberica")</f>
        <v>Arabica</v>
      </c>
      <c r="O924" t="str" cm="1">
        <f t="array" ref="O924">_xlfn.IFS(J924="M","Medium",J924="L","Large",J924="D","Dark")</f>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_xlfn.XLOOKUP(C925,customers!$A$1:$A$1001,customers!$B$1:$B$1001,,0)</f>
        <v>Goldie Wynes</v>
      </c>
      <c r="G925" s="2" t="str">
        <f>IF(_xlfn.XLOOKUP(C925,customers!$A$1:$A$1001,customers!$C$1:$C$1001,,0)=0,"",_xlfn.XLOOKUP(C925,customers!$A$1:$A$1001,customers!$C$1:$C$1001,,0))</f>
        <v>gwynespn@dagondesign.com</v>
      </c>
      <c r="H925" s="2" t="str">
        <f>_xlfn.XLOOKUP(C925,customers!$A$1:$A$1001,customers!$G$1:$G$1001,,0)</f>
        <v>United States</v>
      </c>
      <c r="I925" t="str">
        <f>INDEX(products!$A$1:$G$49,MATCH(orders!$D925,products!$A$1:$A$49,0),MATCH(orders!I$1,products!$A$1:$G$1,0))</f>
        <v>Exc</v>
      </c>
      <c r="J925" t="str">
        <f>INDEX(products!$A$1:$G$49,MATCH(orders!$D925,products!$A$1:$A$49,0),MATCH(orders!J$1,products!$A$1:$G$1,0))</f>
        <v>D</v>
      </c>
      <c r="K925" s="7">
        <f>INDEX(products!$A$1:$G$49,MATCH(orders!$D925,products!$A$1:$A$49,0),MATCH(orders!K$1,products!$A$1:$G$1,0))</f>
        <v>2.5</v>
      </c>
      <c r="L925" s="4">
        <f>INDEX(products!$A$1:$G$49,MATCH(orders!$D925,products!$A$1:$A$49,0),MATCH(orders!L$1,products!$A$1:$G$1,0))</f>
        <v>27.945</v>
      </c>
      <c r="M925" s="4">
        <f t="shared" si="14"/>
        <v>27.945</v>
      </c>
      <c r="N925" t="str" cm="1">
        <f t="array" ref="N925">_xlfn.IFS(I925="Rob","Robusta",I925="Exc","Excelsa",I925="Ara","Arabica",I925="Lib","Liberica")</f>
        <v>Excelsa</v>
      </c>
      <c r="O925" t="str" cm="1">
        <f t="array" ref="O925">_xlfn.IFS(J925="M","Medium",J925="L","Large",J925="D","Dark")</f>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_xlfn.XLOOKUP(C926,customers!$A$1:$A$1001,customers!$B$1:$B$1001,,0)</f>
        <v>Celie MacCourt</v>
      </c>
      <c r="G926" s="2" t="str">
        <f>IF(_xlfn.XLOOKUP(C926,customers!$A$1:$A$1001,customers!$C$1:$C$1001,,0)=0,"",_xlfn.XLOOKUP(C926,customers!$A$1:$A$1001,customers!$C$1:$C$1001,,0))</f>
        <v>cmaccourtpo@amazon.com</v>
      </c>
      <c r="H926" s="2" t="str">
        <f>_xlfn.XLOOKUP(C926,customers!$A$1:$A$1001,customers!$G$1:$G$1001,,0)</f>
        <v>United States</v>
      </c>
      <c r="I926" t="str">
        <f>INDEX(products!$A$1:$G$49,MATCH(orders!$D926,products!$A$1:$A$49,0),MATCH(orders!I$1,products!$A$1:$G$1,0))</f>
        <v>Ara</v>
      </c>
      <c r="J926" t="str">
        <f>INDEX(products!$A$1:$G$49,MATCH(orders!$D926,products!$A$1:$A$49,0),MATCH(orders!J$1,products!$A$1:$G$1,0))</f>
        <v>L</v>
      </c>
      <c r="K926" s="7">
        <f>INDEX(products!$A$1:$G$49,MATCH(orders!$D926,products!$A$1:$A$49,0),MATCH(orders!K$1,products!$A$1:$G$1,0))</f>
        <v>2.5</v>
      </c>
      <c r="L926" s="4">
        <f>INDEX(products!$A$1:$G$49,MATCH(orders!$D926,products!$A$1:$A$49,0),MATCH(orders!L$1,products!$A$1:$G$1,0))</f>
        <v>29.784999999999997</v>
      </c>
      <c r="M926" s="4">
        <f t="shared" si="14"/>
        <v>89.35499999999999</v>
      </c>
      <c r="N926" t="str" cm="1">
        <f t="array" ref="N926">_xlfn.IFS(I926="Rob","Robusta",I926="Exc","Excelsa",I926="Ara","Arabica",I926="Lib","Liberica")</f>
        <v>Arabica</v>
      </c>
      <c r="O926" t="str" cm="1">
        <f t="array" ref="O926">_xlfn.IFS(J926="M","Medium",J926="L","Large",J926="D","Dark")</f>
        <v>Large</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_xlfn.XLOOKUP(C927,customers!$A$1:$A$1001,customers!$B$1:$B$1001,,0)</f>
        <v>Derick Snow</v>
      </c>
      <c r="G927" s="2" t="str">
        <f>IF(_xlfn.XLOOKUP(C927,customers!$A$1:$A$1001,customers!$C$1:$C$1001,,0)=0,"",_xlfn.XLOOKUP(C927,customers!$A$1:$A$1001,customers!$C$1:$C$1001,,0))</f>
        <v/>
      </c>
      <c r="H927" s="2" t="str">
        <f>_xlfn.XLOOKUP(C927,customers!$A$1:$A$1001,customers!$G$1:$G$1001,,0)</f>
        <v>United States</v>
      </c>
      <c r="I927" t="str">
        <f>INDEX(products!$A$1:$G$49,MATCH(orders!$D927,products!$A$1:$A$49,0),MATCH(orders!I$1,products!$A$1:$G$1,0))</f>
        <v>Ara</v>
      </c>
      <c r="J927" t="str">
        <f>INDEX(products!$A$1:$G$49,MATCH(orders!$D927,products!$A$1:$A$49,0),MATCH(orders!J$1,products!$A$1:$G$1,0))</f>
        <v>M</v>
      </c>
      <c r="K927" s="7">
        <f>INDEX(products!$A$1:$G$49,MATCH(orders!$D927,products!$A$1:$A$49,0),MATCH(orders!K$1,products!$A$1:$G$1,0))</f>
        <v>0.5</v>
      </c>
      <c r="L927" s="4">
        <f>INDEX(products!$A$1:$G$49,MATCH(orders!$D927,products!$A$1:$A$49,0),MATCH(orders!L$1,products!$A$1:$G$1,0))</f>
        <v>6.75</v>
      </c>
      <c r="M927" s="4">
        <f t="shared" si="14"/>
        <v>20.25</v>
      </c>
      <c r="N927" t="str" cm="1">
        <f t="array" ref="N927">_xlfn.IFS(I927="Rob","Robusta",I927="Exc","Excelsa",I927="Ara","Arabica",I927="Lib","Liberica")</f>
        <v>Arabica</v>
      </c>
      <c r="O927" t="str" cm="1">
        <f t="array" ref="O927">_xlfn.IFS(J927="M","Medium",J927="L","Large",J927="D","Dark")</f>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_xlfn.XLOOKUP(C928,customers!$A$1:$A$1001,customers!$B$1:$B$1001,,0)</f>
        <v>Evy Wilsone</v>
      </c>
      <c r="G928" s="2" t="str">
        <f>IF(_xlfn.XLOOKUP(C928,customers!$A$1:$A$1001,customers!$C$1:$C$1001,,0)=0,"",_xlfn.XLOOKUP(C928,customers!$A$1:$A$1001,customers!$C$1:$C$1001,,0))</f>
        <v>ewilsonepq@eepurl.com</v>
      </c>
      <c r="H928" s="2" t="str">
        <f>_xlfn.XLOOKUP(C928,customers!$A$1:$A$1001,customers!$G$1:$G$1001,,0)</f>
        <v>United States</v>
      </c>
      <c r="I928" t="str">
        <f>INDEX(products!$A$1:$G$49,MATCH(orders!$D928,products!$A$1:$A$49,0),MATCH(orders!I$1,products!$A$1:$G$1,0))</f>
        <v>Ara</v>
      </c>
      <c r="J928" t="str">
        <f>INDEX(products!$A$1:$G$49,MATCH(orders!$D928,products!$A$1:$A$49,0),MATCH(orders!J$1,products!$A$1:$G$1,0))</f>
        <v>M</v>
      </c>
      <c r="K928" s="7">
        <f>INDEX(products!$A$1:$G$49,MATCH(orders!$D928,products!$A$1:$A$49,0),MATCH(orders!K$1,products!$A$1:$G$1,0))</f>
        <v>0.5</v>
      </c>
      <c r="L928" s="4">
        <f>INDEX(products!$A$1:$G$49,MATCH(orders!$D928,products!$A$1:$A$49,0),MATCH(orders!L$1,products!$A$1:$G$1,0))</f>
        <v>6.75</v>
      </c>
      <c r="M928" s="4">
        <f t="shared" si="14"/>
        <v>33.75</v>
      </c>
      <c r="N928" t="str" cm="1">
        <f t="array" ref="N928">_xlfn.IFS(I928="Rob","Robusta",I928="Exc","Excelsa",I928="Ara","Arabica",I928="Lib","Liberica")</f>
        <v>Arabica</v>
      </c>
      <c r="O928" t="str" cm="1">
        <f t="array" ref="O928">_xlfn.IFS(J928="M","Medium",J928="L","Large",J928="D","Dark")</f>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_xlfn.XLOOKUP(C929,customers!$A$1:$A$1001,customers!$B$1:$B$1001,,0)</f>
        <v>Dolores Duffie</v>
      </c>
      <c r="G929" s="2" t="str">
        <f>IF(_xlfn.XLOOKUP(C929,customers!$A$1:$A$1001,customers!$C$1:$C$1001,,0)=0,"",_xlfn.XLOOKUP(C929,customers!$A$1:$A$1001,customers!$C$1:$C$1001,,0))</f>
        <v>dduffiepr@time.com</v>
      </c>
      <c r="H929" s="2" t="str">
        <f>_xlfn.XLOOKUP(C929,customers!$A$1:$A$1001,customers!$G$1:$G$1001,,0)</f>
        <v>United States</v>
      </c>
      <c r="I929" t="str">
        <f>INDEX(products!$A$1:$G$49,MATCH(orders!$D929,products!$A$1:$A$49,0),MATCH(orders!I$1,products!$A$1:$G$1,0))</f>
        <v>Exc</v>
      </c>
      <c r="J929" t="str">
        <f>INDEX(products!$A$1:$G$49,MATCH(orders!$D929,products!$A$1:$A$49,0),MATCH(orders!J$1,products!$A$1:$G$1,0))</f>
        <v>D</v>
      </c>
      <c r="K929" s="7">
        <f>INDEX(products!$A$1:$G$49,MATCH(orders!$D929,products!$A$1:$A$49,0),MATCH(orders!K$1,products!$A$1:$G$1,0))</f>
        <v>2.5</v>
      </c>
      <c r="L929" s="4">
        <f>INDEX(products!$A$1:$G$49,MATCH(orders!$D929,products!$A$1:$A$49,0),MATCH(orders!L$1,products!$A$1:$G$1,0))</f>
        <v>27.945</v>
      </c>
      <c r="M929" s="4">
        <f t="shared" si="14"/>
        <v>111.78</v>
      </c>
      <c r="N929" t="str" cm="1">
        <f t="array" ref="N929">_xlfn.IFS(I929="Rob","Robusta",I929="Exc","Excelsa",I929="Ara","Arabica",I929="Lib","Liberica")</f>
        <v>Excelsa</v>
      </c>
      <c r="O929" t="str" cm="1">
        <f t="array" ref="O929">_xlfn.IFS(J929="M","Medium",J929="L","Large",J929="D","Dark")</f>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_xlfn.XLOOKUP(C930,customers!$A$1:$A$1001,customers!$B$1:$B$1001,,0)</f>
        <v>Mathilda Matiasek</v>
      </c>
      <c r="G930" s="2" t="str">
        <f>IF(_xlfn.XLOOKUP(C930,customers!$A$1:$A$1001,customers!$C$1:$C$1001,,0)=0,"",_xlfn.XLOOKUP(C930,customers!$A$1:$A$1001,customers!$C$1:$C$1001,,0))</f>
        <v>mmatiasekps@ucoz.ru</v>
      </c>
      <c r="H930" s="2" t="str">
        <f>_xlfn.XLOOKUP(C930,customers!$A$1:$A$1001,customers!$G$1:$G$1001,,0)</f>
        <v>United States</v>
      </c>
      <c r="I930" t="str">
        <f>INDEX(products!$A$1:$G$49,MATCH(orders!$D930,products!$A$1:$A$49,0),MATCH(orders!I$1,products!$A$1:$G$1,0))</f>
        <v>Exc</v>
      </c>
      <c r="J930" t="str">
        <f>INDEX(products!$A$1:$G$49,MATCH(orders!$D930,products!$A$1:$A$49,0),MATCH(orders!J$1,products!$A$1:$G$1,0))</f>
        <v>M</v>
      </c>
      <c r="K930" s="7">
        <f>INDEX(products!$A$1:$G$49,MATCH(orders!$D930,products!$A$1:$A$49,0),MATCH(orders!K$1,products!$A$1:$G$1,0))</f>
        <v>2.5</v>
      </c>
      <c r="L930" s="4">
        <f>INDEX(products!$A$1:$G$49,MATCH(orders!$D930,products!$A$1:$A$49,0),MATCH(orders!L$1,products!$A$1:$G$1,0))</f>
        <v>31.624999999999996</v>
      </c>
      <c r="M930" s="4">
        <f t="shared" si="14"/>
        <v>63.249999999999993</v>
      </c>
      <c r="N930" t="str" cm="1">
        <f t="array" ref="N930">_xlfn.IFS(I930="Rob","Robusta",I930="Exc","Excelsa",I930="Ara","Arabica",I930="Lib","Liberica")</f>
        <v>Excelsa</v>
      </c>
      <c r="O930" t="str" cm="1">
        <f t="array" ref="O930">_xlfn.IFS(J930="M","Medium",J930="L","Large",J930="D","Dark")</f>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_xlfn.XLOOKUP(C931,customers!$A$1:$A$1001,customers!$B$1:$B$1001,,0)</f>
        <v>Jarred Camillo</v>
      </c>
      <c r="G931" s="2" t="str">
        <f>IF(_xlfn.XLOOKUP(C931,customers!$A$1:$A$1001,customers!$C$1:$C$1001,,0)=0,"",_xlfn.XLOOKUP(C931,customers!$A$1:$A$1001,customers!$C$1:$C$1001,,0))</f>
        <v>jcamillopt@shinystat.com</v>
      </c>
      <c r="H931" s="2" t="str">
        <f>_xlfn.XLOOKUP(C931,customers!$A$1:$A$1001,customers!$G$1:$G$1001,,0)</f>
        <v>United States</v>
      </c>
      <c r="I931" t="str">
        <f>INDEX(products!$A$1:$G$49,MATCH(orders!$D931,products!$A$1:$A$49,0),MATCH(orders!I$1,products!$A$1:$G$1,0))</f>
        <v>Exc</v>
      </c>
      <c r="J931" t="str">
        <f>INDEX(products!$A$1:$G$49,MATCH(orders!$D931,products!$A$1:$A$49,0),MATCH(orders!J$1,products!$A$1:$G$1,0))</f>
        <v>L</v>
      </c>
      <c r="K931" s="7">
        <f>INDEX(products!$A$1:$G$49,MATCH(orders!$D931,products!$A$1:$A$49,0),MATCH(orders!K$1,products!$A$1:$G$1,0))</f>
        <v>0.2</v>
      </c>
      <c r="L931" s="4">
        <f>INDEX(products!$A$1:$G$49,MATCH(orders!$D931,products!$A$1:$A$49,0),MATCH(orders!L$1,products!$A$1:$G$1,0))</f>
        <v>4.4550000000000001</v>
      </c>
      <c r="M931" s="4">
        <f t="shared" si="14"/>
        <v>8.91</v>
      </c>
      <c r="N931" t="str" cm="1">
        <f t="array" ref="N931">_xlfn.IFS(I931="Rob","Robusta",I931="Exc","Excelsa",I931="Ara","Arabica",I931="Lib","Liberica")</f>
        <v>Excelsa</v>
      </c>
      <c r="O931" t="str" cm="1">
        <f t="array" ref="O931">_xlfn.IFS(J931="M","Medium",J931="L","Large",J931="D","Dark")</f>
        <v>Large</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_xlfn.XLOOKUP(C932,customers!$A$1:$A$1001,customers!$B$1:$B$1001,,0)</f>
        <v>Kameko Philbrick</v>
      </c>
      <c r="G932" s="2" t="str">
        <f>IF(_xlfn.XLOOKUP(C932,customers!$A$1:$A$1001,customers!$C$1:$C$1001,,0)=0,"",_xlfn.XLOOKUP(C932,customers!$A$1:$A$1001,customers!$C$1:$C$1001,,0))</f>
        <v>kphilbrickpu@cdc.gov</v>
      </c>
      <c r="H932" s="2" t="str">
        <f>_xlfn.XLOOKUP(C932,customers!$A$1:$A$1001,customers!$G$1:$G$1001,,0)</f>
        <v>United States</v>
      </c>
      <c r="I932" t="str">
        <f>INDEX(products!$A$1:$G$49,MATCH(orders!$D932,products!$A$1:$A$49,0),MATCH(orders!I$1,products!$A$1:$G$1,0))</f>
        <v>Exc</v>
      </c>
      <c r="J932" t="str">
        <f>INDEX(products!$A$1:$G$49,MATCH(orders!$D932,products!$A$1:$A$49,0),MATCH(orders!J$1,products!$A$1:$G$1,0))</f>
        <v>D</v>
      </c>
      <c r="K932" s="7">
        <f>INDEX(products!$A$1:$G$49,MATCH(orders!$D932,products!$A$1:$A$49,0),MATCH(orders!K$1,products!$A$1:$G$1,0))</f>
        <v>1</v>
      </c>
      <c r="L932" s="4">
        <f>INDEX(products!$A$1:$G$49,MATCH(orders!$D932,products!$A$1:$A$49,0),MATCH(orders!L$1,products!$A$1:$G$1,0))</f>
        <v>12.15</v>
      </c>
      <c r="M932" s="4">
        <f t="shared" si="14"/>
        <v>12.15</v>
      </c>
      <c r="N932" t="str" cm="1">
        <f t="array" ref="N932">_xlfn.IFS(I932="Rob","Robusta",I932="Exc","Excelsa",I932="Ara","Arabica",I932="Lib","Liberica")</f>
        <v>Excelsa</v>
      </c>
      <c r="O932" t="str" cm="1">
        <f t="array" ref="O932">_xlfn.IFS(J932="M","Medium",J932="L","Large",J932="D","Dark")</f>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_xlfn.XLOOKUP(C933,customers!$A$1:$A$1001,customers!$B$1:$B$1001,,0)</f>
        <v>Mallory Shrimpling</v>
      </c>
      <c r="G933" s="2" t="str">
        <f>IF(_xlfn.XLOOKUP(C933,customers!$A$1:$A$1001,customers!$C$1:$C$1001,,0)=0,"",_xlfn.XLOOKUP(C933,customers!$A$1:$A$1001,customers!$C$1:$C$1001,,0))</f>
        <v/>
      </c>
      <c r="H933" s="2" t="str">
        <f>_xlfn.XLOOKUP(C933,customers!$A$1:$A$1001,customers!$G$1:$G$1001,,0)</f>
        <v>United States</v>
      </c>
      <c r="I933" t="str">
        <f>INDEX(products!$A$1:$G$49,MATCH(orders!$D933,products!$A$1:$A$49,0),MATCH(orders!I$1,products!$A$1:$G$1,0))</f>
        <v>Ara</v>
      </c>
      <c r="J933" t="str">
        <f>INDEX(products!$A$1:$G$49,MATCH(orders!$D933,products!$A$1:$A$49,0),MATCH(orders!J$1,products!$A$1:$G$1,0))</f>
        <v>D</v>
      </c>
      <c r="K933" s="7">
        <f>INDEX(products!$A$1:$G$49,MATCH(orders!$D933,products!$A$1:$A$49,0),MATCH(orders!K$1,products!$A$1:$G$1,0))</f>
        <v>0.5</v>
      </c>
      <c r="L933" s="4">
        <f>INDEX(products!$A$1:$G$49,MATCH(orders!$D933,products!$A$1:$A$49,0),MATCH(orders!L$1,products!$A$1:$G$1,0))</f>
        <v>5.97</v>
      </c>
      <c r="M933" s="4">
        <f t="shared" si="14"/>
        <v>23.88</v>
      </c>
      <c r="N933" t="str" cm="1">
        <f t="array" ref="N933">_xlfn.IFS(I933="Rob","Robusta",I933="Exc","Excelsa",I933="Ara","Arabica",I933="Lib","Liberica")</f>
        <v>Arabica</v>
      </c>
      <c r="O933" t="str" cm="1">
        <f t="array" ref="O933">_xlfn.IFS(J933="M","Medium",J933="L","Large",J933="D","Dark")</f>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_xlfn.XLOOKUP(C934,customers!$A$1:$A$1001,customers!$B$1:$B$1001,,0)</f>
        <v>Barnett Sillis</v>
      </c>
      <c r="G934" s="2" t="str">
        <f>IF(_xlfn.XLOOKUP(C934,customers!$A$1:$A$1001,customers!$C$1:$C$1001,,0)=0,"",_xlfn.XLOOKUP(C934,customers!$A$1:$A$1001,customers!$C$1:$C$1001,,0))</f>
        <v>bsillispw@istockphoto.com</v>
      </c>
      <c r="H934" s="2" t="str">
        <f>_xlfn.XLOOKUP(C934,customers!$A$1:$A$1001,customers!$G$1:$G$1001,,0)</f>
        <v>United States</v>
      </c>
      <c r="I934" t="str">
        <f>INDEX(products!$A$1:$G$49,MATCH(orders!$D934,products!$A$1:$A$49,0),MATCH(orders!I$1,products!$A$1:$G$1,0))</f>
        <v>Exc</v>
      </c>
      <c r="J934" t="str">
        <f>INDEX(products!$A$1:$G$49,MATCH(orders!$D934,products!$A$1:$A$49,0),MATCH(orders!J$1,products!$A$1:$G$1,0))</f>
        <v>M</v>
      </c>
      <c r="K934" s="7">
        <f>INDEX(products!$A$1:$G$49,MATCH(orders!$D934,products!$A$1:$A$49,0),MATCH(orders!K$1,products!$A$1:$G$1,0))</f>
        <v>1</v>
      </c>
      <c r="L934" s="4">
        <f>INDEX(products!$A$1:$G$49,MATCH(orders!$D934,products!$A$1:$A$49,0),MATCH(orders!L$1,products!$A$1:$G$1,0))</f>
        <v>13.75</v>
      </c>
      <c r="M934" s="4">
        <f t="shared" si="14"/>
        <v>55</v>
      </c>
      <c r="N934" t="str" cm="1">
        <f t="array" ref="N934">_xlfn.IFS(I934="Rob","Robusta",I934="Exc","Excelsa",I934="Ara","Arabica",I934="Lib","Liberica")</f>
        <v>Excelsa</v>
      </c>
      <c r="O934" t="str" cm="1">
        <f t="array" ref="O934">_xlfn.IFS(J934="M","Medium",J934="L","Large",J934="D","Dark")</f>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_xlfn.XLOOKUP(C935,customers!$A$1:$A$1001,customers!$B$1:$B$1001,,0)</f>
        <v>Brenn Dundredge</v>
      </c>
      <c r="G935" s="2" t="str">
        <f>IF(_xlfn.XLOOKUP(C935,customers!$A$1:$A$1001,customers!$C$1:$C$1001,,0)=0,"",_xlfn.XLOOKUP(C935,customers!$A$1:$A$1001,customers!$C$1:$C$1001,,0))</f>
        <v/>
      </c>
      <c r="H935" s="2" t="str">
        <f>_xlfn.XLOOKUP(C935,customers!$A$1:$A$1001,customers!$G$1:$G$1001,,0)</f>
        <v>United States</v>
      </c>
      <c r="I935" t="str">
        <f>INDEX(products!$A$1:$G$49,MATCH(orders!$D935,products!$A$1:$A$49,0),MATCH(orders!I$1,products!$A$1:$G$1,0))</f>
        <v>Rob</v>
      </c>
      <c r="J935" t="str">
        <f>INDEX(products!$A$1:$G$49,MATCH(orders!$D935,products!$A$1:$A$49,0),MATCH(orders!J$1,products!$A$1:$G$1,0))</f>
        <v>D</v>
      </c>
      <c r="K935" s="7">
        <f>INDEX(products!$A$1:$G$49,MATCH(orders!$D935,products!$A$1:$A$49,0),MATCH(orders!K$1,products!$A$1:$G$1,0))</f>
        <v>1</v>
      </c>
      <c r="L935" s="4">
        <f>INDEX(products!$A$1:$G$49,MATCH(orders!$D935,products!$A$1:$A$49,0),MATCH(orders!L$1,products!$A$1:$G$1,0))</f>
        <v>8.9499999999999993</v>
      </c>
      <c r="M935" s="4">
        <f t="shared" si="14"/>
        <v>26.849999999999998</v>
      </c>
      <c r="N935" t="str" cm="1">
        <f t="array" ref="N935">_xlfn.IFS(I935="Rob","Robusta",I935="Exc","Excelsa",I935="Ara","Arabica",I935="Lib","Liberica")</f>
        <v>Robusta</v>
      </c>
      <c r="O935" t="str" cm="1">
        <f t="array" ref="O935">_xlfn.IFS(J935="M","Medium",J935="L","Large",J935="D","Dark")</f>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_xlfn.XLOOKUP(C936,customers!$A$1:$A$1001,customers!$B$1:$B$1001,,0)</f>
        <v>Read Cutts</v>
      </c>
      <c r="G936" s="2" t="str">
        <f>IF(_xlfn.XLOOKUP(C936,customers!$A$1:$A$1001,customers!$C$1:$C$1001,,0)=0,"",_xlfn.XLOOKUP(C936,customers!$A$1:$A$1001,customers!$C$1:$C$1001,,0))</f>
        <v>rcuttspy@techcrunch.com</v>
      </c>
      <c r="H936" s="2" t="str">
        <f>_xlfn.XLOOKUP(C936,customers!$A$1:$A$1001,customers!$G$1:$G$1001,,0)</f>
        <v>United States</v>
      </c>
      <c r="I936" t="str">
        <f>INDEX(products!$A$1:$G$49,MATCH(orders!$D936,products!$A$1:$A$49,0),MATCH(orders!I$1,products!$A$1:$G$1,0))</f>
        <v>Rob</v>
      </c>
      <c r="J936" t="str">
        <f>INDEX(products!$A$1:$G$49,MATCH(orders!$D936,products!$A$1:$A$49,0),MATCH(orders!J$1,products!$A$1:$G$1,0))</f>
        <v>M</v>
      </c>
      <c r="K936" s="7">
        <f>INDEX(products!$A$1:$G$49,MATCH(orders!$D936,products!$A$1:$A$49,0),MATCH(orders!K$1,products!$A$1:$G$1,0))</f>
        <v>2.5</v>
      </c>
      <c r="L936" s="4">
        <f>INDEX(products!$A$1:$G$49,MATCH(orders!$D936,products!$A$1:$A$49,0),MATCH(orders!L$1,products!$A$1:$G$1,0))</f>
        <v>22.884999999999998</v>
      </c>
      <c r="M936" s="4">
        <f t="shared" si="14"/>
        <v>114.42499999999998</v>
      </c>
      <c r="N936" t="str" cm="1">
        <f t="array" ref="N936">_xlfn.IFS(I936="Rob","Robusta",I936="Exc","Excelsa",I936="Ara","Arabica",I936="Lib","Liberica")</f>
        <v>Robusta</v>
      </c>
      <c r="O936" t="str" cm="1">
        <f t="array" ref="O936">_xlfn.IFS(J936="M","Medium",J936="L","Large",J936="D","Dark")</f>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_xlfn.XLOOKUP(C937,customers!$A$1:$A$1001,customers!$B$1:$B$1001,,0)</f>
        <v>Michale Delves</v>
      </c>
      <c r="G937" s="2" t="str">
        <f>IF(_xlfn.XLOOKUP(C937,customers!$A$1:$A$1001,customers!$C$1:$C$1001,,0)=0,"",_xlfn.XLOOKUP(C937,customers!$A$1:$A$1001,customers!$C$1:$C$1001,,0))</f>
        <v>mdelvespz@nature.com</v>
      </c>
      <c r="H937" s="2" t="str">
        <f>_xlfn.XLOOKUP(C937,customers!$A$1:$A$1001,customers!$G$1:$G$1001,,0)</f>
        <v>United States</v>
      </c>
      <c r="I937" t="str">
        <f>INDEX(products!$A$1:$G$49,MATCH(orders!$D937,products!$A$1:$A$49,0),MATCH(orders!I$1,products!$A$1:$G$1,0))</f>
        <v>Ara</v>
      </c>
      <c r="J937" t="str">
        <f>INDEX(products!$A$1:$G$49,MATCH(orders!$D937,products!$A$1:$A$49,0),MATCH(orders!J$1,products!$A$1:$G$1,0))</f>
        <v>M</v>
      </c>
      <c r="K937" s="7">
        <f>INDEX(products!$A$1:$G$49,MATCH(orders!$D937,products!$A$1:$A$49,0),MATCH(orders!K$1,products!$A$1:$G$1,0))</f>
        <v>2.5</v>
      </c>
      <c r="L937" s="4">
        <f>INDEX(products!$A$1:$G$49,MATCH(orders!$D937,products!$A$1:$A$49,0),MATCH(orders!L$1,products!$A$1:$G$1,0))</f>
        <v>25.874999999999996</v>
      </c>
      <c r="M937" s="4">
        <f t="shared" si="14"/>
        <v>155.24999999999997</v>
      </c>
      <c r="N937" t="str" cm="1">
        <f t="array" ref="N937">_xlfn.IFS(I937="Rob","Robusta",I937="Exc","Excelsa",I937="Ara","Arabica",I937="Lib","Liberica")</f>
        <v>Arabica</v>
      </c>
      <c r="O937" t="str" cm="1">
        <f t="array" ref="O937">_xlfn.IFS(J937="M","Medium",J937="L","Large",J937="D","Dark")</f>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_xlfn.XLOOKUP(C938,customers!$A$1:$A$1001,customers!$B$1:$B$1001,,0)</f>
        <v>Devland Gritton</v>
      </c>
      <c r="G938" s="2" t="str">
        <f>IF(_xlfn.XLOOKUP(C938,customers!$A$1:$A$1001,customers!$C$1:$C$1001,,0)=0,"",_xlfn.XLOOKUP(C938,customers!$A$1:$A$1001,customers!$C$1:$C$1001,,0))</f>
        <v>dgrittonq0@nydailynews.com</v>
      </c>
      <c r="H938" s="2" t="str">
        <f>_xlfn.XLOOKUP(C938,customers!$A$1:$A$1001,customers!$G$1:$G$1001,,0)</f>
        <v>United States</v>
      </c>
      <c r="I938" t="str">
        <f>INDEX(products!$A$1:$G$49,MATCH(orders!$D938,products!$A$1:$A$49,0),MATCH(orders!I$1,products!$A$1:$G$1,0))</f>
        <v>Lib</v>
      </c>
      <c r="J938" t="str">
        <f>INDEX(products!$A$1:$G$49,MATCH(orders!$D938,products!$A$1:$A$49,0),MATCH(orders!J$1,products!$A$1:$G$1,0))</f>
        <v>D</v>
      </c>
      <c r="K938" s="7">
        <f>INDEX(products!$A$1:$G$49,MATCH(orders!$D938,products!$A$1:$A$49,0),MATCH(orders!K$1,products!$A$1:$G$1,0))</f>
        <v>0.5</v>
      </c>
      <c r="L938" s="4">
        <f>INDEX(products!$A$1:$G$49,MATCH(orders!$D938,products!$A$1:$A$49,0),MATCH(orders!L$1,products!$A$1:$G$1,0))</f>
        <v>7.77</v>
      </c>
      <c r="M938" s="4">
        <f t="shared" si="14"/>
        <v>23.31</v>
      </c>
      <c r="N938" t="str" cm="1">
        <f t="array" ref="N938">_xlfn.IFS(I938="Rob","Robusta",I938="Exc","Excelsa",I938="Ara","Arabica",I938="Lib","Liberica")</f>
        <v>Liberica</v>
      </c>
      <c r="O938" t="str" cm="1">
        <f t="array" ref="O938">_xlfn.IFS(J938="M","Medium",J938="L","Large",J938="D","Dark")</f>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_xlfn.XLOOKUP(C939,customers!$A$1:$A$1001,customers!$B$1:$B$1001,,0)</f>
        <v>Devland Gritton</v>
      </c>
      <c r="G939" s="2" t="str">
        <f>IF(_xlfn.XLOOKUP(C939,customers!$A$1:$A$1001,customers!$C$1:$C$1001,,0)=0,"",_xlfn.XLOOKUP(C939,customers!$A$1:$A$1001,customers!$C$1:$C$1001,,0))</f>
        <v>dgrittonq0@nydailynews.com</v>
      </c>
      <c r="H939" s="2" t="str">
        <f>_xlfn.XLOOKUP(C939,customers!$A$1:$A$1001,customers!$G$1:$G$1001,,0)</f>
        <v>United States</v>
      </c>
      <c r="I939" t="str">
        <f>INDEX(products!$A$1:$G$49,MATCH(orders!$D939,products!$A$1:$A$49,0),MATCH(orders!I$1,products!$A$1:$G$1,0))</f>
        <v>Rob</v>
      </c>
      <c r="J939" t="str">
        <f>INDEX(products!$A$1:$G$49,MATCH(orders!$D939,products!$A$1:$A$49,0),MATCH(orders!J$1,products!$A$1:$G$1,0))</f>
        <v>M</v>
      </c>
      <c r="K939" s="7">
        <f>INDEX(products!$A$1:$G$49,MATCH(orders!$D939,products!$A$1:$A$49,0),MATCH(orders!K$1,products!$A$1:$G$1,0))</f>
        <v>2.5</v>
      </c>
      <c r="L939" s="4">
        <f>INDEX(products!$A$1:$G$49,MATCH(orders!$D939,products!$A$1:$A$49,0),MATCH(orders!L$1,products!$A$1:$G$1,0))</f>
        <v>22.884999999999998</v>
      </c>
      <c r="M939" s="4">
        <f t="shared" si="14"/>
        <v>91.539999999999992</v>
      </c>
      <c r="N939" t="str" cm="1">
        <f t="array" ref="N939">_xlfn.IFS(I939="Rob","Robusta",I939="Exc","Excelsa",I939="Ara","Arabica",I939="Lib","Liberica")</f>
        <v>Robusta</v>
      </c>
      <c r="O939" t="str" cm="1">
        <f t="array" ref="O939">_xlfn.IFS(J939="M","Medium",J939="L","Large",J939="D","Dark")</f>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_xlfn.XLOOKUP(C940,customers!$A$1:$A$1001,customers!$B$1:$B$1001,,0)</f>
        <v>Dell Gut</v>
      </c>
      <c r="G940" s="2" t="str">
        <f>IF(_xlfn.XLOOKUP(C940,customers!$A$1:$A$1001,customers!$C$1:$C$1001,,0)=0,"",_xlfn.XLOOKUP(C940,customers!$A$1:$A$1001,customers!$C$1:$C$1001,,0))</f>
        <v>dgutq2@umich.edu</v>
      </c>
      <c r="H940" s="2" t="str">
        <f>_xlfn.XLOOKUP(C940,customers!$A$1:$A$1001,customers!$G$1:$G$1001,,0)</f>
        <v>United States</v>
      </c>
      <c r="I940" t="str">
        <f>INDEX(products!$A$1:$G$49,MATCH(orders!$D940,products!$A$1:$A$49,0),MATCH(orders!I$1,products!$A$1:$G$1,0))</f>
        <v>Exc</v>
      </c>
      <c r="J940" t="str">
        <f>INDEX(products!$A$1:$G$49,MATCH(orders!$D940,products!$A$1:$A$49,0),MATCH(orders!J$1,products!$A$1:$G$1,0))</f>
        <v>L</v>
      </c>
      <c r="K940" s="7">
        <f>INDEX(products!$A$1:$G$49,MATCH(orders!$D940,products!$A$1:$A$49,0),MATCH(orders!K$1,products!$A$1:$G$1,0))</f>
        <v>1</v>
      </c>
      <c r="L940" s="4">
        <f>INDEX(products!$A$1:$G$49,MATCH(orders!$D940,products!$A$1:$A$49,0),MATCH(orders!L$1,products!$A$1:$G$1,0))</f>
        <v>14.85</v>
      </c>
      <c r="M940" s="4">
        <f t="shared" si="14"/>
        <v>74.25</v>
      </c>
      <c r="N940" t="str" cm="1">
        <f t="array" ref="N940">_xlfn.IFS(I940="Rob","Robusta",I940="Exc","Excelsa",I940="Ara","Arabica",I940="Lib","Liberica")</f>
        <v>Excelsa</v>
      </c>
      <c r="O940" t="str" cm="1">
        <f t="array" ref="O940">_xlfn.IFS(J940="M","Medium",J940="L","Large",J940="D","Dark")</f>
        <v>Large</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_xlfn.XLOOKUP(C941,customers!$A$1:$A$1001,customers!$B$1:$B$1001,,0)</f>
        <v>Willy Pummery</v>
      </c>
      <c r="G941" s="2" t="str">
        <f>IF(_xlfn.XLOOKUP(C941,customers!$A$1:$A$1001,customers!$C$1:$C$1001,,0)=0,"",_xlfn.XLOOKUP(C941,customers!$A$1:$A$1001,customers!$C$1:$C$1001,,0))</f>
        <v>wpummeryq3@topsy.com</v>
      </c>
      <c r="H941" s="2" t="str">
        <f>_xlfn.XLOOKUP(C941,customers!$A$1:$A$1001,customers!$G$1:$G$1001,,0)</f>
        <v>United States</v>
      </c>
      <c r="I941" t="str">
        <f>INDEX(products!$A$1:$G$49,MATCH(orders!$D941,products!$A$1:$A$49,0),MATCH(orders!I$1,products!$A$1:$G$1,0))</f>
        <v>Lib</v>
      </c>
      <c r="J941" t="str">
        <f>INDEX(products!$A$1:$G$49,MATCH(orders!$D941,products!$A$1:$A$49,0),MATCH(orders!J$1,products!$A$1:$G$1,0))</f>
        <v>L</v>
      </c>
      <c r="K941" s="7">
        <f>INDEX(products!$A$1:$G$49,MATCH(orders!$D941,products!$A$1:$A$49,0),MATCH(orders!K$1,products!$A$1:$G$1,0))</f>
        <v>0.2</v>
      </c>
      <c r="L941" s="4">
        <f>INDEX(products!$A$1:$G$49,MATCH(orders!$D941,products!$A$1:$A$49,0),MATCH(orders!L$1,products!$A$1:$G$1,0))</f>
        <v>4.7549999999999999</v>
      </c>
      <c r="M941" s="4">
        <f t="shared" si="14"/>
        <v>28.53</v>
      </c>
      <c r="N941" t="str" cm="1">
        <f t="array" ref="N941">_xlfn.IFS(I941="Rob","Robusta",I941="Exc","Excelsa",I941="Ara","Arabica",I941="Lib","Liberica")</f>
        <v>Liberica</v>
      </c>
      <c r="O941" t="str" cm="1">
        <f t="array" ref="O941">_xlfn.IFS(J941="M","Medium",J941="L","Large",J941="D","Dark")</f>
        <v>Large</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_xlfn.XLOOKUP(C942,customers!$A$1:$A$1001,customers!$B$1:$B$1001,,0)</f>
        <v>Geoffrey Siuda</v>
      </c>
      <c r="G942" s="2" t="str">
        <f>IF(_xlfn.XLOOKUP(C942,customers!$A$1:$A$1001,customers!$C$1:$C$1001,,0)=0,"",_xlfn.XLOOKUP(C942,customers!$A$1:$A$1001,customers!$C$1:$C$1001,,0))</f>
        <v>gsiudaq4@nytimes.com</v>
      </c>
      <c r="H942" s="2" t="str">
        <f>_xlfn.XLOOKUP(C942,customers!$A$1:$A$1001,customers!$G$1:$G$1001,,0)</f>
        <v>United States</v>
      </c>
      <c r="I942" t="str">
        <f>INDEX(products!$A$1:$G$49,MATCH(orders!$D942,products!$A$1:$A$49,0),MATCH(orders!I$1,products!$A$1:$G$1,0))</f>
        <v>Rob</v>
      </c>
      <c r="J942" t="str">
        <f>INDEX(products!$A$1:$G$49,MATCH(orders!$D942,products!$A$1:$A$49,0),MATCH(orders!J$1,products!$A$1:$G$1,0))</f>
        <v>L</v>
      </c>
      <c r="K942" s="7">
        <f>INDEX(products!$A$1:$G$49,MATCH(orders!$D942,products!$A$1:$A$49,0),MATCH(orders!K$1,products!$A$1:$G$1,0))</f>
        <v>0.5</v>
      </c>
      <c r="L942" s="4">
        <f>INDEX(products!$A$1:$G$49,MATCH(orders!$D942,products!$A$1:$A$49,0),MATCH(orders!L$1,products!$A$1:$G$1,0))</f>
        <v>7.169999999999999</v>
      </c>
      <c r="M942" s="4">
        <f t="shared" si="14"/>
        <v>14.339999999999998</v>
      </c>
      <c r="N942" t="str" cm="1">
        <f t="array" ref="N942">_xlfn.IFS(I942="Rob","Robusta",I942="Exc","Excelsa",I942="Ara","Arabica",I942="Lib","Liberica")</f>
        <v>Robusta</v>
      </c>
      <c r="O942" t="str" cm="1">
        <f t="array" ref="O942">_xlfn.IFS(J942="M","Medium",J942="L","Large",J942="D","Dark")</f>
        <v>Large</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_xlfn.XLOOKUP(C943,customers!$A$1:$A$1001,customers!$B$1:$B$1001,,0)</f>
        <v>Henderson Crowne</v>
      </c>
      <c r="G943" s="2" t="str">
        <f>IF(_xlfn.XLOOKUP(C943,customers!$A$1:$A$1001,customers!$C$1:$C$1001,,0)=0,"",_xlfn.XLOOKUP(C943,customers!$A$1:$A$1001,customers!$C$1:$C$1001,,0))</f>
        <v>hcrowneq5@wufoo.com</v>
      </c>
      <c r="H943" s="2" t="str">
        <f>_xlfn.XLOOKUP(C943,customers!$A$1:$A$1001,customers!$G$1:$G$1001,,0)</f>
        <v>Ireland</v>
      </c>
      <c r="I943" t="str">
        <f>INDEX(products!$A$1:$G$49,MATCH(orders!$D943,products!$A$1:$A$49,0),MATCH(orders!I$1,products!$A$1:$G$1,0))</f>
        <v>Ara</v>
      </c>
      <c r="J943" t="str">
        <f>INDEX(products!$A$1:$G$49,MATCH(orders!$D943,products!$A$1:$A$49,0),MATCH(orders!J$1,products!$A$1:$G$1,0))</f>
        <v>L</v>
      </c>
      <c r="K943" s="7">
        <f>INDEX(products!$A$1:$G$49,MATCH(orders!$D943,products!$A$1:$A$49,0),MATCH(orders!K$1,products!$A$1:$G$1,0))</f>
        <v>0.5</v>
      </c>
      <c r="L943" s="4">
        <f>INDEX(products!$A$1:$G$49,MATCH(orders!$D943,products!$A$1:$A$49,0),MATCH(orders!L$1,products!$A$1:$G$1,0))</f>
        <v>7.77</v>
      </c>
      <c r="M943" s="4">
        <f t="shared" si="14"/>
        <v>15.54</v>
      </c>
      <c r="N943" t="str" cm="1">
        <f t="array" ref="N943">_xlfn.IFS(I943="Rob","Robusta",I943="Exc","Excelsa",I943="Ara","Arabica",I943="Lib","Liberica")</f>
        <v>Arabica</v>
      </c>
      <c r="O943" t="str" cm="1">
        <f t="array" ref="O943">_xlfn.IFS(J943="M","Medium",J943="L","Large",J943="D","Dark")</f>
        <v>Large</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_xlfn.XLOOKUP(C944,customers!$A$1:$A$1001,customers!$B$1:$B$1001,,0)</f>
        <v>Vernor Pawsey</v>
      </c>
      <c r="G944" s="2" t="str">
        <f>IF(_xlfn.XLOOKUP(C944,customers!$A$1:$A$1001,customers!$C$1:$C$1001,,0)=0,"",_xlfn.XLOOKUP(C944,customers!$A$1:$A$1001,customers!$C$1:$C$1001,,0))</f>
        <v>vpawseyq6@tiny.cc</v>
      </c>
      <c r="H944" s="2" t="str">
        <f>_xlfn.XLOOKUP(C944,customers!$A$1:$A$1001,customers!$G$1:$G$1001,,0)</f>
        <v>United States</v>
      </c>
      <c r="I944" t="str">
        <f>INDEX(products!$A$1:$G$49,MATCH(orders!$D944,products!$A$1:$A$49,0),MATCH(orders!I$1,products!$A$1:$G$1,0))</f>
        <v>Rob</v>
      </c>
      <c r="J944" t="str">
        <f>INDEX(products!$A$1:$G$49,MATCH(orders!$D944,products!$A$1:$A$49,0),MATCH(orders!J$1,products!$A$1:$G$1,0))</f>
        <v>L</v>
      </c>
      <c r="K944" s="7">
        <f>INDEX(products!$A$1:$G$49,MATCH(orders!$D944,products!$A$1:$A$49,0),MATCH(orders!K$1,products!$A$1:$G$1,0))</f>
        <v>1</v>
      </c>
      <c r="L944" s="4">
        <f>INDEX(products!$A$1:$G$49,MATCH(orders!$D944,products!$A$1:$A$49,0),MATCH(orders!L$1,products!$A$1:$G$1,0))</f>
        <v>11.95</v>
      </c>
      <c r="M944" s="4">
        <f t="shared" si="14"/>
        <v>35.849999999999994</v>
      </c>
      <c r="N944" t="str" cm="1">
        <f t="array" ref="N944">_xlfn.IFS(I944="Rob","Robusta",I944="Exc","Excelsa",I944="Ara","Arabica",I944="Lib","Liberica")</f>
        <v>Robusta</v>
      </c>
      <c r="O944" t="str" cm="1">
        <f t="array" ref="O944">_xlfn.IFS(J944="M","Medium",J944="L","Large",J944="D","Dark")</f>
        <v>Large</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_xlfn.XLOOKUP(C945,customers!$A$1:$A$1001,customers!$B$1:$B$1001,,0)</f>
        <v>Augustin Waterhouse</v>
      </c>
      <c r="G945" s="2" t="str">
        <f>IF(_xlfn.XLOOKUP(C945,customers!$A$1:$A$1001,customers!$C$1:$C$1001,,0)=0,"",_xlfn.XLOOKUP(C945,customers!$A$1:$A$1001,customers!$C$1:$C$1001,,0))</f>
        <v>awaterhouseq7@istockphoto.com</v>
      </c>
      <c r="H945" s="2" t="str">
        <f>_xlfn.XLOOKUP(C945,customers!$A$1:$A$1001,customers!$G$1:$G$1001,,0)</f>
        <v>United States</v>
      </c>
      <c r="I945" t="str">
        <f>INDEX(products!$A$1:$G$49,MATCH(orders!$D945,products!$A$1:$A$49,0),MATCH(orders!I$1,products!$A$1:$G$1,0))</f>
        <v>Ara</v>
      </c>
      <c r="J945" t="str">
        <f>INDEX(products!$A$1:$G$49,MATCH(orders!$D945,products!$A$1:$A$49,0),MATCH(orders!J$1,products!$A$1:$G$1,0))</f>
        <v>L</v>
      </c>
      <c r="K945" s="7">
        <f>INDEX(products!$A$1:$G$49,MATCH(orders!$D945,products!$A$1:$A$49,0),MATCH(orders!K$1,products!$A$1:$G$1,0))</f>
        <v>0.5</v>
      </c>
      <c r="L945" s="4">
        <f>INDEX(products!$A$1:$G$49,MATCH(orders!$D945,products!$A$1:$A$49,0),MATCH(orders!L$1,products!$A$1:$G$1,0))</f>
        <v>7.77</v>
      </c>
      <c r="M945" s="4">
        <f t="shared" si="14"/>
        <v>46.62</v>
      </c>
      <c r="N945" t="str" cm="1">
        <f t="array" ref="N945">_xlfn.IFS(I945="Rob","Robusta",I945="Exc","Excelsa",I945="Ara","Arabica",I945="Lib","Liberica")</f>
        <v>Arabica</v>
      </c>
      <c r="O945" t="str" cm="1">
        <f t="array" ref="O945">_xlfn.IFS(J945="M","Medium",J945="L","Large",J945="D","Dark")</f>
        <v>Large</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_xlfn.XLOOKUP(C946,customers!$A$1:$A$1001,customers!$B$1:$B$1001,,0)</f>
        <v>Fanchon Haughian</v>
      </c>
      <c r="G946" s="2" t="str">
        <f>IF(_xlfn.XLOOKUP(C946,customers!$A$1:$A$1001,customers!$C$1:$C$1001,,0)=0,"",_xlfn.XLOOKUP(C946,customers!$A$1:$A$1001,customers!$C$1:$C$1001,,0))</f>
        <v>fhaughianq8@1688.com</v>
      </c>
      <c r="H946" s="2" t="str">
        <f>_xlfn.XLOOKUP(C946,customers!$A$1:$A$1001,customers!$G$1:$G$1001,,0)</f>
        <v>United States</v>
      </c>
      <c r="I946" t="str">
        <f>INDEX(products!$A$1:$G$49,MATCH(orders!$D946,products!$A$1:$A$49,0),MATCH(orders!I$1,products!$A$1:$G$1,0))</f>
        <v>Rob</v>
      </c>
      <c r="J946" t="str">
        <f>INDEX(products!$A$1:$G$49,MATCH(orders!$D946,products!$A$1:$A$49,0),MATCH(orders!J$1,products!$A$1:$G$1,0))</f>
        <v>L</v>
      </c>
      <c r="K946" s="7">
        <f>INDEX(products!$A$1:$G$49,MATCH(orders!$D946,products!$A$1:$A$49,0),MATCH(orders!K$1,products!$A$1:$G$1,0))</f>
        <v>0.5</v>
      </c>
      <c r="L946" s="4">
        <f>INDEX(products!$A$1:$G$49,MATCH(orders!$D946,products!$A$1:$A$49,0),MATCH(orders!L$1,products!$A$1:$G$1,0))</f>
        <v>7.169999999999999</v>
      </c>
      <c r="M946" s="4">
        <f t="shared" si="14"/>
        <v>35.849999999999994</v>
      </c>
      <c r="N946" t="str" cm="1">
        <f t="array" ref="N946">_xlfn.IFS(I946="Rob","Robusta",I946="Exc","Excelsa",I946="Ara","Arabica",I946="Lib","Liberica")</f>
        <v>Robusta</v>
      </c>
      <c r="O946" t="str" cm="1">
        <f t="array" ref="O946">_xlfn.IFS(J946="M","Medium",J946="L","Large",J946="D","Dark")</f>
        <v>Large</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_xlfn.XLOOKUP(C947,customers!$A$1:$A$1001,customers!$B$1:$B$1001,,0)</f>
        <v>Jaimie Hatz</v>
      </c>
      <c r="G947" s="2" t="str">
        <f>IF(_xlfn.XLOOKUP(C947,customers!$A$1:$A$1001,customers!$C$1:$C$1001,,0)=0,"",_xlfn.XLOOKUP(C947,customers!$A$1:$A$1001,customers!$C$1:$C$1001,,0))</f>
        <v/>
      </c>
      <c r="H947" s="2" t="str">
        <f>_xlfn.XLOOKUP(C947,customers!$A$1:$A$1001,customers!$G$1:$G$1001,,0)</f>
        <v>United States</v>
      </c>
      <c r="I947" t="str">
        <f>INDEX(products!$A$1:$G$49,MATCH(orders!$D947,products!$A$1:$A$49,0),MATCH(orders!I$1,products!$A$1:$G$1,0))</f>
        <v>Lib</v>
      </c>
      <c r="J947" t="str">
        <f>INDEX(products!$A$1:$G$49,MATCH(orders!$D947,products!$A$1:$A$49,0),MATCH(orders!J$1,products!$A$1:$G$1,0))</f>
        <v>D</v>
      </c>
      <c r="K947" s="7">
        <f>INDEX(products!$A$1:$G$49,MATCH(orders!$D947,products!$A$1:$A$49,0),MATCH(orders!K$1,products!$A$1:$G$1,0))</f>
        <v>2.5</v>
      </c>
      <c r="L947" s="4">
        <f>INDEX(products!$A$1:$G$49,MATCH(orders!$D947,products!$A$1:$A$49,0),MATCH(orders!L$1,products!$A$1:$G$1,0))</f>
        <v>29.784999999999997</v>
      </c>
      <c r="M947" s="4">
        <f t="shared" si="14"/>
        <v>119.13999999999999</v>
      </c>
      <c r="N947" t="str" cm="1">
        <f t="array" ref="N947">_xlfn.IFS(I947="Rob","Robusta",I947="Exc","Excelsa",I947="Ara","Arabica",I947="Lib","Liberica")</f>
        <v>Liberica</v>
      </c>
      <c r="O947" t="str" cm="1">
        <f t="array" ref="O947">_xlfn.IFS(J947="M","Medium",J947="L","Large",J947="D","Dark")</f>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_xlfn.XLOOKUP(C948,customers!$A$1:$A$1001,customers!$B$1:$B$1001,,0)</f>
        <v>Edeline Edney</v>
      </c>
      <c r="G948" s="2" t="str">
        <f>IF(_xlfn.XLOOKUP(C948,customers!$A$1:$A$1001,customers!$C$1:$C$1001,,0)=0,"",_xlfn.XLOOKUP(C948,customers!$A$1:$A$1001,customers!$C$1:$C$1001,,0))</f>
        <v/>
      </c>
      <c r="H948" s="2" t="str">
        <f>_xlfn.XLOOKUP(C948,customers!$A$1:$A$1001,customers!$G$1:$G$1001,,0)</f>
        <v>United States</v>
      </c>
      <c r="I948" t="str">
        <f>INDEX(products!$A$1:$G$49,MATCH(orders!$D948,products!$A$1:$A$49,0),MATCH(orders!I$1,products!$A$1:$G$1,0))</f>
        <v>Lib</v>
      </c>
      <c r="J948" t="str">
        <f>INDEX(products!$A$1:$G$49,MATCH(orders!$D948,products!$A$1:$A$49,0),MATCH(orders!J$1,products!$A$1:$G$1,0))</f>
        <v>D</v>
      </c>
      <c r="K948" s="7">
        <f>INDEX(products!$A$1:$G$49,MATCH(orders!$D948,products!$A$1:$A$49,0),MATCH(orders!K$1,products!$A$1:$G$1,0))</f>
        <v>0.5</v>
      </c>
      <c r="L948" s="4">
        <f>INDEX(products!$A$1:$G$49,MATCH(orders!$D948,products!$A$1:$A$49,0),MATCH(orders!L$1,products!$A$1:$G$1,0))</f>
        <v>7.77</v>
      </c>
      <c r="M948" s="4">
        <f t="shared" si="14"/>
        <v>23.31</v>
      </c>
      <c r="N948" t="str" cm="1">
        <f t="array" ref="N948">_xlfn.IFS(I948="Rob","Robusta",I948="Exc","Excelsa",I948="Ara","Arabica",I948="Lib","Liberica")</f>
        <v>Liberica</v>
      </c>
      <c r="O948" t="str" cm="1">
        <f t="array" ref="O948">_xlfn.IFS(J948="M","Medium",J948="L","Large",J948="D","Dark")</f>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_xlfn.XLOOKUP(C949,customers!$A$1:$A$1001,customers!$B$1:$B$1001,,0)</f>
        <v>Rickie Faltin</v>
      </c>
      <c r="G949" s="2" t="str">
        <f>IF(_xlfn.XLOOKUP(C949,customers!$A$1:$A$1001,customers!$C$1:$C$1001,,0)=0,"",_xlfn.XLOOKUP(C949,customers!$A$1:$A$1001,customers!$C$1:$C$1001,,0))</f>
        <v>rfaltinqb@topsy.com</v>
      </c>
      <c r="H949" s="2" t="str">
        <f>_xlfn.XLOOKUP(C949,customers!$A$1:$A$1001,customers!$G$1:$G$1001,,0)</f>
        <v>Ireland</v>
      </c>
      <c r="I949" t="str">
        <f>INDEX(products!$A$1:$G$49,MATCH(orders!$D949,products!$A$1:$A$49,0),MATCH(orders!I$1,products!$A$1:$G$1,0))</f>
        <v>Ara</v>
      </c>
      <c r="J949" t="str">
        <f>INDEX(products!$A$1:$G$49,MATCH(orders!$D949,products!$A$1:$A$49,0),MATCH(orders!J$1,products!$A$1:$G$1,0))</f>
        <v>M</v>
      </c>
      <c r="K949" s="7">
        <f>INDEX(products!$A$1:$G$49,MATCH(orders!$D949,products!$A$1:$A$49,0),MATCH(orders!K$1,products!$A$1:$G$1,0))</f>
        <v>1</v>
      </c>
      <c r="L949" s="4">
        <f>INDEX(products!$A$1:$G$49,MATCH(orders!$D949,products!$A$1:$A$49,0),MATCH(orders!L$1,products!$A$1:$G$1,0))</f>
        <v>11.25</v>
      </c>
      <c r="M949" s="4">
        <f t="shared" si="14"/>
        <v>11.25</v>
      </c>
      <c r="N949" t="str" cm="1">
        <f t="array" ref="N949">_xlfn.IFS(I949="Rob","Robusta",I949="Exc","Excelsa",I949="Ara","Arabica",I949="Lib","Liberica")</f>
        <v>Arabica</v>
      </c>
      <c r="O949" t="str" cm="1">
        <f t="array" ref="O949">_xlfn.IFS(J949="M","Medium",J949="L","Large",J949="D","Dark")</f>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_xlfn.XLOOKUP(C950,customers!$A$1:$A$1001,customers!$B$1:$B$1001,,0)</f>
        <v>Gnni Cheeke</v>
      </c>
      <c r="G950" s="2" t="str">
        <f>IF(_xlfn.XLOOKUP(C950,customers!$A$1:$A$1001,customers!$C$1:$C$1001,,0)=0,"",_xlfn.XLOOKUP(C950,customers!$A$1:$A$1001,customers!$C$1:$C$1001,,0))</f>
        <v>gcheekeqc@sitemeter.com</v>
      </c>
      <c r="H950" s="2" t="str">
        <f>_xlfn.XLOOKUP(C950,customers!$A$1:$A$1001,customers!$G$1:$G$1001,,0)</f>
        <v>United Kingdom</v>
      </c>
      <c r="I950" t="str">
        <f>INDEX(products!$A$1:$G$49,MATCH(orders!$D950,products!$A$1:$A$49,0),MATCH(orders!I$1,products!$A$1:$G$1,0))</f>
        <v>Exc</v>
      </c>
      <c r="J950" t="str">
        <f>INDEX(products!$A$1:$G$49,MATCH(orders!$D950,products!$A$1:$A$49,0),MATCH(orders!J$1,products!$A$1:$G$1,0))</f>
        <v>D</v>
      </c>
      <c r="K950" s="7">
        <f>INDEX(products!$A$1:$G$49,MATCH(orders!$D950,products!$A$1:$A$49,0),MATCH(orders!K$1,products!$A$1:$G$1,0))</f>
        <v>2.5</v>
      </c>
      <c r="L950" s="4">
        <f>INDEX(products!$A$1:$G$49,MATCH(orders!$D950,products!$A$1:$A$49,0),MATCH(orders!L$1,products!$A$1:$G$1,0))</f>
        <v>27.945</v>
      </c>
      <c r="M950" s="4">
        <f t="shared" si="14"/>
        <v>83.835000000000008</v>
      </c>
      <c r="N950" t="str" cm="1">
        <f t="array" ref="N950">_xlfn.IFS(I950="Rob","Robusta",I950="Exc","Excelsa",I950="Ara","Arabica",I950="Lib","Liberica")</f>
        <v>Excelsa</v>
      </c>
      <c r="O950" t="str" cm="1">
        <f t="array" ref="O950">_xlfn.IFS(J950="M","Medium",J950="L","Large",J950="D","Dark")</f>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_xlfn.XLOOKUP(C951,customers!$A$1:$A$1001,customers!$B$1:$B$1001,,0)</f>
        <v>Gwenni Ratt</v>
      </c>
      <c r="G951" s="2" t="str">
        <f>IF(_xlfn.XLOOKUP(C951,customers!$A$1:$A$1001,customers!$C$1:$C$1001,,0)=0,"",_xlfn.XLOOKUP(C951,customers!$A$1:$A$1001,customers!$C$1:$C$1001,,0))</f>
        <v>grattqd@phpbb.com</v>
      </c>
      <c r="H951" s="2" t="str">
        <f>_xlfn.XLOOKUP(C951,customers!$A$1:$A$1001,customers!$G$1:$G$1001,,0)</f>
        <v>Ireland</v>
      </c>
      <c r="I951" t="str">
        <f>INDEX(products!$A$1:$G$49,MATCH(orders!$D951,products!$A$1:$A$49,0),MATCH(orders!I$1,products!$A$1:$G$1,0))</f>
        <v>Rob</v>
      </c>
      <c r="J951" t="str">
        <f>INDEX(products!$A$1:$G$49,MATCH(orders!$D951,products!$A$1:$A$49,0),MATCH(orders!J$1,products!$A$1:$G$1,0))</f>
        <v>L</v>
      </c>
      <c r="K951" s="7">
        <f>INDEX(products!$A$1:$G$49,MATCH(orders!$D951,products!$A$1:$A$49,0),MATCH(orders!K$1,products!$A$1:$G$1,0))</f>
        <v>2.5</v>
      </c>
      <c r="L951" s="4">
        <f>INDEX(products!$A$1:$G$49,MATCH(orders!$D951,products!$A$1:$A$49,0),MATCH(orders!L$1,products!$A$1:$G$1,0))</f>
        <v>27.484999999999996</v>
      </c>
      <c r="M951" s="4">
        <f t="shared" si="14"/>
        <v>109.93999999999998</v>
      </c>
      <c r="N951" t="str" cm="1">
        <f t="array" ref="N951">_xlfn.IFS(I951="Rob","Robusta",I951="Exc","Excelsa",I951="Ara","Arabica",I951="Lib","Liberica")</f>
        <v>Robusta</v>
      </c>
      <c r="O951" t="str" cm="1">
        <f t="array" ref="O951">_xlfn.IFS(J951="M","Medium",J951="L","Large",J951="D","Dark")</f>
        <v>Large</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_xlfn.XLOOKUP(C952,customers!$A$1:$A$1001,customers!$B$1:$B$1001,,0)</f>
        <v>Johnath Fairebrother</v>
      </c>
      <c r="G952" s="2" t="str">
        <f>IF(_xlfn.XLOOKUP(C952,customers!$A$1:$A$1001,customers!$C$1:$C$1001,,0)=0,"",_xlfn.XLOOKUP(C952,customers!$A$1:$A$1001,customers!$C$1:$C$1001,,0))</f>
        <v/>
      </c>
      <c r="H952" s="2" t="str">
        <f>_xlfn.XLOOKUP(C952,customers!$A$1:$A$1001,customers!$G$1:$G$1001,,0)</f>
        <v>United States</v>
      </c>
      <c r="I952" t="str">
        <f>INDEX(products!$A$1:$G$49,MATCH(orders!$D952,products!$A$1:$A$49,0),MATCH(orders!I$1,products!$A$1:$G$1,0))</f>
        <v>Rob</v>
      </c>
      <c r="J952" t="str">
        <f>INDEX(products!$A$1:$G$49,MATCH(orders!$D952,products!$A$1:$A$49,0),MATCH(orders!J$1,products!$A$1:$G$1,0))</f>
        <v>L</v>
      </c>
      <c r="K952" s="7">
        <f>INDEX(products!$A$1:$G$49,MATCH(orders!$D952,products!$A$1:$A$49,0),MATCH(orders!K$1,products!$A$1:$G$1,0))</f>
        <v>0.2</v>
      </c>
      <c r="L952" s="4">
        <f>INDEX(products!$A$1:$G$49,MATCH(orders!$D952,products!$A$1:$A$49,0),MATCH(orders!L$1,products!$A$1:$G$1,0))</f>
        <v>3.5849999999999995</v>
      </c>
      <c r="M952" s="4">
        <f t="shared" si="14"/>
        <v>14.339999999999998</v>
      </c>
      <c r="N952" t="str" cm="1">
        <f t="array" ref="N952">_xlfn.IFS(I952="Rob","Robusta",I952="Exc","Excelsa",I952="Ara","Arabica",I952="Lib","Liberica")</f>
        <v>Robusta</v>
      </c>
      <c r="O952" t="str" cm="1">
        <f t="array" ref="O952">_xlfn.IFS(J952="M","Medium",J952="L","Large",J952="D","Dark")</f>
        <v>Large</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_xlfn.XLOOKUP(C953,customers!$A$1:$A$1001,customers!$B$1:$B$1001,,0)</f>
        <v>Ingamar Eberlein</v>
      </c>
      <c r="G953" s="2" t="str">
        <f>IF(_xlfn.XLOOKUP(C953,customers!$A$1:$A$1001,customers!$C$1:$C$1001,,0)=0,"",_xlfn.XLOOKUP(C953,customers!$A$1:$A$1001,customers!$C$1:$C$1001,,0))</f>
        <v>ieberleinqf@hc360.com</v>
      </c>
      <c r="H953" s="2" t="str">
        <f>_xlfn.XLOOKUP(C953,customers!$A$1:$A$1001,customers!$G$1:$G$1001,,0)</f>
        <v>United States</v>
      </c>
      <c r="I953" t="str">
        <f>INDEX(products!$A$1:$G$49,MATCH(orders!$D953,products!$A$1:$A$49,0),MATCH(orders!I$1,products!$A$1:$G$1,0))</f>
        <v>Rob</v>
      </c>
      <c r="J953" t="str">
        <f>INDEX(products!$A$1:$G$49,MATCH(orders!$D953,products!$A$1:$A$49,0),MATCH(orders!J$1,products!$A$1:$G$1,0))</f>
        <v>L</v>
      </c>
      <c r="K953" s="7">
        <f>INDEX(products!$A$1:$G$49,MATCH(orders!$D953,products!$A$1:$A$49,0),MATCH(orders!K$1,products!$A$1:$G$1,0))</f>
        <v>0.2</v>
      </c>
      <c r="L953" s="4">
        <f>INDEX(products!$A$1:$G$49,MATCH(orders!$D953,products!$A$1:$A$49,0),MATCH(orders!L$1,products!$A$1:$G$1,0))</f>
        <v>3.5849999999999995</v>
      </c>
      <c r="M953" s="4">
        <f t="shared" si="14"/>
        <v>21.509999999999998</v>
      </c>
      <c r="N953" t="str" cm="1">
        <f t="array" ref="N953">_xlfn.IFS(I953="Rob","Robusta",I953="Exc","Excelsa",I953="Ara","Arabica",I953="Lib","Liberica")</f>
        <v>Robusta</v>
      </c>
      <c r="O953" t="str" cm="1">
        <f t="array" ref="O953">_xlfn.IFS(J953="M","Medium",J953="L","Large",J953="D","Dark")</f>
        <v>Large</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_xlfn.XLOOKUP(C954,customers!$A$1:$A$1001,customers!$B$1:$B$1001,,0)</f>
        <v>Jilly Dreng</v>
      </c>
      <c r="G954" s="2" t="str">
        <f>IF(_xlfn.XLOOKUP(C954,customers!$A$1:$A$1001,customers!$C$1:$C$1001,,0)=0,"",_xlfn.XLOOKUP(C954,customers!$A$1:$A$1001,customers!$C$1:$C$1001,,0))</f>
        <v>jdrengqg@uiuc.edu</v>
      </c>
      <c r="H954" s="2" t="str">
        <f>_xlfn.XLOOKUP(C954,customers!$A$1:$A$1001,customers!$G$1:$G$1001,,0)</f>
        <v>Ireland</v>
      </c>
      <c r="I954" t="str">
        <f>INDEX(products!$A$1:$G$49,MATCH(orders!$D954,products!$A$1:$A$49,0),MATCH(orders!I$1,products!$A$1:$G$1,0))</f>
        <v>Ara</v>
      </c>
      <c r="J954" t="str">
        <f>INDEX(products!$A$1:$G$49,MATCH(orders!$D954,products!$A$1:$A$49,0),MATCH(orders!J$1,products!$A$1:$G$1,0))</f>
        <v>M</v>
      </c>
      <c r="K954" s="7">
        <f>INDEX(products!$A$1:$G$49,MATCH(orders!$D954,products!$A$1:$A$49,0),MATCH(orders!K$1,products!$A$1:$G$1,0))</f>
        <v>1</v>
      </c>
      <c r="L954" s="4">
        <f>INDEX(products!$A$1:$G$49,MATCH(orders!$D954,products!$A$1:$A$49,0),MATCH(orders!L$1,products!$A$1:$G$1,0))</f>
        <v>11.25</v>
      </c>
      <c r="M954" s="4">
        <f t="shared" si="14"/>
        <v>22.5</v>
      </c>
      <c r="N954" t="str" cm="1">
        <f t="array" ref="N954">_xlfn.IFS(I954="Rob","Robusta",I954="Exc","Excelsa",I954="Ara","Arabica",I954="Lib","Liberica")</f>
        <v>Arabica</v>
      </c>
      <c r="O954" t="str" cm="1">
        <f t="array" ref="O954">_xlfn.IFS(J954="M","Medium",J954="L","Large",J954="D","Dark")</f>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_xlfn.XLOOKUP(C955,customers!$A$1:$A$1001,customers!$B$1:$B$1001,,0)</f>
        <v>Brenn Dundredge</v>
      </c>
      <c r="G955" s="2" t="str">
        <f>IF(_xlfn.XLOOKUP(C955,customers!$A$1:$A$1001,customers!$C$1:$C$1001,,0)=0,"",_xlfn.XLOOKUP(C955,customers!$A$1:$A$1001,customers!$C$1:$C$1001,,0))</f>
        <v/>
      </c>
      <c r="H955" s="2" t="str">
        <f>_xlfn.XLOOKUP(C955,customers!$A$1:$A$1001,customers!$G$1:$G$1001,,0)</f>
        <v>United States</v>
      </c>
      <c r="I955" t="str">
        <f>INDEX(products!$A$1:$G$49,MATCH(orders!$D955,products!$A$1:$A$49,0),MATCH(orders!I$1,products!$A$1:$G$1,0))</f>
        <v>Ara</v>
      </c>
      <c r="J955" t="str">
        <f>INDEX(products!$A$1:$G$49,MATCH(orders!$D955,products!$A$1:$A$49,0),MATCH(orders!J$1,products!$A$1:$G$1,0))</f>
        <v>L</v>
      </c>
      <c r="K955" s="7">
        <f>INDEX(products!$A$1:$G$49,MATCH(orders!$D955,products!$A$1:$A$49,0),MATCH(orders!K$1,products!$A$1:$G$1,0))</f>
        <v>0.2</v>
      </c>
      <c r="L955" s="4">
        <f>INDEX(products!$A$1:$G$49,MATCH(orders!$D955,products!$A$1:$A$49,0),MATCH(orders!L$1,products!$A$1:$G$1,0))</f>
        <v>3.8849999999999998</v>
      </c>
      <c r="M955" s="4">
        <f t="shared" si="14"/>
        <v>3.8849999999999998</v>
      </c>
      <c r="N955" t="str" cm="1">
        <f t="array" ref="N955">_xlfn.IFS(I955="Rob","Robusta",I955="Exc","Excelsa",I955="Ara","Arabica",I955="Lib","Liberica")</f>
        <v>Arabica</v>
      </c>
      <c r="O955" t="str" cm="1">
        <f t="array" ref="O955">_xlfn.IFS(J955="M","Medium",J955="L","Large",J955="D","Dark")</f>
        <v>Large</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_xlfn.XLOOKUP(C956,customers!$A$1:$A$1001,customers!$B$1:$B$1001,,0)</f>
        <v>Brenn Dundredge</v>
      </c>
      <c r="G956" s="2" t="str">
        <f>IF(_xlfn.XLOOKUP(C956,customers!$A$1:$A$1001,customers!$C$1:$C$1001,,0)=0,"",_xlfn.XLOOKUP(C956,customers!$A$1:$A$1001,customers!$C$1:$C$1001,,0))</f>
        <v/>
      </c>
      <c r="H956" s="2" t="str">
        <f>_xlfn.XLOOKUP(C956,customers!$A$1:$A$1001,customers!$G$1:$G$1001,,0)</f>
        <v>United States</v>
      </c>
      <c r="I956" t="str">
        <f>INDEX(products!$A$1:$G$49,MATCH(orders!$D956,products!$A$1:$A$49,0),MATCH(orders!I$1,products!$A$1:$G$1,0))</f>
        <v>Exc</v>
      </c>
      <c r="J956" t="str">
        <f>INDEX(products!$A$1:$G$49,MATCH(orders!$D956,products!$A$1:$A$49,0),MATCH(orders!J$1,products!$A$1:$G$1,0))</f>
        <v>D</v>
      </c>
      <c r="K956" s="7">
        <f>INDEX(products!$A$1:$G$49,MATCH(orders!$D956,products!$A$1:$A$49,0),MATCH(orders!K$1,products!$A$1:$G$1,0))</f>
        <v>2.5</v>
      </c>
      <c r="L956" s="4">
        <f>INDEX(products!$A$1:$G$49,MATCH(orders!$D956,products!$A$1:$A$49,0),MATCH(orders!L$1,products!$A$1:$G$1,0))</f>
        <v>27.945</v>
      </c>
      <c r="M956" s="4">
        <f t="shared" si="14"/>
        <v>27.945</v>
      </c>
      <c r="N956" t="str" cm="1">
        <f t="array" ref="N956">_xlfn.IFS(I956="Rob","Robusta",I956="Exc","Excelsa",I956="Ara","Arabica",I956="Lib","Liberica")</f>
        <v>Excelsa</v>
      </c>
      <c r="O956" t="str" cm="1">
        <f t="array" ref="O956">_xlfn.IFS(J956="M","Medium",J956="L","Large",J956="D","Dark")</f>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_xlfn.XLOOKUP(C957,customers!$A$1:$A$1001,customers!$B$1:$B$1001,,0)</f>
        <v>Brenn Dundredge</v>
      </c>
      <c r="G957" s="2" t="str">
        <f>IF(_xlfn.XLOOKUP(C957,customers!$A$1:$A$1001,customers!$C$1:$C$1001,,0)=0,"",_xlfn.XLOOKUP(C957,customers!$A$1:$A$1001,customers!$C$1:$C$1001,,0))</f>
        <v/>
      </c>
      <c r="H957" s="2" t="str">
        <f>_xlfn.XLOOKUP(C957,customers!$A$1:$A$1001,customers!$G$1:$G$1001,,0)</f>
        <v>United States</v>
      </c>
      <c r="I957" t="str">
        <f>INDEX(products!$A$1:$G$49,MATCH(orders!$D957,products!$A$1:$A$49,0),MATCH(orders!I$1,products!$A$1:$G$1,0))</f>
        <v>Exc</v>
      </c>
      <c r="J957" t="str">
        <f>INDEX(products!$A$1:$G$49,MATCH(orders!$D957,products!$A$1:$A$49,0),MATCH(orders!J$1,products!$A$1:$G$1,0))</f>
        <v>L</v>
      </c>
      <c r="K957" s="7">
        <f>INDEX(products!$A$1:$G$49,MATCH(orders!$D957,products!$A$1:$A$49,0),MATCH(orders!K$1,products!$A$1:$G$1,0))</f>
        <v>2.5</v>
      </c>
      <c r="L957" s="4">
        <f>INDEX(products!$A$1:$G$49,MATCH(orders!$D957,products!$A$1:$A$49,0),MATCH(orders!L$1,products!$A$1:$G$1,0))</f>
        <v>34.154999999999994</v>
      </c>
      <c r="M957" s="4">
        <f t="shared" si="14"/>
        <v>170.77499999999998</v>
      </c>
      <c r="N957" t="str" cm="1">
        <f t="array" ref="N957">_xlfn.IFS(I957="Rob","Robusta",I957="Exc","Excelsa",I957="Ara","Arabica",I957="Lib","Liberica")</f>
        <v>Excelsa</v>
      </c>
      <c r="O957" t="str" cm="1">
        <f t="array" ref="O957">_xlfn.IFS(J957="M","Medium",J957="L","Large",J957="D","Dark")</f>
        <v>Large</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_xlfn.XLOOKUP(C958,customers!$A$1:$A$1001,customers!$B$1:$B$1001,,0)</f>
        <v>Brenn Dundredge</v>
      </c>
      <c r="G958" s="2" t="str">
        <f>IF(_xlfn.XLOOKUP(C958,customers!$A$1:$A$1001,customers!$C$1:$C$1001,,0)=0,"",_xlfn.XLOOKUP(C958,customers!$A$1:$A$1001,customers!$C$1:$C$1001,,0))</f>
        <v/>
      </c>
      <c r="H958" s="2" t="str">
        <f>_xlfn.XLOOKUP(C958,customers!$A$1:$A$1001,customers!$G$1:$G$1001,,0)</f>
        <v>United States</v>
      </c>
      <c r="I958" t="str">
        <f>INDEX(products!$A$1:$G$49,MATCH(orders!$D958,products!$A$1:$A$49,0),MATCH(orders!I$1,products!$A$1:$G$1,0))</f>
        <v>Rob</v>
      </c>
      <c r="J958" t="str">
        <f>INDEX(products!$A$1:$G$49,MATCH(orders!$D958,products!$A$1:$A$49,0),MATCH(orders!J$1,products!$A$1:$G$1,0))</f>
        <v>L</v>
      </c>
      <c r="K958" s="7">
        <f>INDEX(products!$A$1:$G$49,MATCH(orders!$D958,products!$A$1:$A$49,0),MATCH(orders!K$1,products!$A$1:$G$1,0))</f>
        <v>2.5</v>
      </c>
      <c r="L958" s="4">
        <f>INDEX(products!$A$1:$G$49,MATCH(orders!$D958,products!$A$1:$A$49,0),MATCH(orders!L$1,products!$A$1:$G$1,0))</f>
        <v>27.484999999999996</v>
      </c>
      <c r="M958" s="4">
        <f t="shared" si="14"/>
        <v>54.969999999999992</v>
      </c>
      <c r="N958" t="str" cm="1">
        <f t="array" ref="N958">_xlfn.IFS(I958="Rob","Robusta",I958="Exc","Excelsa",I958="Ara","Arabica",I958="Lib","Liberica")</f>
        <v>Robusta</v>
      </c>
      <c r="O958" t="str" cm="1">
        <f t="array" ref="O958">_xlfn.IFS(J958="M","Medium",J958="L","Large",J958="D","Dark")</f>
        <v>Large</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_xlfn.XLOOKUP(C959,customers!$A$1:$A$1001,customers!$B$1:$B$1001,,0)</f>
        <v>Brenn Dundredge</v>
      </c>
      <c r="G959" s="2" t="str">
        <f>IF(_xlfn.XLOOKUP(C959,customers!$A$1:$A$1001,customers!$C$1:$C$1001,,0)=0,"",_xlfn.XLOOKUP(C959,customers!$A$1:$A$1001,customers!$C$1:$C$1001,,0))</f>
        <v/>
      </c>
      <c r="H959" s="2" t="str">
        <f>_xlfn.XLOOKUP(C959,customers!$A$1:$A$1001,customers!$G$1:$G$1001,,0)</f>
        <v>United States</v>
      </c>
      <c r="I959" t="str">
        <f>INDEX(products!$A$1:$G$49,MATCH(orders!$D959,products!$A$1:$A$49,0),MATCH(orders!I$1,products!$A$1:$G$1,0))</f>
        <v>Exc</v>
      </c>
      <c r="J959" t="str">
        <f>INDEX(products!$A$1:$G$49,MATCH(orders!$D959,products!$A$1:$A$49,0),MATCH(orders!J$1,products!$A$1:$G$1,0))</f>
        <v>L</v>
      </c>
      <c r="K959" s="7">
        <f>INDEX(products!$A$1:$G$49,MATCH(orders!$D959,products!$A$1:$A$49,0),MATCH(orders!K$1,products!$A$1:$G$1,0))</f>
        <v>1</v>
      </c>
      <c r="L959" s="4">
        <f>INDEX(products!$A$1:$G$49,MATCH(orders!$D959,products!$A$1:$A$49,0),MATCH(orders!L$1,products!$A$1:$G$1,0))</f>
        <v>14.85</v>
      </c>
      <c r="M959" s="4">
        <f t="shared" si="14"/>
        <v>14.85</v>
      </c>
      <c r="N959" t="str" cm="1">
        <f t="array" ref="N959">_xlfn.IFS(I959="Rob","Robusta",I959="Exc","Excelsa",I959="Ara","Arabica",I959="Lib","Liberica")</f>
        <v>Excelsa</v>
      </c>
      <c r="O959" t="str" cm="1">
        <f t="array" ref="O959">_xlfn.IFS(J959="M","Medium",J959="L","Large",J959="D","Dark")</f>
        <v>Large</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_xlfn.XLOOKUP(C960,customers!$A$1:$A$1001,customers!$B$1:$B$1001,,0)</f>
        <v>Brenn Dundredge</v>
      </c>
      <c r="G960" s="2" t="str">
        <f>IF(_xlfn.XLOOKUP(C960,customers!$A$1:$A$1001,customers!$C$1:$C$1001,,0)=0,"",_xlfn.XLOOKUP(C960,customers!$A$1:$A$1001,customers!$C$1:$C$1001,,0))</f>
        <v/>
      </c>
      <c r="H960" s="2" t="str">
        <f>_xlfn.XLOOKUP(C960,customers!$A$1:$A$1001,customers!$G$1:$G$1001,,0)</f>
        <v>United States</v>
      </c>
      <c r="I960" t="str">
        <f>INDEX(products!$A$1:$G$49,MATCH(orders!$D960,products!$A$1:$A$49,0),MATCH(orders!I$1,products!$A$1:$G$1,0))</f>
        <v>Ara</v>
      </c>
      <c r="J960" t="str">
        <f>INDEX(products!$A$1:$G$49,MATCH(orders!$D960,products!$A$1:$A$49,0),MATCH(orders!J$1,products!$A$1:$G$1,0))</f>
        <v>L</v>
      </c>
      <c r="K960" s="7">
        <f>INDEX(products!$A$1:$G$49,MATCH(orders!$D960,products!$A$1:$A$49,0),MATCH(orders!K$1,products!$A$1:$G$1,0))</f>
        <v>0.2</v>
      </c>
      <c r="L960" s="4">
        <f>INDEX(products!$A$1:$G$49,MATCH(orders!$D960,products!$A$1:$A$49,0),MATCH(orders!L$1,products!$A$1:$G$1,0))</f>
        <v>3.8849999999999998</v>
      </c>
      <c r="M960" s="4">
        <f t="shared" si="14"/>
        <v>7.77</v>
      </c>
      <c r="N960" t="str" cm="1">
        <f t="array" ref="N960">_xlfn.IFS(I960="Rob","Robusta",I960="Exc","Excelsa",I960="Ara","Arabica",I960="Lib","Liberica")</f>
        <v>Arabica</v>
      </c>
      <c r="O960" t="str" cm="1">
        <f t="array" ref="O960">_xlfn.IFS(J960="M","Medium",J960="L","Large",J960="D","Dark")</f>
        <v>Large</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_xlfn.XLOOKUP(C961,customers!$A$1:$A$1001,customers!$B$1:$B$1001,,0)</f>
        <v>Rhodie Strathern</v>
      </c>
      <c r="G961" s="2" t="str">
        <f>IF(_xlfn.XLOOKUP(C961,customers!$A$1:$A$1001,customers!$C$1:$C$1001,,0)=0,"",_xlfn.XLOOKUP(C961,customers!$A$1:$A$1001,customers!$C$1:$C$1001,,0))</f>
        <v>rstrathernqn@devhub.com</v>
      </c>
      <c r="H961" s="2" t="str">
        <f>_xlfn.XLOOKUP(C961,customers!$A$1:$A$1001,customers!$G$1:$G$1001,,0)</f>
        <v>United States</v>
      </c>
      <c r="I961" t="str">
        <f>INDEX(products!$A$1:$G$49,MATCH(orders!$D961,products!$A$1:$A$49,0),MATCH(orders!I$1,products!$A$1:$G$1,0))</f>
        <v>Lib</v>
      </c>
      <c r="J961" t="str">
        <f>INDEX(products!$A$1:$G$49,MATCH(orders!$D961,products!$A$1:$A$49,0),MATCH(orders!J$1,products!$A$1:$G$1,0))</f>
        <v>L</v>
      </c>
      <c r="K961" s="7">
        <f>INDEX(products!$A$1:$G$49,MATCH(orders!$D961,products!$A$1:$A$49,0),MATCH(orders!K$1,products!$A$1:$G$1,0))</f>
        <v>0.2</v>
      </c>
      <c r="L961" s="4">
        <f>INDEX(products!$A$1:$G$49,MATCH(orders!$D961,products!$A$1:$A$49,0),MATCH(orders!L$1,products!$A$1:$G$1,0))</f>
        <v>4.7549999999999999</v>
      </c>
      <c r="M961" s="4">
        <f t="shared" si="14"/>
        <v>23.774999999999999</v>
      </c>
      <c r="N961" t="str" cm="1">
        <f t="array" ref="N961">_xlfn.IFS(I961="Rob","Robusta",I961="Exc","Excelsa",I961="Ara","Arabica",I961="Lib","Liberica")</f>
        <v>Liberica</v>
      </c>
      <c r="O961" t="str" cm="1">
        <f t="array" ref="O961">_xlfn.IFS(J961="M","Medium",J961="L","Large",J961="D","Dark")</f>
        <v>Large</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_xlfn.XLOOKUP(C962,customers!$A$1:$A$1001,customers!$B$1:$B$1001,,0)</f>
        <v>Chad Miguel</v>
      </c>
      <c r="G962" s="2" t="str">
        <f>IF(_xlfn.XLOOKUP(C962,customers!$A$1:$A$1001,customers!$C$1:$C$1001,,0)=0,"",_xlfn.XLOOKUP(C962,customers!$A$1:$A$1001,customers!$C$1:$C$1001,,0))</f>
        <v>cmiguelqo@exblog.jp</v>
      </c>
      <c r="H962" s="2" t="str">
        <f>_xlfn.XLOOKUP(C962,customers!$A$1:$A$1001,customers!$G$1:$G$1001,,0)</f>
        <v>United States</v>
      </c>
      <c r="I962" t="str">
        <f>INDEX(products!$A$1:$G$49,MATCH(orders!$D962,products!$A$1:$A$49,0),MATCH(orders!I$1,products!$A$1:$G$1,0))</f>
        <v>Lib</v>
      </c>
      <c r="J962" t="str">
        <f>INDEX(products!$A$1:$G$49,MATCH(orders!$D962,products!$A$1:$A$49,0),MATCH(orders!J$1,products!$A$1:$G$1,0))</f>
        <v>L</v>
      </c>
      <c r="K962" s="7">
        <f>INDEX(products!$A$1:$G$49,MATCH(orders!$D962,products!$A$1:$A$49,0),MATCH(orders!K$1,products!$A$1:$G$1,0))</f>
        <v>1</v>
      </c>
      <c r="L962" s="4">
        <f>INDEX(products!$A$1:$G$49,MATCH(orders!$D962,products!$A$1:$A$49,0),MATCH(orders!L$1,products!$A$1:$G$1,0))</f>
        <v>15.85</v>
      </c>
      <c r="M962" s="4">
        <f t="shared" si="14"/>
        <v>79.25</v>
      </c>
      <c r="N962" t="str" cm="1">
        <f t="array" ref="N962">_xlfn.IFS(I962="Rob","Robusta",I962="Exc","Excelsa",I962="Ara","Arabica",I962="Lib","Liberica")</f>
        <v>Liberica</v>
      </c>
      <c r="O962" t="str" cm="1">
        <f t="array" ref="O962">_xlfn.IFS(J962="M","Medium",J962="L","Large",J962="D","Dark")</f>
        <v>Large</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_xlfn.XLOOKUP(C963,customers!$A$1:$A$1001,customers!$B$1:$B$1001,,0)</f>
        <v>Florinda Matusovsky</v>
      </c>
      <c r="G963" s="2" t="str">
        <f>IF(_xlfn.XLOOKUP(C963,customers!$A$1:$A$1001,customers!$C$1:$C$1001,,0)=0,"",_xlfn.XLOOKUP(C963,customers!$A$1:$A$1001,customers!$C$1:$C$1001,,0))</f>
        <v/>
      </c>
      <c r="H963" s="2" t="str">
        <f>_xlfn.XLOOKUP(C963,customers!$A$1:$A$1001,customers!$G$1:$G$1001,,0)</f>
        <v>United States</v>
      </c>
      <c r="I963" t="str">
        <f>INDEX(products!$A$1:$G$49,MATCH(orders!$D963,products!$A$1:$A$49,0),MATCH(orders!I$1,products!$A$1:$G$1,0))</f>
        <v>Ara</v>
      </c>
      <c r="J963" t="str">
        <f>INDEX(products!$A$1:$G$49,MATCH(orders!$D963,products!$A$1:$A$49,0),MATCH(orders!J$1,products!$A$1:$G$1,0))</f>
        <v>D</v>
      </c>
      <c r="K963" s="7">
        <f>INDEX(products!$A$1:$G$49,MATCH(orders!$D963,products!$A$1:$A$49,0),MATCH(orders!K$1,products!$A$1:$G$1,0))</f>
        <v>2.5</v>
      </c>
      <c r="L963" s="4">
        <f>INDEX(products!$A$1:$G$49,MATCH(orders!$D963,products!$A$1:$A$49,0),MATCH(orders!L$1,products!$A$1:$G$1,0))</f>
        <v>22.884999999999998</v>
      </c>
      <c r="M963" s="4">
        <f t="shared" ref="M963:M1001" si="15">L963*E963</f>
        <v>45.769999999999996</v>
      </c>
      <c r="N963" t="str" cm="1">
        <f t="array" ref="N963">_xlfn.IFS(I963="Rob","Robusta",I963="Exc","Excelsa",I963="Ara","Arabica",I963="Lib","Liberica")</f>
        <v>Arabica</v>
      </c>
      <c r="O963" t="str" cm="1">
        <f t="array" ref="O963">_xlfn.IFS(J963="M","Medium",J963="L","Large",J963="D","Dark")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_xlfn.XLOOKUP(C964,customers!$A$1:$A$1001,customers!$B$1:$B$1001,,0)</f>
        <v>Morly Rocks</v>
      </c>
      <c r="G964" s="2" t="str">
        <f>IF(_xlfn.XLOOKUP(C964,customers!$A$1:$A$1001,customers!$C$1:$C$1001,,0)=0,"",_xlfn.XLOOKUP(C964,customers!$A$1:$A$1001,customers!$C$1:$C$1001,,0))</f>
        <v>mrocksqq@exblog.jp</v>
      </c>
      <c r="H964" s="2" t="str">
        <f>_xlfn.XLOOKUP(C964,customers!$A$1:$A$1001,customers!$G$1:$G$1001,,0)</f>
        <v>Ireland</v>
      </c>
      <c r="I964" t="str">
        <f>INDEX(products!$A$1:$G$49,MATCH(orders!$D964,products!$A$1:$A$49,0),MATCH(orders!I$1,products!$A$1:$G$1,0))</f>
        <v>Rob</v>
      </c>
      <c r="J964" t="str">
        <f>INDEX(products!$A$1:$G$49,MATCH(orders!$D964,products!$A$1:$A$49,0),MATCH(orders!J$1,products!$A$1:$G$1,0))</f>
        <v>D</v>
      </c>
      <c r="K964" s="7">
        <f>INDEX(products!$A$1:$G$49,MATCH(orders!$D964,products!$A$1:$A$49,0),MATCH(orders!K$1,products!$A$1:$G$1,0))</f>
        <v>1</v>
      </c>
      <c r="L964" s="4">
        <f>INDEX(products!$A$1:$G$49,MATCH(orders!$D964,products!$A$1:$A$49,0),MATCH(orders!L$1,products!$A$1:$G$1,0))</f>
        <v>8.9499999999999993</v>
      </c>
      <c r="M964" s="4">
        <f t="shared" si="15"/>
        <v>8.9499999999999993</v>
      </c>
      <c r="N964" t="str" cm="1">
        <f t="array" ref="N964">_xlfn.IFS(I964="Rob","Robusta",I964="Exc","Excelsa",I964="Ara","Arabica",I964="Lib","Liberica")</f>
        <v>Robusta</v>
      </c>
      <c r="O964" t="str" cm="1">
        <f t="array" ref="O964">_xlfn.IFS(J964="M","Medium",J964="L","Large",J964="D","Dark")</f>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_xlfn.XLOOKUP(C965,customers!$A$1:$A$1001,customers!$B$1:$B$1001,,0)</f>
        <v>Yuri Burrells</v>
      </c>
      <c r="G965" s="2" t="str">
        <f>IF(_xlfn.XLOOKUP(C965,customers!$A$1:$A$1001,customers!$C$1:$C$1001,,0)=0,"",_xlfn.XLOOKUP(C965,customers!$A$1:$A$1001,customers!$C$1:$C$1001,,0))</f>
        <v>yburrellsqr@vinaora.com</v>
      </c>
      <c r="H965" s="2" t="str">
        <f>_xlfn.XLOOKUP(C965,customers!$A$1:$A$1001,customers!$G$1:$G$1001,,0)</f>
        <v>United States</v>
      </c>
      <c r="I965" t="str">
        <f>INDEX(products!$A$1:$G$49,MATCH(orders!$D965,products!$A$1:$A$49,0),MATCH(orders!I$1,products!$A$1:$G$1,0))</f>
        <v>Rob</v>
      </c>
      <c r="J965" t="str">
        <f>INDEX(products!$A$1:$G$49,MATCH(orders!$D965,products!$A$1:$A$49,0),MATCH(orders!J$1,products!$A$1:$G$1,0))</f>
        <v>M</v>
      </c>
      <c r="K965" s="7">
        <f>INDEX(products!$A$1:$G$49,MATCH(orders!$D965,products!$A$1:$A$49,0),MATCH(orders!K$1,products!$A$1:$G$1,0))</f>
        <v>0.5</v>
      </c>
      <c r="L965" s="4">
        <f>INDEX(products!$A$1:$G$49,MATCH(orders!$D965,products!$A$1:$A$49,0),MATCH(orders!L$1,products!$A$1:$G$1,0))</f>
        <v>5.97</v>
      </c>
      <c r="M965" s="4">
        <f t="shared" si="15"/>
        <v>23.88</v>
      </c>
      <c r="N965" t="str" cm="1">
        <f t="array" ref="N965">_xlfn.IFS(I965="Rob","Robusta",I965="Exc","Excelsa",I965="Ara","Arabica",I965="Lib","Liberica")</f>
        <v>Robusta</v>
      </c>
      <c r="O965" t="str" cm="1">
        <f t="array" ref="O965">_xlfn.IFS(J965="M","Medium",J965="L","Large",J965="D","Dark")</f>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_xlfn.XLOOKUP(C966,customers!$A$1:$A$1001,customers!$B$1:$B$1001,,0)</f>
        <v>Cleopatra Goodrum</v>
      </c>
      <c r="G966" s="2" t="str">
        <f>IF(_xlfn.XLOOKUP(C966,customers!$A$1:$A$1001,customers!$C$1:$C$1001,,0)=0,"",_xlfn.XLOOKUP(C966,customers!$A$1:$A$1001,customers!$C$1:$C$1001,,0))</f>
        <v>cgoodrumqs@goodreads.com</v>
      </c>
      <c r="H966" s="2" t="str">
        <f>_xlfn.XLOOKUP(C966,customers!$A$1:$A$1001,customers!$G$1:$G$1001,,0)</f>
        <v>United States</v>
      </c>
      <c r="I966" t="str">
        <f>INDEX(products!$A$1:$G$49,MATCH(orders!$D966,products!$A$1:$A$49,0),MATCH(orders!I$1,products!$A$1:$G$1,0))</f>
        <v>Exc</v>
      </c>
      <c r="J966" t="str">
        <f>INDEX(products!$A$1:$G$49,MATCH(orders!$D966,products!$A$1:$A$49,0),MATCH(orders!J$1,products!$A$1:$G$1,0))</f>
        <v>L</v>
      </c>
      <c r="K966" s="7">
        <f>INDEX(products!$A$1:$G$49,MATCH(orders!$D966,products!$A$1:$A$49,0),MATCH(orders!K$1,products!$A$1:$G$1,0))</f>
        <v>0.2</v>
      </c>
      <c r="L966" s="4">
        <f>INDEX(products!$A$1:$G$49,MATCH(orders!$D966,products!$A$1:$A$49,0),MATCH(orders!L$1,products!$A$1:$G$1,0))</f>
        <v>4.4550000000000001</v>
      </c>
      <c r="M966" s="4">
        <f t="shared" si="15"/>
        <v>22.274999999999999</v>
      </c>
      <c r="N966" t="str" cm="1">
        <f t="array" ref="N966">_xlfn.IFS(I966="Rob","Robusta",I966="Exc","Excelsa",I966="Ara","Arabica",I966="Lib","Liberica")</f>
        <v>Excelsa</v>
      </c>
      <c r="O966" t="str" cm="1">
        <f t="array" ref="O966">_xlfn.IFS(J966="M","Medium",J966="L","Large",J966="D","Dark")</f>
        <v>Large</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_xlfn.XLOOKUP(C967,customers!$A$1:$A$1001,customers!$B$1:$B$1001,,0)</f>
        <v>Joey Jefferys</v>
      </c>
      <c r="G967" s="2" t="str">
        <f>IF(_xlfn.XLOOKUP(C967,customers!$A$1:$A$1001,customers!$C$1:$C$1001,,0)=0,"",_xlfn.XLOOKUP(C967,customers!$A$1:$A$1001,customers!$C$1:$C$1001,,0))</f>
        <v>jjefferysqt@blog.com</v>
      </c>
      <c r="H967" s="2" t="str">
        <f>_xlfn.XLOOKUP(C967,customers!$A$1:$A$1001,customers!$G$1:$G$1001,,0)</f>
        <v>United States</v>
      </c>
      <c r="I967" t="str">
        <f>INDEX(products!$A$1:$G$49,MATCH(orders!$D967,products!$A$1:$A$49,0),MATCH(orders!I$1,products!$A$1:$G$1,0))</f>
        <v>Rob</v>
      </c>
      <c r="J967" t="str">
        <f>INDEX(products!$A$1:$G$49,MATCH(orders!$D967,products!$A$1:$A$49,0),MATCH(orders!J$1,products!$A$1:$G$1,0))</f>
        <v>M</v>
      </c>
      <c r="K967" s="7">
        <f>INDEX(products!$A$1:$G$49,MATCH(orders!$D967,products!$A$1:$A$49,0),MATCH(orders!K$1,products!$A$1:$G$1,0))</f>
        <v>1</v>
      </c>
      <c r="L967" s="4">
        <f>INDEX(products!$A$1:$G$49,MATCH(orders!$D967,products!$A$1:$A$49,0),MATCH(orders!L$1,products!$A$1:$G$1,0))</f>
        <v>9.9499999999999993</v>
      </c>
      <c r="M967" s="4">
        <f t="shared" si="15"/>
        <v>29.849999999999998</v>
      </c>
      <c r="N967" t="str" cm="1">
        <f t="array" ref="N967">_xlfn.IFS(I967="Rob","Robusta",I967="Exc","Excelsa",I967="Ara","Arabica",I967="Lib","Liberica")</f>
        <v>Robusta</v>
      </c>
      <c r="O967" t="str" cm="1">
        <f t="array" ref="O967">_xlfn.IFS(J967="M","Medium",J967="L","Large",J967="D","Dark")</f>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_xlfn.XLOOKUP(C968,customers!$A$1:$A$1001,customers!$B$1:$B$1001,,0)</f>
        <v>Bearnard Wardell</v>
      </c>
      <c r="G968" s="2" t="str">
        <f>IF(_xlfn.XLOOKUP(C968,customers!$A$1:$A$1001,customers!$C$1:$C$1001,,0)=0,"",_xlfn.XLOOKUP(C968,customers!$A$1:$A$1001,customers!$C$1:$C$1001,,0))</f>
        <v>bwardellqu@adobe.com</v>
      </c>
      <c r="H968" s="2" t="str">
        <f>_xlfn.XLOOKUP(C968,customers!$A$1:$A$1001,customers!$G$1:$G$1001,,0)</f>
        <v>United States</v>
      </c>
      <c r="I968" t="str">
        <f>INDEX(products!$A$1:$G$49,MATCH(orders!$D968,products!$A$1:$A$49,0),MATCH(orders!I$1,products!$A$1:$G$1,0))</f>
        <v>Exc</v>
      </c>
      <c r="J968" t="str">
        <f>INDEX(products!$A$1:$G$49,MATCH(orders!$D968,products!$A$1:$A$49,0),MATCH(orders!J$1,products!$A$1:$G$1,0))</f>
        <v>L</v>
      </c>
      <c r="K968" s="7">
        <f>INDEX(products!$A$1:$G$49,MATCH(orders!$D968,products!$A$1:$A$49,0),MATCH(orders!K$1,products!$A$1:$G$1,0))</f>
        <v>0.5</v>
      </c>
      <c r="L968" s="4">
        <f>INDEX(products!$A$1:$G$49,MATCH(orders!$D968,products!$A$1:$A$49,0),MATCH(orders!L$1,products!$A$1:$G$1,0))</f>
        <v>8.91</v>
      </c>
      <c r="M968" s="4">
        <f t="shared" si="15"/>
        <v>53.46</v>
      </c>
      <c r="N968" t="str" cm="1">
        <f t="array" ref="N968">_xlfn.IFS(I968="Rob","Robusta",I968="Exc","Excelsa",I968="Ara","Arabica",I968="Lib","Liberica")</f>
        <v>Excelsa</v>
      </c>
      <c r="O968" t="str" cm="1">
        <f t="array" ref="O968">_xlfn.IFS(J968="M","Medium",J968="L","Large",J968="D","Dark")</f>
        <v>Large</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_xlfn.XLOOKUP(C969,customers!$A$1:$A$1001,customers!$B$1:$B$1001,,0)</f>
        <v>Zeke Walisiak</v>
      </c>
      <c r="G969" s="2" t="str">
        <f>IF(_xlfn.XLOOKUP(C969,customers!$A$1:$A$1001,customers!$C$1:$C$1001,,0)=0,"",_xlfn.XLOOKUP(C969,customers!$A$1:$A$1001,customers!$C$1:$C$1001,,0))</f>
        <v>zwalisiakqv@ucsd.edu</v>
      </c>
      <c r="H969" s="2" t="str">
        <f>_xlfn.XLOOKUP(C969,customers!$A$1:$A$1001,customers!$G$1:$G$1001,,0)</f>
        <v>Ireland</v>
      </c>
      <c r="I969" t="str">
        <f>INDEX(products!$A$1:$G$49,MATCH(orders!$D969,products!$A$1:$A$49,0),MATCH(orders!I$1,products!$A$1:$G$1,0))</f>
        <v>Rob</v>
      </c>
      <c r="J969" t="str">
        <f>INDEX(products!$A$1:$G$49,MATCH(orders!$D969,products!$A$1:$A$49,0),MATCH(orders!J$1,products!$A$1:$G$1,0))</f>
        <v>D</v>
      </c>
      <c r="K969" s="7">
        <f>INDEX(products!$A$1:$G$49,MATCH(orders!$D969,products!$A$1:$A$49,0),MATCH(orders!K$1,products!$A$1:$G$1,0))</f>
        <v>0.2</v>
      </c>
      <c r="L969" s="4">
        <f>INDEX(products!$A$1:$G$49,MATCH(orders!$D969,products!$A$1:$A$49,0),MATCH(orders!L$1,products!$A$1:$G$1,0))</f>
        <v>2.6849999999999996</v>
      </c>
      <c r="M969" s="4">
        <f t="shared" si="15"/>
        <v>2.6849999999999996</v>
      </c>
      <c r="N969" t="str" cm="1">
        <f t="array" ref="N969">_xlfn.IFS(I969="Rob","Robusta",I969="Exc","Excelsa",I969="Ara","Arabica",I969="Lib","Liberica")</f>
        <v>Robusta</v>
      </c>
      <c r="O969" t="str" cm="1">
        <f t="array" ref="O969">_xlfn.IFS(J969="M","Medium",J969="L","Large",J969="D","Dark")</f>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_xlfn.XLOOKUP(C970,customers!$A$1:$A$1001,customers!$B$1:$B$1001,,0)</f>
        <v>Wiley Leopold</v>
      </c>
      <c r="G970" s="2" t="str">
        <f>IF(_xlfn.XLOOKUP(C970,customers!$A$1:$A$1001,customers!$C$1:$C$1001,,0)=0,"",_xlfn.XLOOKUP(C970,customers!$A$1:$A$1001,customers!$C$1:$C$1001,,0))</f>
        <v>wleopoldqw@blogspot.com</v>
      </c>
      <c r="H970" s="2" t="str">
        <f>_xlfn.XLOOKUP(C970,customers!$A$1:$A$1001,customers!$G$1:$G$1001,,0)</f>
        <v>United States</v>
      </c>
      <c r="I970" t="str">
        <f>INDEX(products!$A$1:$G$49,MATCH(orders!$D970,products!$A$1:$A$49,0),MATCH(orders!I$1,products!$A$1:$G$1,0))</f>
        <v>Rob</v>
      </c>
      <c r="J970" t="str">
        <f>INDEX(products!$A$1:$G$49,MATCH(orders!$D970,products!$A$1:$A$49,0),MATCH(orders!J$1,products!$A$1:$G$1,0))</f>
        <v>M</v>
      </c>
      <c r="K970" s="7">
        <f>INDEX(products!$A$1:$G$49,MATCH(orders!$D970,products!$A$1:$A$49,0),MATCH(orders!K$1,products!$A$1:$G$1,0))</f>
        <v>0.2</v>
      </c>
      <c r="L970" s="4">
        <f>INDEX(products!$A$1:$G$49,MATCH(orders!$D970,products!$A$1:$A$49,0),MATCH(orders!L$1,products!$A$1:$G$1,0))</f>
        <v>2.9849999999999999</v>
      </c>
      <c r="M970" s="4">
        <f t="shared" si="15"/>
        <v>5.97</v>
      </c>
      <c r="N970" t="str" cm="1">
        <f t="array" ref="N970">_xlfn.IFS(I970="Rob","Robusta",I970="Exc","Excelsa",I970="Ara","Arabica",I970="Lib","Liberica")</f>
        <v>Robusta</v>
      </c>
      <c r="O970" t="str" cm="1">
        <f t="array" ref="O970">_xlfn.IFS(J970="M","Medium",J970="L","Large",J970="D","Dark")</f>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_xlfn.XLOOKUP(C971,customers!$A$1:$A$1001,customers!$B$1:$B$1001,,0)</f>
        <v>Chiarra Shalders</v>
      </c>
      <c r="G971" s="2" t="str">
        <f>IF(_xlfn.XLOOKUP(C971,customers!$A$1:$A$1001,customers!$C$1:$C$1001,,0)=0,"",_xlfn.XLOOKUP(C971,customers!$A$1:$A$1001,customers!$C$1:$C$1001,,0))</f>
        <v>cshaldersqx@cisco.com</v>
      </c>
      <c r="H971" s="2" t="str">
        <f>_xlfn.XLOOKUP(C971,customers!$A$1:$A$1001,customers!$G$1:$G$1001,,0)</f>
        <v>United States</v>
      </c>
      <c r="I971" t="str">
        <f>INDEX(products!$A$1:$G$49,MATCH(orders!$D971,products!$A$1:$A$49,0),MATCH(orders!I$1,products!$A$1:$G$1,0))</f>
        <v>Lib</v>
      </c>
      <c r="J971" t="str">
        <f>INDEX(products!$A$1:$G$49,MATCH(orders!$D971,products!$A$1:$A$49,0),MATCH(orders!J$1,products!$A$1:$G$1,0))</f>
        <v>D</v>
      </c>
      <c r="K971" s="7">
        <f>INDEX(products!$A$1:$G$49,MATCH(orders!$D971,products!$A$1:$A$49,0),MATCH(orders!K$1,products!$A$1:$G$1,0))</f>
        <v>1</v>
      </c>
      <c r="L971" s="4">
        <f>INDEX(products!$A$1:$G$49,MATCH(orders!$D971,products!$A$1:$A$49,0),MATCH(orders!L$1,products!$A$1:$G$1,0))</f>
        <v>12.95</v>
      </c>
      <c r="M971" s="4">
        <f t="shared" si="15"/>
        <v>12.95</v>
      </c>
      <c r="N971" t="str" cm="1">
        <f t="array" ref="N971">_xlfn.IFS(I971="Rob","Robusta",I971="Exc","Excelsa",I971="Ara","Arabica",I971="Lib","Liberica")</f>
        <v>Liberica</v>
      </c>
      <c r="O971" t="str" cm="1">
        <f t="array" ref="O971">_xlfn.IFS(J971="M","Medium",J971="L","Large",J971="D","Dark")</f>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_xlfn.XLOOKUP(C972,customers!$A$1:$A$1001,customers!$B$1:$B$1001,,0)</f>
        <v>Sharl Southerill</v>
      </c>
      <c r="G972" s="2" t="str">
        <f>IF(_xlfn.XLOOKUP(C972,customers!$A$1:$A$1001,customers!$C$1:$C$1001,,0)=0,"",_xlfn.XLOOKUP(C972,customers!$A$1:$A$1001,customers!$C$1:$C$1001,,0))</f>
        <v/>
      </c>
      <c r="H972" s="2" t="str">
        <f>_xlfn.XLOOKUP(C972,customers!$A$1:$A$1001,customers!$G$1:$G$1001,,0)</f>
        <v>United States</v>
      </c>
      <c r="I972" t="str">
        <f>INDEX(products!$A$1:$G$49,MATCH(orders!$D972,products!$A$1:$A$49,0),MATCH(orders!I$1,products!$A$1:$G$1,0))</f>
        <v>Exc</v>
      </c>
      <c r="J972" t="str">
        <f>INDEX(products!$A$1:$G$49,MATCH(orders!$D972,products!$A$1:$A$49,0),MATCH(orders!J$1,products!$A$1:$G$1,0))</f>
        <v>M</v>
      </c>
      <c r="K972" s="7">
        <f>INDEX(products!$A$1:$G$49,MATCH(orders!$D972,products!$A$1:$A$49,0),MATCH(orders!K$1,products!$A$1:$G$1,0))</f>
        <v>0.5</v>
      </c>
      <c r="L972" s="4">
        <f>INDEX(products!$A$1:$G$49,MATCH(orders!$D972,products!$A$1:$A$49,0),MATCH(orders!L$1,products!$A$1:$G$1,0))</f>
        <v>8.25</v>
      </c>
      <c r="M972" s="4">
        <f t="shared" si="15"/>
        <v>8.25</v>
      </c>
      <c r="N972" t="str" cm="1">
        <f t="array" ref="N972">_xlfn.IFS(I972="Rob","Robusta",I972="Exc","Excelsa",I972="Ara","Arabica",I972="Lib","Liberica")</f>
        <v>Excelsa</v>
      </c>
      <c r="O972" t="str" cm="1">
        <f t="array" ref="O972">_xlfn.IFS(J972="M","Medium",J972="L","Large",J972="D","Dark")</f>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_xlfn.XLOOKUP(C973,customers!$A$1:$A$1001,customers!$B$1:$B$1001,,0)</f>
        <v>Noni Furber</v>
      </c>
      <c r="G973" s="2" t="str">
        <f>IF(_xlfn.XLOOKUP(C973,customers!$A$1:$A$1001,customers!$C$1:$C$1001,,0)=0,"",_xlfn.XLOOKUP(C973,customers!$A$1:$A$1001,customers!$C$1:$C$1001,,0))</f>
        <v>nfurberqz@jugem.jp</v>
      </c>
      <c r="H973" s="2" t="str">
        <f>_xlfn.XLOOKUP(C973,customers!$A$1:$A$1001,customers!$G$1:$G$1001,,0)</f>
        <v>United States</v>
      </c>
      <c r="I973" t="str">
        <f>INDEX(products!$A$1:$G$49,MATCH(orders!$D973,products!$A$1:$A$49,0),MATCH(orders!I$1,products!$A$1:$G$1,0))</f>
        <v>Ara</v>
      </c>
      <c r="J973" t="str">
        <f>INDEX(products!$A$1:$G$49,MATCH(orders!$D973,products!$A$1:$A$49,0),MATCH(orders!J$1,products!$A$1:$G$1,0))</f>
        <v>L</v>
      </c>
      <c r="K973" s="7">
        <f>INDEX(products!$A$1:$G$49,MATCH(orders!$D973,products!$A$1:$A$49,0),MATCH(orders!K$1,products!$A$1:$G$1,0))</f>
        <v>2.5</v>
      </c>
      <c r="L973" s="4">
        <f>INDEX(products!$A$1:$G$49,MATCH(orders!$D973,products!$A$1:$A$49,0),MATCH(orders!L$1,products!$A$1:$G$1,0))</f>
        <v>29.784999999999997</v>
      </c>
      <c r="M973" s="4">
        <f t="shared" si="15"/>
        <v>148.92499999999998</v>
      </c>
      <c r="N973" t="str" cm="1">
        <f t="array" ref="N973">_xlfn.IFS(I973="Rob","Robusta",I973="Exc","Excelsa",I973="Ara","Arabica",I973="Lib","Liberica")</f>
        <v>Arabica</v>
      </c>
      <c r="O973" t="str" cm="1">
        <f t="array" ref="O973">_xlfn.IFS(J973="M","Medium",J973="L","Large",J973="D","Dark")</f>
        <v>Large</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_xlfn.XLOOKUP(C974,customers!$A$1:$A$1001,customers!$B$1:$B$1001,,0)</f>
        <v>Dinah Crutcher</v>
      </c>
      <c r="G974" s="2" t="str">
        <f>IF(_xlfn.XLOOKUP(C974,customers!$A$1:$A$1001,customers!$C$1:$C$1001,,0)=0,"",_xlfn.XLOOKUP(C974,customers!$A$1:$A$1001,customers!$C$1:$C$1001,,0))</f>
        <v/>
      </c>
      <c r="H974" s="2" t="str">
        <f>_xlfn.XLOOKUP(C974,customers!$A$1:$A$1001,customers!$G$1:$G$1001,,0)</f>
        <v>Ireland</v>
      </c>
      <c r="I974" t="str">
        <f>INDEX(products!$A$1:$G$49,MATCH(orders!$D974,products!$A$1:$A$49,0),MATCH(orders!I$1,products!$A$1:$G$1,0))</f>
        <v>Ara</v>
      </c>
      <c r="J974" t="str">
        <f>INDEX(products!$A$1:$G$49,MATCH(orders!$D974,products!$A$1:$A$49,0),MATCH(orders!J$1,products!$A$1:$G$1,0))</f>
        <v>L</v>
      </c>
      <c r="K974" s="7">
        <f>INDEX(products!$A$1:$G$49,MATCH(orders!$D974,products!$A$1:$A$49,0),MATCH(orders!K$1,products!$A$1:$G$1,0))</f>
        <v>2.5</v>
      </c>
      <c r="L974" s="4">
        <f>INDEX(products!$A$1:$G$49,MATCH(orders!$D974,products!$A$1:$A$49,0),MATCH(orders!L$1,products!$A$1:$G$1,0))</f>
        <v>29.784999999999997</v>
      </c>
      <c r="M974" s="4">
        <f t="shared" si="15"/>
        <v>89.35499999999999</v>
      </c>
      <c r="N974" t="str" cm="1">
        <f t="array" ref="N974">_xlfn.IFS(I974="Rob","Robusta",I974="Exc","Excelsa",I974="Ara","Arabica",I974="Lib","Liberica")</f>
        <v>Arabica</v>
      </c>
      <c r="O974" t="str" cm="1">
        <f t="array" ref="O974">_xlfn.IFS(J974="M","Medium",J974="L","Large",J974="D","Dark")</f>
        <v>Large</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_xlfn.XLOOKUP(C975,customers!$A$1:$A$1001,customers!$B$1:$B$1001,,0)</f>
        <v>Charlean Keave</v>
      </c>
      <c r="G975" s="2" t="str">
        <f>IF(_xlfn.XLOOKUP(C975,customers!$A$1:$A$1001,customers!$C$1:$C$1001,,0)=0,"",_xlfn.XLOOKUP(C975,customers!$A$1:$A$1001,customers!$C$1:$C$1001,,0))</f>
        <v>ckeaver1@ucoz.com</v>
      </c>
      <c r="H975" s="2" t="str">
        <f>_xlfn.XLOOKUP(C975,customers!$A$1:$A$1001,customers!$G$1:$G$1001,,0)</f>
        <v>United States</v>
      </c>
      <c r="I975" t="str">
        <f>INDEX(products!$A$1:$G$49,MATCH(orders!$D975,products!$A$1:$A$49,0),MATCH(orders!I$1,products!$A$1:$G$1,0))</f>
        <v>Lib</v>
      </c>
      <c r="J975" t="str">
        <f>INDEX(products!$A$1:$G$49,MATCH(orders!$D975,products!$A$1:$A$49,0),MATCH(orders!J$1,products!$A$1:$G$1,0))</f>
        <v>M</v>
      </c>
      <c r="K975" s="7">
        <f>INDEX(products!$A$1:$G$49,MATCH(orders!$D975,products!$A$1:$A$49,0),MATCH(orders!K$1,products!$A$1:$G$1,0))</f>
        <v>1</v>
      </c>
      <c r="L975" s="4">
        <f>INDEX(products!$A$1:$G$49,MATCH(orders!$D975,products!$A$1:$A$49,0),MATCH(orders!L$1,products!$A$1:$G$1,0))</f>
        <v>14.55</v>
      </c>
      <c r="M975" s="4">
        <f t="shared" si="15"/>
        <v>87.300000000000011</v>
      </c>
      <c r="N975" t="str" cm="1">
        <f t="array" ref="N975">_xlfn.IFS(I975="Rob","Robusta",I975="Exc","Excelsa",I975="Ara","Arabica",I975="Lib","Liberica")</f>
        <v>Liberica</v>
      </c>
      <c r="O975" t="str" cm="1">
        <f t="array" ref="O975">_xlfn.IFS(J975="M","Medium",J975="L","Large",J975="D","Dark")</f>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_xlfn.XLOOKUP(C976,customers!$A$1:$A$1001,customers!$B$1:$B$1001,,0)</f>
        <v>Sada Roseborough</v>
      </c>
      <c r="G976" s="2" t="str">
        <f>IF(_xlfn.XLOOKUP(C976,customers!$A$1:$A$1001,customers!$C$1:$C$1001,,0)=0,"",_xlfn.XLOOKUP(C976,customers!$A$1:$A$1001,customers!$C$1:$C$1001,,0))</f>
        <v>sroseboroughr2@virginia.edu</v>
      </c>
      <c r="H976" s="2" t="str">
        <f>_xlfn.XLOOKUP(C976,customers!$A$1:$A$1001,customers!$G$1:$G$1001,,0)</f>
        <v>United States</v>
      </c>
      <c r="I976" t="str">
        <f>INDEX(products!$A$1:$G$49,MATCH(orders!$D976,products!$A$1:$A$49,0),MATCH(orders!I$1,products!$A$1:$G$1,0))</f>
        <v>Rob</v>
      </c>
      <c r="J976" t="str">
        <f>INDEX(products!$A$1:$G$49,MATCH(orders!$D976,products!$A$1:$A$49,0),MATCH(orders!J$1,products!$A$1:$G$1,0))</f>
        <v>D</v>
      </c>
      <c r="K976" s="7">
        <f>INDEX(products!$A$1:$G$49,MATCH(orders!$D976,products!$A$1:$A$49,0),MATCH(orders!K$1,products!$A$1:$G$1,0))</f>
        <v>0.5</v>
      </c>
      <c r="L976" s="4">
        <f>INDEX(products!$A$1:$G$49,MATCH(orders!$D976,products!$A$1:$A$49,0),MATCH(orders!L$1,products!$A$1:$G$1,0))</f>
        <v>5.3699999999999992</v>
      </c>
      <c r="M976" s="4">
        <f t="shared" si="15"/>
        <v>5.3699999999999992</v>
      </c>
      <c r="N976" t="str" cm="1">
        <f t="array" ref="N976">_xlfn.IFS(I976="Rob","Robusta",I976="Exc","Excelsa",I976="Ara","Arabica",I976="Lib","Liberica")</f>
        <v>Robusta</v>
      </c>
      <c r="O976" t="str" cm="1">
        <f t="array" ref="O976">_xlfn.IFS(J976="M","Medium",J976="L","Large",J976="D","Dark")</f>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_xlfn.XLOOKUP(C977,customers!$A$1:$A$1001,customers!$B$1:$B$1001,,0)</f>
        <v>Clayton Kingwell</v>
      </c>
      <c r="G977" s="2" t="str">
        <f>IF(_xlfn.XLOOKUP(C977,customers!$A$1:$A$1001,customers!$C$1:$C$1001,,0)=0,"",_xlfn.XLOOKUP(C977,customers!$A$1:$A$1001,customers!$C$1:$C$1001,,0))</f>
        <v>ckingwellr3@squarespace.com</v>
      </c>
      <c r="H977" s="2" t="str">
        <f>_xlfn.XLOOKUP(C977,customers!$A$1:$A$1001,customers!$G$1:$G$1001,,0)</f>
        <v>Ireland</v>
      </c>
      <c r="I977" t="str">
        <f>INDEX(products!$A$1:$G$49,MATCH(orders!$D977,products!$A$1:$A$49,0),MATCH(orders!I$1,products!$A$1:$G$1,0))</f>
        <v>Ara</v>
      </c>
      <c r="J977" t="str">
        <f>INDEX(products!$A$1:$G$49,MATCH(orders!$D977,products!$A$1:$A$49,0),MATCH(orders!J$1,products!$A$1:$G$1,0))</f>
        <v>D</v>
      </c>
      <c r="K977" s="7">
        <f>INDEX(products!$A$1:$G$49,MATCH(orders!$D977,products!$A$1:$A$49,0),MATCH(orders!K$1,products!$A$1:$G$1,0))</f>
        <v>0.2</v>
      </c>
      <c r="L977" s="4">
        <f>INDEX(products!$A$1:$G$49,MATCH(orders!$D977,products!$A$1:$A$49,0),MATCH(orders!L$1,products!$A$1:$G$1,0))</f>
        <v>2.9849999999999999</v>
      </c>
      <c r="M977" s="4">
        <f t="shared" si="15"/>
        <v>8.9550000000000001</v>
      </c>
      <c r="N977" t="str" cm="1">
        <f t="array" ref="N977">_xlfn.IFS(I977="Rob","Robusta",I977="Exc","Excelsa",I977="Ara","Arabica",I977="Lib","Liberica")</f>
        <v>Arabica</v>
      </c>
      <c r="O977" t="str" cm="1">
        <f t="array" ref="O977">_xlfn.IFS(J977="M","Medium",J977="L","Large",J977="D","Dark")</f>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_xlfn.XLOOKUP(C978,customers!$A$1:$A$1001,customers!$B$1:$B$1001,,0)</f>
        <v>Kacy Canto</v>
      </c>
      <c r="G978" s="2" t="str">
        <f>IF(_xlfn.XLOOKUP(C978,customers!$A$1:$A$1001,customers!$C$1:$C$1001,,0)=0,"",_xlfn.XLOOKUP(C978,customers!$A$1:$A$1001,customers!$C$1:$C$1001,,0))</f>
        <v>kcantor4@gmpg.org</v>
      </c>
      <c r="H978" s="2" t="str">
        <f>_xlfn.XLOOKUP(C978,customers!$A$1:$A$1001,customers!$G$1:$G$1001,,0)</f>
        <v>United States</v>
      </c>
      <c r="I978" t="str">
        <f>INDEX(products!$A$1:$G$49,MATCH(orders!$D978,products!$A$1:$A$49,0),MATCH(orders!I$1,products!$A$1:$G$1,0))</f>
        <v>Rob</v>
      </c>
      <c r="J978" t="str">
        <f>INDEX(products!$A$1:$G$49,MATCH(orders!$D978,products!$A$1:$A$49,0),MATCH(orders!J$1,products!$A$1:$G$1,0))</f>
        <v>L</v>
      </c>
      <c r="K978" s="7">
        <f>INDEX(products!$A$1:$G$49,MATCH(orders!$D978,products!$A$1:$A$49,0),MATCH(orders!K$1,products!$A$1:$G$1,0))</f>
        <v>2.5</v>
      </c>
      <c r="L978" s="4">
        <f>INDEX(products!$A$1:$G$49,MATCH(orders!$D978,products!$A$1:$A$49,0),MATCH(orders!L$1,products!$A$1:$G$1,0))</f>
        <v>27.484999999999996</v>
      </c>
      <c r="M978" s="4">
        <f t="shared" si="15"/>
        <v>137.42499999999998</v>
      </c>
      <c r="N978" t="str" cm="1">
        <f t="array" ref="N978">_xlfn.IFS(I978="Rob","Robusta",I978="Exc","Excelsa",I978="Ara","Arabica",I978="Lib","Liberica")</f>
        <v>Robusta</v>
      </c>
      <c r="O978" t="str" cm="1">
        <f t="array" ref="O978">_xlfn.IFS(J978="M","Medium",J978="L","Large",J978="D","Dark")</f>
        <v>Large</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_xlfn.XLOOKUP(C979,customers!$A$1:$A$1001,customers!$B$1:$B$1001,,0)</f>
        <v>Mab Blakemore</v>
      </c>
      <c r="G979" s="2" t="str">
        <f>IF(_xlfn.XLOOKUP(C979,customers!$A$1:$A$1001,customers!$C$1:$C$1001,,0)=0,"",_xlfn.XLOOKUP(C979,customers!$A$1:$A$1001,customers!$C$1:$C$1001,,0))</f>
        <v>mblakemorer5@nsw.gov.au</v>
      </c>
      <c r="H979" s="2" t="str">
        <f>_xlfn.XLOOKUP(C979,customers!$A$1:$A$1001,customers!$G$1:$G$1001,,0)</f>
        <v>United States</v>
      </c>
      <c r="I979" t="str">
        <f>INDEX(products!$A$1:$G$49,MATCH(orders!$D979,products!$A$1:$A$49,0),MATCH(orders!I$1,products!$A$1:$G$1,0))</f>
        <v>Rob</v>
      </c>
      <c r="J979" t="str">
        <f>INDEX(products!$A$1:$G$49,MATCH(orders!$D979,products!$A$1:$A$49,0),MATCH(orders!J$1,products!$A$1:$G$1,0))</f>
        <v>L</v>
      </c>
      <c r="K979" s="7">
        <f>INDEX(products!$A$1:$G$49,MATCH(orders!$D979,products!$A$1:$A$49,0),MATCH(orders!K$1,products!$A$1:$G$1,0))</f>
        <v>1</v>
      </c>
      <c r="L979" s="4">
        <f>INDEX(products!$A$1:$G$49,MATCH(orders!$D979,products!$A$1:$A$49,0),MATCH(orders!L$1,products!$A$1:$G$1,0))</f>
        <v>11.95</v>
      </c>
      <c r="M979" s="4">
        <f t="shared" si="15"/>
        <v>59.75</v>
      </c>
      <c r="N979" t="str" cm="1">
        <f t="array" ref="N979">_xlfn.IFS(I979="Rob","Robusta",I979="Exc","Excelsa",I979="Ara","Arabica",I979="Lib","Liberica")</f>
        <v>Robusta</v>
      </c>
      <c r="O979" t="str" cm="1">
        <f t="array" ref="O979">_xlfn.IFS(J979="M","Medium",J979="L","Large",J979="D","Dark")</f>
        <v>Large</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_xlfn.XLOOKUP(C980,customers!$A$1:$A$1001,customers!$B$1:$B$1001,,0)</f>
        <v>Charlean Keave</v>
      </c>
      <c r="G980" s="2" t="str">
        <f>IF(_xlfn.XLOOKUP(C980,customers!$A$1:$A$1001,customers!$C$1:$C$1001,,0)=0,"",_xlfn.XLOOKUP(C980,customers!$A$1:$A$1001,customers!$C$1:$C$1001,,0))</f>
        <v>ckeaver1@ucoz.com</v>
      </c>
      <c r="H980" s="2" t="str">
        <f>_xlfn.XLOOKUP(C980,customers!$A$1:$A$1001,customers!$G$1:$G$1001,,0)</f>
        <v>United States</v>
      </c>
      <c r="I980" t="str">
        <f>INDEX(products!$A$1:$G$49,MATCH(orders!$D980,products!$A$1:$A$49,0),MATCH(orders!I$1,products!$A$1:$G$1,0))</f>
        <v>Ara</v>
      </c>
      <c r="J980" t="str">
        <f>INDEX(products!$A$1:$G$49,MATCH(orders!$D980,products!$A$1:$A$49,0),MATCH(orders!J$1,products!$A$1:$G$1,0))</f>
        <v>L</v>
      </c>
      <c r="K980" s="7">
        <f>INDEX(products!$A$1:$G$49,MATCH(orders!$D980,products!$A$1:$A$49,0),MATCH(orders!K$1,products!$A$1:$G$1,0))</f>
        <v>0.5</v>
      </c>
      <c r="L980" s="4">
        <f>INDEX(products!$A$1:$G$49,MATCH(orders!$D980,products!$A$1:$A$49,0),MATCH(orders!L$1,products!$A$1:$G$1,0))</f>
        <v>7.77</v>
      </c>
      <c r="M980" s="4">
        <f t="shared" si="15"/>
        <v>23.31</v>
      </c>
      <c r="N980" t="str" cm="1">
        <f t="array" ref="N980">_xlfn.IFS(I980="Rob","Robusta",I980="Exc","Excelsa",I980="Ara","Arabica",I980="Lib","Liberica")</f>
        <v>Arabica</v>
      </c>
      <c r="O980" t="str" cm="1">
        <f t="array" ref="O980">_xlfn.IFS(J980="M","Medium",J980="L","Large",J980="D","Dark")</f>
        <v>Large</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_xlfn.XLOOKUP(C981,customers!$A$1:$A$1001,customers!$B$1:$B$1001,,0)</f>
        <v>Javier Causnett</v>
      </c>
      <c r="G981" s="2" t="str">
        <f>IF(_xlfn.XLOOKUP(C981,customers!$A$1:$A$1001,customers!$C$1:$C$1001,,0)=0,"",_xlfn.XLOOKUP(C981,customers!$A$1:$A$1001,customers!$C$1:$C$1001,,0))</f>
        <v/>
      </c>
      <c r="H981" s="2" t="str">
        <f>_xlfn.XLOOKUP(C981,customers!$A$1:$A$1001,customers!$G$1:$G$1001,,0)</f>
        <v>United States</v>
      </c>
      <c r="I981" t="str">
        <f>INDEX(products!$A$1:$G$49,MATCH(orders!$D981,products!$A$1:$A$49,0),MATCH(orders!I$1,products!$A$1:$G$1,0))</f>
        <v>Rob</v>
      </c>
      <c r="J981" t="str">
        <f>INDEX(products!$A$1:$G$49,MATCH(orders!$D981,products!$A$1:$A$49,0),MATCH(orders!J$1,products!$A$1:$G$1,0))</f>
        <v>D</v>
      </c>
      <c r="K981" s="7">
        <f>INDEX(products!$A$1:$G$49,MATCH(orders!$D981,products!$A$1:$A$49,0),MATCH(orders!K$1,products!$A$1:$G$1,0))</f>
        <v>0.5</v>
      </c>
      <c r="L981" s="4">
        <f>INDEX(products!$A$1:$G$49,MATCH(orders!$D981,products!$A$1:$A$49,0),MATCH(orders!L$1,products!$A$1:$G$1,0))</f>
        <v>5.3699999999999992</v>
      </c>
      <c r="M981" s="4">
        <f t="shared" si="15"/>
        <v>10.739999999999998</v>
      </c>
      <c r="N981" t="str" cm="1">
        <f t="array" ref="N981">_xlfn.IFS(I981="Rob","Robusta",I981="Exc","Excelsa",I981="Ara","Arabica",I981="Lib","Liberica")</f>
        <v>Robusta</v>
      </c>
      <c r="O981" t="str" cm="1">
        <f t="array" ref="O981">_xlfn.IFS(J981="M","Medium",J981="L","Large",J981="D","Dark")</f>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_xlfn.XLOOKUP(C982,customers!$A$1:$A$1001,customers!$B$1:$B$1001,,0)</f>
        <v>Demetris Micheli</v>
      </c>
      <c r="G982" s="2" t="str">
        <f>IF(_xlfn.XLOOKUP(C982,customers!$A$1:$A$1001,customers!$C$1:$C$1001,,0)=0,"",_xlfn.XLOOKUP(C982,customers!$A$1:$A$1001,customers!$C$1:$C$1001,,0))</f>
        <v/>
      </c>
      <c r="H982" s="2" t="str">
        <f>_xlfn.XLOOKUP(C982,customers!$A$1:$A$1001,customers!$G$1:$G$1001,,0)</f>
        <v>United States</v>
      </c>
      <c r="I982" t="str">
        <f>INDEX(products!$A$1:$G$49,MATCH(orders!$D982,products!$A$1:$A$49,0),MATCH(orders!I$1,products!$A$1:$G$1,0))</f>
        <v>Exc</v>
      </c>
      <c r="J982" t="str">
        <f>INDEX(products!$A$1:$G$49,MATCH(orders!$D982,products!$A$1:$A$49,0),MATCH(orders!J$1,products!$A$1:$G$1,0))</f>
        <v>D</v>
      </c>
      <c r="K982" s="7">
        <f>INDEX(products!$A$1:$G$49,MATCH(orders!$D982,products!$A$1:$A$49,0),MATCH(orders!K$1,products!$A$1:$G$1,0))</f>
        <v>2.5</v>
      </c>
      <c r="L982" s="4">
        <f>INDEX(products!$A$1:$G$49,MATCH(orders!$D982,products!$A$1:$A$49,0),MATCH(orders!L$1,products!$A$1:$G$1,0))</f>
        <v>27.945</v>
      </c>
      <c r="M982" s="4">
        <f t="shared" si="15"/>
        <v>167.67000000000002</v>
      </c>
      <c r="N982" t="str" cm="1">
        <f t="array" ref="N982">_xlfn.IFS(I982="Rob","Robusta",I982="Exc","Excelsa",I982="Ara","Arabica",I982="Lib","Liberica")</f>
        <v>Excelsa</v>
      </c>
      <c r="O982" t="str" cm="1">
        <f t="array" ref="O982">_xlfn.IFS(J982="M","Medium",J982="L","Large",J982="D","Dark")</f>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_xlfn.XLOOKUP(C983,customers!$A$1:$A$1001,customers!$B$1:$B$1001,,0)</f>
        <v>Chloette Bernardot</v>
      </c>
      <c r="G983" s="2" t="str">
        <f>IF(_xlfn.XLOOKUP(C983,customers!$A$1:$A$1001,customers!$C$1:$C$1001,,0)=0,"",_xlfn.XLOOKUP(C983,customers!$A$1:$A$1001,customers!$C$1:$C$1001,,0))</f>
        <v>cbernardotr9@wix.com</v>
      </c>
      <c r="H983" s="2" t="str">
        <f>_xlfn.XLOOKUP(C983,customers!$A$1:$A$1001,customers!$G$1:$G$1001,,0)</f>
        <v>United States</v>
      </c>
      <c r="I983" t="str">
        <f>INDEX(products!$A$1:$G$49,MATCH(orders!$D983,products!$A$1:$A$49,0),MATCH(orders!I$1,products!$A$1:$G$1,0))</f>
        <v>Exc</v>
      </c>
      <c r="J983" t="str">
        <f>INDEX(products!$A$1:$G$49,MATCH(orders!$D983,products!$A$1:$A$49,0),MATCH(orders!J$1,products!$A$1:$G$1,0))</f>
        <v>D</v>
      </c>
      <c r="K983" s="7">
        <f>INDEX(products!$A$1:$G$49,MATCH(orders!$D983,products!$A$1:$A$49,0),MATCH(orders!K$1,products!$A$1:$G$1,0))</f>
        <v>0.2</v>
      </c>
      <c r="L983" s="4">
        <f>INDEX(products!$A$1:$G$49,MATCH(orders!$D983,products!$A$1:$A$49,0),MATCH(orders!L$1,products!$A$1:$G$1,0))</f>
        <v>3.645</v>
      </c>
      <c r="M983" s="4">
        <f t="shared" si="15"/>
        <v>21.87</v>
      </c>
      <c r="N983" t="str" cm="1">
        <f t="array" ref="N983">_xlfn.IFS(I983="Rob","Robusta",I983="Exc","Excelsa",I983="Ara","Arabica",I983="Lib","Liberica")</f>
        <v>Excelsa</v>
      </c>
      <c r="O983" t="str" cm="1">
        <f t="array" ref="O983">_xlfn.IFS(J983="M","Medium",J983="L","Large",J983="D","Dark")</f>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_xlfn.XLOOKUP(C984,customers!$A$1:$A$1001,customers!$B$1:$B$1001,,0)</f>
        <v>Kim Kemery</v>
      </c>
      <c r="G984" s="2" t="str">
        <f>IF(_xlfn.XLOOKUP(C984,customers!$A$1:$A$1001,customers!$C$1:$C$1001,,0)=0,"",_xlfn.XLOOKUP(C984,customers!$A$1:$A$1001,customers!$C$1:$C$1001,,0))</f>
        <v>kkemeryra@t.co</v>
      </c>
      <c r="H984" s="2" t="str">
        <f>_xlfn.XLOOKUP(C984,customers!$A$1:$A$1001,customers!$G$1:$G$1001,,0)</f>
        <v>United States</v>
      </c>
      <c r="I984" t="str">
        <f>INDEX(products!$A$1:$G$49,MATCH(orders!$D984,products!$A$1:$A$49,0),MATCH(orders!I$1,products!$A$1:$G$1,0))</f>
        <v>Rob</v>
      </c>
      <c r="J984" t="str">
        <f>INDEX(products!$A$1:$G$49,MATCH(orders!$D984,products!$A$1:$A$49,0),MATCH(orders!J$1,products!$A$1:$G$1,0))</f>
        <v>L</v>
      </c>
      <c r="K984" s="7">
        <f>INDEX(products!$A$1:$G$49,MATCH(orders!$D984,products!$A$1:$A$49,0),MATCH(orders!K$1,products!$A$1:$G$1,0))</f>
        <v>1</v>
      </c>
      <c r="L984" s="4">
        <f>INDEX(products!$A$1:$G$49,MATCH(orders!$D984,products!$A$1:$A$49,0),MATCH(orders!L$1,products!$A$1:$G$1,0))</f>
        <v>11.95</v>
      </c>
      <c r="M984" s="4">
        <f t="shared" si="15"/>
        <v>23.9</v>
      </c>
      <c r="N984" t="str" cm="1">
        <f t="array" ref="N984">_xlfn.IFS(I984="Rob","Robusta",I984="Exc","Excelsa",I984="Ara","Arabica",I984="Lib","Liberica")</f>
        <v>Robusta</v>
      </c>
      <c r="O984" t="str" cm="1">
        <f t="array" ref="O984">_xlfn.IFS(J984="M","Medium",J984="L","Large",J984="D","Dark")</f>
        <v>Large</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_xlfn.XLOOKUP(C985,customers!$A$1:$A$1001,customers!$B$1:$B$1001,,0)</f>
        <v>Fanchette Parlot</v>
      </c>
      <c r="G985" s="2" t="str">
        <f>IF(_xlfn.XLOOKUP(C985,customers!$A$1:$A$1001,customers!$C$1:$C$1001,,0)=0,"",_xlfn.XLOOKUP(C985,customers!$A$1:$A$1001,customers!$C$1:$C$1001,,0))</f>
        <v>fparlotrb@forbes.com</v>
      </c>
      <c r="H985" s="2" t="str">
        <f>_xlfn.XLOOKUP(C985,customers!$A$1:$A$1001,customers!$G$1:$G$1001,,0)</f>
        <v>United States</v>
      </c>
      <c r="I985" t="str">
        <f>INDEX(products!$A$1:$G$49,MATCH(orders!$D985,products!$A$1:$A$49,0),MATCH(orders!I$1,products!$A$1:$G$1,0))</f>
        <v>Ara</v>
      </c>
      <c r="J985" t="str">
        <f>INDEX(products!$A$1:$G$49,MATCH(orders!$D985,products!$A$1:$A$49,0),MATCH(orders!J$1,products!$A$1:$G$1,0))</f>
        <v>M</v>
      </c>
      <c r="K985" s="7">
        <f>INDEX(products!$A$1:$G$49,MATCH(orders!$D985,products!$A$1:$A$49,0),MATCH(orders!K$1,products!$A$1:$G$1,0))</f>
        <v>0.2</v>
      </c>
      <c r="L985" s="4">
        <f>INDEX(products!$A$1:$G$49,MATCH(orders!$D985,products!$A$1:$A$49,0),MATCH(orders!L$1,products!$A$1:$G$1,0))</f>
        <v>3.375</v>
      </c>
      <c r="M985" s="4">
        <f t="shared" si="15"/>
        <v>6.75</v>
      </c>
      <c r="N985" t="str" cm="1">
        <f t="array" ref="N985">_xlfn.IFS(I985="Rob","Robusta",I985="Exc","Excelsa",I985="Ara","Arabica",I985="Lib","Liberica")</f>
        <v>Arabica</v>
      </c>
      <c r="O985" t="str" cm="1">
        <f t="array" ref="O985">_xlfn.IFS(J985="M","Medium",J985="L","Large",J985="D","Dark")</f>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_xlfn.XLOOKUP(C986,customers!$A$1:$A$1001,customers!$B$1:$B$1001,,0)</f>
        <v>Ramon Cheak</v>
      </c>
      <c r="G986" s="2" t="str">
        <f>IF(_xlfn.XLOOKUP(C986,customers!$A$1:$A$1001,customers!$C$1:$C$1001,,0)=0,"",_xlfn.XLOOKUP(C986,customers!$A$1:$A$1001,customers!$C$1:$C$1001,,0))</f>
        <v>rcheakrc@tripadvisor.com</v>
      </c>
      <c r="H986" s="2" t="str">
        <f>_xlfn.XLOOKUP(C986,customers!$A$1:$A$1001,customers!$G$1:$G$1001,,0)</f>
        <v>Ireland</v>
      </c>
      <c r="I986" t="str">
        <f>INDEX(products!$A$1:$G$49,MATCH(orders!$D986,products!$A$1:$A$49,0),MATCH(orders!I$1,products!$A$1:$G$1,0))</f>
        <v>Exc</v>
      </c>
      <c r="J986" t="str">
        <f>INDEX(products!$A$1:$G$49,MATCH(orders!$D986,products!$A$1:$A$49,0),MATCH(orders!J$1,products!$A$1:$G$1,0))</f>
        <v>M</v>
      </c>
      <c r="K986" s="7">
        <f>INDEX(products!$A$1:$G$49,MATCH(orders!$D986,products!$A$1:$A$49,0),MATCH(orders!K$1,products!$A$1:$G$1,0))</f>
        <v>2.5</v>
      </c>
      <c r="L986" s="4">
        <f>INDEX(products!$A$1:$G$49,MATCH(orders!$D986,products!$A$1:$A$49,0),MATCH(orders!L$1,products!$A$1:$G$1,0))</f>
        <v>31.624999999999996</v>
      </c>
      <c r="M986" s="4">
        <f t="shared" si="15"/>
        <v>31.624999999999996</v>
      </c>
      <c r="N986" t="str" cm="1">
        <f t="array" ref="N986">_xlfn.IFS(I986="Rob","Robusta",I986="Exc","Excelsa",I986="Ara","Arabica",I986="Lib","Liberica")</f>
        <v>Excelsa</v>
      </c>
      <c r="O986" t="str" cm="1">
        <f t="array" ref="O986">_xlfn.IFS(J986="M","Medium",J986="L","Large",J986="D","Dark")</f>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_xlfn.XLOOKUP(C987,customers!$A$1:$A$1001,customers!$B$1:$B$1001,,0)</f>
        <v>Koressa O'Geneay</v>
      </c>
      <c r="G987" s="2" t="str">
        <f>IF(_xlfn.XLOOKUP(C987,customers!$A$1:$A$1001,customers!$C$1:$C$1001,,0)=0,"",_xlfn.XLOOKUP(C987,customers!$A$1:$A$1001,customers!$C$1:$C$1001,,0))</f>
        <v>kogeneayrd@utexas.edu</v>
      </c>
      <c r="H987" s="2" t="str">
        <f>_xlfn.XLOOKUP(C987,customers!$A$1:$A$1001,customers!$G$1:$G$1001,,0)</f>
        <v>United States</v>
      </c>
      <c r="I987" t="str">
        <f>INDEX(products!$A$1:$G$49,MATCH(orders!$D987,products!$A$1:$A$49,0),MATCH(orders!I$1,products!$A$1:$G$1,0))</f>
        <v>Rob</v>
      </c>
      <c r="J987" t="str">
        <f>INDEX(products!$A$1:$G$49,MATCH(orders!$D987,products!$A$1:$A$49,0),MATCH(orders!J$1,products!$A$1:$G$1,0))</f>
        <v>L</v>
      </c>
      <c r="K987" s="7">
        <f>INDEX(products!$A$1:$G$49,MATCH(orders!$D987,products!$A$1:$A$49,0),MATCH(orders!K$1,products!$A$1:$G$1,0))</f>
        <v>1</v>
      </c>
      <c r="L987" s="4">
        <f>INDEX(products!$A$1:$G$49,MATCH(orders!$D987,products!$A$1:$A$49,0),MATCH(orders!L$1,products!$A$1:$G$1,0))</f>
        <v>11.95</v>
      </c>
      <c r="M987" s="4">
        <f t="shared" si="15"/>
        <v>47.8</v>
      </c>
      <c r="N987" t="str" cm="1">
        <f t="array" ref="N987">_xlfn.IFS(I987="Rob","Robusta",I987="Exc","Excelsa",I987="Ara","Arabica",I987="Lib","Liberica")</f>
        <v>Robusta</v>
      </c>
      <c r="O987" t="str" cm="1">
        <f t="array" ref="O987">_xlfn.IFS(J987="M","Medium",J987="L","Large",J987="D","Dark")</f>
        <v>Large</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_xlfn.XLOOKUP(C988,customers!$A$1:$A$1001,customers!$B$1:$B$1001,,0)</f>
        <v>Claudell Ayre</v>
      </c>
      <c r="G988" s="2" t="str">
        <f>IF(_xlfn.XLOOKUP(C988,customers!$A$1:$A$1001,customers!$C$1:$C$1001,,0)=0,"",_xlfn.XLOOKUP(C988,customers!$A$1:$A$1001,customers!$C$1:$C$1001,,0))</f>
        <v>cayrere@symantec.com</v>
      </c>
      <c r="H988" s="2" t="str">
        <f>_xlfn.XLOOKUP(C988,customers!$A$1:$A$1001,customers!$G$1:$G$1001,,0)</f>
        <v>United States</v>
      </c>
      <c r="I988" t="str">
        <f>INDEX(products!$A$1:$G$49,MATCH(orders!$D988,products!$A$1:$A$49,0),MATCH(orders!I$1,products!$A$1:$G$1,0))</f>
        <v>Lib</v>
      </c>
      <c r="J988" t="str">
        <f>INDEX(products!$A$1:$G$49,MATCH(orders!$D988,products!$A$1:$A$49,0),MATCH(orders!J$1,products!$A$1:$G$1,0))</f>
        <v>M</v>
      </c>
      <c r="K988" s="7">
        <f>INDEX(products!$A$1:$G$49,MATCH(orders!$D988,products!$A$1:$A$49,0),MATCH(orders!K$1,products!$A$1:$G$1,0))</f>
        <v>2.5</v>
      </c>
      <c r="L988" s="4">
        <f>INDEX(products!$A$1:$G$49,MATCH(orders!$D988,products!$A$1:$A$49,0),MATCH(orders!L$1,products!$A$1:$G$1,0))</f>
        <v>33.464999999999996</v>
      </c>
      <c r="M988" s="4">
        <f t="shared" si="15"/>
        <v>33.464999999999996</v>
      </c>
      <c r="N988" t="str" cm="1">
        <f t="array" ref="N988">_xlfn.IFS(I988="Rob","Robusta",I988="Exc","Excelsa",I988="Ara","Arabica",I988="Lib","Liberica")</f>
        <v>Liberica</v>
      </c>
      <c r="O988" t="str" cm="1">
        <f t="array" ref="O988">_xlfn.IFS(J988="M","Medium",J988="L","Large",J988="D","Dark")</f>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_xlfn.XLOOKUP(C989,customers!$A$1:$A$1001,customers!$B$1:$B$1001,,0)</f>
        <v>Lorianne Kyneton</v>
      </c>
      <c r="G989" s="2" t="str">
        <f>IF(_xlfn.XLOOKUP(C989,customers!$A$1:$A$1001,customers!$C$1:$C$1001,,0)=0,"",_xlfn.XLOOKUP(C989,customers!$A$1:$A$1001,customers!$C$1:$C$1001,,0))</f>
        <v>lkynetonrf@macromedia.com</v>
      </c>
      <c r="H989" s="2" t="str">
        <f>_xlfn.XLOOKUP(C989,customers!$A$1:$A$1001,customers!$G$1:$G$1001,,0)</f>
        <v>United Kingdom</v>
      </c>
      <c r="I989" t="str">
        <f>INDEX(products!$A$1:$G$49,MATCH(orders!$D989,products!$A$1:$A$49,0),MATCH(orders!I$1,products!$A$1:$G$1,0))</f>
        <v>Ara</v>
      </c>
      <c r="J989" t="str">
        <f>INDEX(products!$A$1:$G$49,MATCH(orders!$D989,products!$A$1:$A$49,0),MATCH(orders!J$1,products!$A$1:$G$1,0))</f>
        <v>D</v>
      </c>
      <c r="K989" s="7">
        <f>INDEX(products!$A$1:$G$49,MATCH(orders!$D989,products!$A$1:$A$49,0),MATCH(orders!K$1,products!$A$1:$G$1,0))</f>
        <v>0.5</v>
      </c>
      <c r="L989" s="4">
        <f>INDEX(products!$A$1:$G$49,MATCH(orders!$D989,products!$A$1:$A$49,0),MATCH(orders!L$1,products!$A$1:$G$1,0))</f>
        <v>5.97</v>
      </c>
      <c r="M989" s="4">
        <f t="shared" si="15"/>
        <v>29.849999999999998</v>
      </c>
      <c r="N989" t="str" cm="1">
        <f t="array" ref="N989">_xlfn.IFS(I989="Rob","Robusta",I989="Exc","Excelsa",I989="Ara","Arabica",I989="Lib","Liberica")</f>
        <v>Arabica</v>
      </c>
      <c r="O989" t="str" cm="1">
        <f t="array" ref="O989">_xlfn.IFS(J989="M","Medium",J989="L","Large",J989="D","Dark")</f>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_xlfn.XLOOKUP(C990,customers!$A$1:$A$1001,customers!$B$1:$B$1001,,0)</f>
        <v>Adele McFayden</v>
      </c>
      <c r="G990" s="2" t="str">
        <f>IF(_xlfn.XLOOKUP(C990,customers!$A$1:$A$1001,customers!$C$1:$C$1001,,0)=0,"",_xlfn.XLOOKUP(C990,customers!$A$1:$A$1001,customers!$C$1:$C$1001,,0))</f>
        <v/>
      </c>
      <c r="H990" s="2" t="str">
        <f>_xlfn.XLOOKUP(C990,customers!$A$1:$A$1001,customers!$G$1:$G$1001,,0)</f>
        <v>United Kingdom</v>
      </c>
      <c r="I990" t="str">
        <f>INDEX(products!$A$1:$G$49,MATCH(orders!$D990,products!$A$1:$A$49,0),MATCH(orders!I$1,products!$A$1:$G$1,0))</f>
        <v>Rob</v>
      </c>
      <c r="J990" t="str">
        <f>INDEX(products!$A$1:$G$49,MATCH(orders!$D990,products!$A$1:$A$49,0),MATCH(orders!J$1,products!$A$1:$G$1,0))</f>
        <v>M</v>
      </c>
      <c r="K990" s="7">
        <f>INDEX(products!$A$1:$G$49,MATCH(orders!$D990,products!$A$1:$A$49,0),MATCH(orders!K$1,products!$A$1:$G$1,0))</f>
        <v>1</v>
      </c>
      <c r="L990" s="4">
        <f>INDEX(products!$A$1:$G$49,MATCH(orders!$D990,products!$A$1:$A$49,0),MATCH(orders!L$1,products!$A$1:$G$1,0))</f>
        <v>9.9499999999999993</v>
      </c>
      <c r="M990" s="4">
        <f t="shared" si="15"/>
        <v>29.849999999999998</v>
      </c>
      <c r="N990" t="str" cm="1">
        <f t="array" ref="N990">_xlfn.IFS(I990="Rob","Robusta",I990="Exc","Excelsa",I990="Ara","Arabica",I990="Lib","Liberica")</f>
        <v>Robusta</v>
      </c>
      <c r="O990" t="str" cm="1">
        <f t="array" ref="O990">_xlfn.IFS(J990="M","Medium",J990="L","Large",J990="D","Dark")</f>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_xlfn.XLOOKUP(C991,customers!$A$1:$A$1001,customers!$B$1:$B$1001,,0)</f>
        <v>Herta Layne</v>
      </c>
      <c r="G991" s="2" t="str">
        <f>IF(_xlfn.XLOOKUP(C991,customers!$A$1:$A$1001,customers!$C$1:$C$1001,,0)=0,"",_xlfn.XLOOKUP(C991,customers!$A$1:$A$1001,customers!$C$1:$C$1001,,0))</f>
        <v/>
      </c>
      <c r="H991" s="2" t="str">
        <f>_xlfn.XLOOKUP(C991,customers!$A$1:$A$1001,customers!$G$1:$G$1001,,0)</f>
        <v>United States</v>
      </c>
      <c r="I991" t="str">
        <f>INDEX(products!$A$1:$G$49,MATCH(orders!$D991,products!$A$1:$A$49,0),MATCH(orders!I$1,products!$A$1:$G$1,0))</f>
        <v>Ara</v>
      </c>
      <c r="J991" t="str">
        <f>INDEX(products!$A$1:$G$49,MATCH(orders!$D991,products!$A$1:$A$49,0),MATCH(orders!J$1,products!$A$1:$G$1,0))</f>
        <v>M</v>
      </c>
      <c r="K991" s="7">
        <f>INDEX(products!$A$1:$G$49,MATCH(orders!$D991,products!$A$1:$A$49,0),MATCH(orders!K$1,products!$A$1:$G$1,0))</f>
        <v>2.5</v>
      </c>
      <c r="L991" s="4">
        <f>INDEX(products!$A$1:$G$49,MATCH(orders!$D991,products!$A$1:$A$49,0),MATCH(orders!L$1,products!$A$1:$G$1,0))</f>
        <v>25.874999999999996</v>
      </c>
      <c r="M991" s="4">
        <f t="shared" si="15"/>
        <v>155.24999999999997</v>
      </c>
      <c r="N991" t="str" cm="1">
        <f t="array" ref="N991">_xlfn.IFS(I991="Rob","Robusta",I991="Exc","Excelsa",I991="Ara","Arabica",I991="Lib","Liberica")</f>
        <v>Arabica</v>
      </c>
      <c r="O991" t="str" cm="1">
        <f t="array" ref="O991">_xlfn.IFS(J991="M","Medium",J991="L","Large",J991="D","Dark")</f>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_xlfn.XLOOKUP(C992,customers!$A$1:$A$1001,customers!$B$1:$B$1001,,0)</f>
        <v>Marguerite Graves</v>
      </c>
      <c r="G992" s="2" t="str">
        <f>IF(_xlfn.XLOOKUP(C992,customers!$A$1:$A$1001,customers!$C$1:$C$1001,,0)=0,"",_xlfn.XLOOKUP(C992,customers!$A$1:$A$1001,customers!$C$1:$C$1001,,0))</f>
        <v/>
      </c>
      <c r="H992" s="2" t="str">
        <f>_xlfn.XLOOKUP(C992,customers!$A$1:$A$1001,customers!$G$1:$G$1001,,0)</f>
        <v>United States</v>
      </c>
      <c r="I992" t="str">
        <f>INDEX(products!$A$1:$G$49,MATCH(orders!$D992,products!$A$1:$A$49,0),MATCH(orders!I$1,products!$A$1:$G$1,0))</f>
        <v>Exc</v>
      </c>
      <c r="J992" t="str">
        <f>INDEX(products!$A$1:$G$49,MATCH(orders!$D992,products!$A$1:$A$49,0),MATCH(orders!J$1,products!$A$1:$G$1,0))</f>
        <v>D</v>
      </c>
      <c r="K992" s="7">
        <f>INDEX(products!$A$1:$G$49,MATCH(orders!$D992,products!$A$1:$A$49,0),MATCH(orders!K$1,products!$A$1:$G$1,0))</f>
        <v>0.2</v>
      </c>
      <c r="L992" s="4">
        <f>INDEX(products!$A$1:$G$49,MATCH(orders!$D992,products!$A$1:$A$49,0),MATCH(orders!L$1,products!$A$1:$G$1,0))</f>
        <v>3.645</v>
      </c>
      <c r="M992" s="4">
        <f t="shared" si="15"/>
        <v>18.225000000000001</v>
      </c>
      <c r="N992" t="str" cm="1">
        <f t="array" ref="N992">_xlfn.IFS(I992="Rob","Robusta",I992="Exc","Excelsa",I992="Ara","Arabica",I992="Lib","Liberica")</f>
        <v>Excelsa</v>
      </c>
      <c r="O992" t="str" cm="1">
        <f t="array" ref="O992">_xlfn.IFS(J992="M","Medium",J992="L","Large",J992="D","Dark")</f>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_xlfn.XLOOKUP(C993,customers!$A$1:$A$1001,customers!$B$1:$B$1001,,0)</f>
        <v>Marguerite Graves</v>
      </c>
      <c r="G993" s="2" t="str">
        <f>IF(_xlfn.XLOOKUP(C993,customers!$A$1:$A$1001,customers!$C$1:$C$1001,,0)=0,"",_xlfn.XLOOKUP(C993,customers!$A$1:$A$1001,customers!$C$1:$C$1001,,0))</f>
        <v/>
      </c>
      <c r="H993" s="2" t="str">
        <f>_xlfn.XLOOKUP(C993,customers!$A$1:$A$1001,customers!$G$1:$G$1001,,0)</f>
        <v>United States</v>
      </c>
      <c r="I993" t="str">
        <f>INDEX(products!$A$1:$G$49,MATCH(orders!$D993,products!$A$1:$A$49,0),MATCH(orders!I$1,products!$A$1:$G$1,0))</f>
        <v>Lib</v>
      </c>
      <c r="J993" t="str">
        <f>INDEX(products!$A$1:$G$49,MATCH(orders!$D993,products!$A$1:$A$49,0),MATCH(orders!J$1,products!$A$1:$G$1,0))</f>
        <v>D</v>
      </c>
      <c r="K993" s="7">
        <f>INDEX(products!$A$1:$G$49,MATCH(orders!$D993,products!$A$1:$A$49,0),MATCH(orders!K$1,products!$A$1:$G$1,0))</f>
        <v>0.5</v>
      </c>
      <c r="L993" s="4">
        <f>INDEX(products!$A$1:$G$49,MATCH(orders!$D993,products!$A$1:$A$49,0),MATCH(orders!L$1,products!$A$1:$G$1,0))</f>
        <v>7.77</v>
      </c>
      <c r="M993" s="4">
        <f t="shared" si="15"/>
        <v>15.54</v>
      </c>
      <c r="N993" t="str" cm="1">
        <f t="array" ref="N993">_xlfn.IFS(I993="Rob","Robusta",I993="Exc","Excelsa",I993="Ara","Arabica",I993="Lib","Liberica")</f>
        <v>Liberica</v>
      </c>
      <c r="O993" t="str" cm="1">
        <f t="array" ref="O993">_xlfn.IFS(J993="M","Medium",J993="L","Large",J993="D","Dark")</f>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_xlfn.XLOOKUP(C994,customers!$A$1:$A$1001,customers!$B$1:$B$1001,,0)</f>
        <v>Desdemona Eye</v>
      </c>
      <c r="G994" s="2" t="str">
        <f>IF(_xlfn.XLOOKUP(C994,customers!$A$1:$A$1001,customers!$C$1:$C$1001,,0)=0,"",_xlfn.XLOOKUP(C994,customers!$A$1:$A$1001,customers!$C$1:$C$1001,,0))</f>
        <v/>
      </c>
      <c r="H994" s="2" t="str">
        <f>_xlfn.XLOOKUP(C994,customers!$A$1:$A$1001,customers!$G$1:$G$1001,,0)</f>
        <v>Ireland</v>
      </c>
      <c r="I994" t="str">
        <f>INDEX(products!$A$1:$G$49,MATCH(orders!$D994,products!$A$1:$A$49,0),MATCH(orders!I$1,products!$A$1:$G$1,0))</f>
        <v>Lib</v>
      </c>
      <c r="J994" t="str">
        <f>INDEX(products!$A$1:$G$49,MATCH(orders!$D994,products!$A$1:$A$49,0),MATCH(orders!J$1,products!$A$1:$G$1,0))</f>
        <v>L</v>
      </c>
      <c r="K994" s="7">
        <f>INDEX(products!$A$1:$G$49,MATCH(orders!$D994,products!$A$1:$A$49,0),MATCH(orders!K$1,products!$A$1:$G$1,0))</f>
        <v>2.5</v>
      </c>
      <c r="L994" s="4">
        <f>INDEX(products!$A$1:$G$49,MATCH(orders!$D994,products!$A$1:$A$49,0),MATCH(orders!L$1,products!$A$1:$G$1,0))</f>
        <v>36.454999999999998</v>
      </c>
      <c r="M994" s="4">
        <f t="shared" si="15"/>
        <v>109.36499999999999</v>
      </c>
      <c r="N994" t="str" cm="1">
        <f t="array" ref="N994">_xlfn.IFS(I994="Rob","Robusta",I994="Exc","Excelsa",I994="Ara","Arabica",I994="Lib","Liberica")</f>
        <v>Liberica</v>
      </c>
      <c r="O994" t="str" cm="1">
        <f t="array" ref="O994">_xlfn.IFS(J994="M","Medium",J994="L","Large",J994="D","Dark")</f>
        <v>Large</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_xlfn.XLOOKUP(C995,customers!$A$1:$A$1001,customers!$B$1:$B$1001,,0)</f>
        <v>Margarette Sterland</v>
      </c>
      <c r="G995" s="2" t="str">
        <f>IF(_xlfn.XLOOKUP(C995,customers!$A$1:$A$1001,customers!$C$1:$C$1001,,0)=0,"",_xlfn.XLOOKUP(C995,customers!$A$1:$A$1001,customers!$C$1:$C$1001,,0))</f>
        <v/>
      </c>
      <c r="H995" s="2" t="str">
        <f>_xlfn.XLOOKUP(C995,customers!$A$1:$A$1001,customers!$G$1:$G$1001,,0)</f>
        <v>United States</v>
      </c>
      <c r="I995" t="str">
        <f>INDEX(products!$A$1:$G$49,MATCH(orders!$D995,products!$A$1:$A$49,0),MATCH(orders!I$1,products!$A$1:$G$1,0))</f>
        <v>Ara</v>
      </c>
      <c r="J995" t="str">
        <f>INDEX(products!$A$1:$G$49,MATCH(orders!$D995,products!$A$1:$A$49,0),MATCH(orders!J$1,products!$A$1:$G$1,0))</f>
        <v>L</v>
      </c>
      <c r="K995" s="7">
        <f>INDEX(products!$A$1:$G$49,MATCH(orders!$D995,products!$A$1:$A$49,0),MATCH(orders!K$1,products!$A$1:$G$1,0))</f>
        <v>1</v>
      </c>
      <c r="L995" s="4">
        <f>INDEX(products!$A$1:$G$49,MATCH(orders!$D995,products!$A$1:$A$49,0),MATCH(orders!L$1,products!$A$1:$G$1,0))</f>
        <v>12.95</v>
      </c>
      <c r="M995" s="4">
        <f t="shared" si="15"/>
        <v>77.699999999999989</v>
      </c>
      <c r="N995" t="str" cm="1">
        <f t="array" ref="N995">_xlfn.IFS(I995="Rob","Robusta",I995="Exc","Excelsa",I995="Ara","Arabica",I995="Lib","Liberica")</f>
        <v>Arabica</v>
      </c>
      <c r="O995" t="str" cm="1">
        <f t="array" ref="O995">_xlfn.IFS(J995="M","Medium",J995="L","Large",J995="D","Dark")</f>
        <v>Large</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_xlfn.XLOOKUP(C996,customers!$A$1:$A$1001,customers!$B$1:$B$1001,,0)</f>
        <v>Catharine Scoines</v>
      </c>
      <c r="G996" s="2" t="str">
        <f>IF(_xlfn.XLOOKUP(C996,customers!$A$1:$A$1001,customers!$C$1:$C$1001,,0)=0,"",_xlfn.XLOOKUP(C996,customers!$A$1:$A$1001,customers!$C$1:$C$1001,,0))</f>
        <v/>
      </c>
      <c r="H996" s="2" t="str">
        <f>_xlfn.XLOOKUP(C996,customers!$A$1:$A$1001,customers!$G$1:$G$1001,,0)</f>
        <v>Ireland</v>
      </c>
      <c r="I996" t="str">
        <f>INDEX(products!$A$1:$G$49,MATCH(orders!$D996,products!$A$1:$A$49,0),MATCH(orders!I$1,products!$A$1:$G$1,0))</f>
        <v>Ara</v>
      </c>
      <c r="J996" t="str">
        <f>INDEX(products!$A$1:$G$49,MATCH(orders!$D996,products!$A$1:$A$49,0),MATCH(orders!J$1,products!$A$1:$G$1,0))</f>
        <v>D</v>
      </c>
      <c r="K996" s="7">
        <f>INDEX(products!$A$1:$G$49,MATCH(orders!$D996,products!$A$1:$A$49,0),MATCH(orders!K$1,products!$A$1:$G$1,0))</f>
        <v>0.2</v>
      </c>
      <c r="L996" s="4">
        <f>INDEX(products!$A$1:$G$49,MATCH(orders!$D996,products!$A$1:$A$49,0),MATCH(orders!L$1,products!$A$1:$G$1,0))</f>
        <v>2.9849999999999999</v>
      </c>
      <c r="M996" s="4">
        <f t="shared" si="15"/>
        <v>8.9550000000000001</v>
      </c>
      <c r="N996" t="str" cm="1">
        <f t="array" ref="N996">_xlfn.IFS(I996="Rob","Robusta",I996="Exc","Excelsa",I996="Ara","Arabica",I996="Lib","Liberica")</f>
        <v>Arabica</v>
      </c>
      <c r="O996" t="str" cm="1">
        <f t="array" ref="O996">_xlfn.IFS(J996="M","Medium",J996="L","Large",J996="D","Dark")</f>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_xlfn.XLOOKUP(C997,customers!$A$1:$A$1001,customers!$B$1:$B$1001,,0)</f>
        <v>Jennica Tewelson</v>
      </c>
      <c r="G997" s="2" t="str">
        <f>IF(_xlfn.XLOOKUP(C997,customers!$A$1:$A$1001,customers!$C$1:$C$1001,,0)=0,"",_xlfn.XLOOKUP(C997,customers!$A$1:$A$1001,customers!$C$1:$C$1001,,0))</f>
        <v>jtewelsonrn@samsung.com</v>
      </c>
      <c r="H997" s="2" t="str">
        <f>_xlfn.XLOOKUP(C997,customers!$A$1:$A$1001,customers!$G$1:$G$1001,,0)</f>
        <v>United States</v>
      </c>
      <c r="I997" t="str">
        <f>INDEX(products!$A$1:$G$49,MATCH(orders!$D997,products!$A$1:$A$49,0),MATCH(orders!I$1,products!$A$1:$G$1,0))</f>
        <v>Rob</v>
      </c>
      <c r="J997" t="str">
        <f>INDEX(products!$A$1:$G$49,MATCH(orders!$D997,products!$A$1:$A$49,0),MATCH(orders!J$1,products!$A$1:$G$1,0))</f>
        <v>L</v>
      </c>
      <c r="K997" s="7">
        <f>INDEX(products!$A$1:$G$49,MATCH(orders!$D997,products!$A$1:$A$49,0),MATCH(orders!K$1,products!$A$1:$G$1,0))</f>
        <v>2.5</v>
      </c>
      <c r="L997" s="4">
        <f>INDEX(products!$A$1:$G$49,MATCH(orders!$D997,products!$A$1:$A$49,0),MATCH(orders!L$1,products!$A$1:$G$1,0))</f>
        <v>27.484999999999996</v>
      </c>
      <c r="M997" s="4">
        <f t="shared" si="15"/>
        <v>27.484999999999996</v>
      </c>
      <c r="N997" t="str" cm="1">
        <f t="array" ref="N997">_xlfn.IFS(I997="Rob","Robusta",I997="Exc","Excelsa",I997="Ara","Arabica",I997="Lib","Liberica")</f>
        <v>Robusta</v>
      </c>
      <c r="O997" t="str" cm="1">
        <f t="array" ref="O997">_xlfn.IFS(J997="M","Medium",J997="L","Large",J997="D","Dark")</f>
        <v>Large</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_xlfn.XLOOKUP(C998,customers!$A$1:$A$1001,customers!$B$1:$B$1001,,0)</f>
        <v>Marguerite Graves</v>
      </c>
      <c r="G998" s="2" t="str">
        <f>IF(_xlfn.XLOOKUP(C998,customers!$A$1:$A$1001,customers!$C$1:$C$1001,,0)=0,"",_xlfn.XLOOKUP(C998,customers!$A$1:$A$1001,customers!$C$1:$C$1001,,0))</f>
        <v/>
      </c>
      <c r="H998" s="2" t="str">
        <f>_xlfn.XLOOKUP(C998,customers!$A$1:$A$1001,customers!$G$1:$G$1001,,0)</f>
        <v>United States</v>
      </c>
      <c r="I998" t="str">
        <f>INDEX(products!$A$1:$G$49,MATCH(orders!$D998,products!$A$1:$A$49,0),MATCH(orders!I$1,products!$A$1:$G$1,0))</f>
        <v>Rob</v>
      </c>
      <c r="J998" t="str">
        <f>INDEX(products!$A$1:$G$49,MATCH(orders!$D998,products!$A$1:$A$49,0),MATCH(orders!J$1,products!$A$1:$G$1,0))</f>
        <v>M</v>
      </c>
      <c r="K998" s="7">
        <f>INDEX(products!$A$1:$G$49,MATCH(orders!$D998,products!$A$1:$A$49,0),MATCH(orders!K$1,products!$A$1:$G$1,0))</f>
        <v>0.5</v>
      </c>
      <c r="L998" s="4">
        <f>INDEX(products!$A$1:$G$49,MATCH(orders!$D998,products!$A$1:$A$49,0),MATCH(orders!L$1,products!$A$1:$G$1,0))</f>
        <v>5.97</v>
      </c>
      <c r="M998" s="4">
        <f t="shared" si="15"/>
        <v>29.849999999999998</v>
      </c>
      <c r="N998" t="str" cm="1">
        <f t="array" ref="N998">_xlfn.IFS(I998="Rob","Robusta",I998="Exc","Excelsa",I998="Ara","Arabica",I998="Lib","Liberica")</f>
        <v>Robusta</v>
      </c>
      <c r="O998" t="str" cm="1">
        <f t="array" ref="O998">_xlfn.IFS(J998="M","Medium",J998="L","Large",J998="D","Dark")</f>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_xlfn.XLOOKUP(C999,customers!$A$1:$A$1001,customers!$B$1:$B$1001,,0)</f>
        <v>Marguerite Graves</v>
      </c>
      <c r="G999" s="2" t="str">
        <f>IF(_xlfn.XLOOKUP(C999,customers!$A$1:$A$1001,customers!$C$1:$C$1001,,0)=0,"",_xlfn.XLOOKUP(C999,customers!$A$1:$A$1001,customers!$C$1:$C$1001,,0))</f>
        <v/>
      </c>
      <c r="H999" s="2" t="str">
        <f>_xlfn.XLOOKUP(C999,customers!$A$1:$A$1001,customers!$G$1:$G$1001,,0)</f>
        <v>United States</v>
      </c>
      <c r="I999" t="str">
        <f>INDEX(products!$A$1:$G$49,MATCH(orders!$D999,products!$A$1:$A$49,0),MATCH(orders!I$1,products!$A$1:$G$1,0))</f>
        <v>Ara</v>
      </c>
      <c r="J999" t="str">
        <f>INDEX(products!$A$1:$G$49,MATCH(orders!$D999,products!$A$1:$A$49,0),MATCH(orders!J$1,products!$A$1:$G$1,0))</f>
        <v>M</v>
      </c>
      <c r="K999" s="7">
        <f>INDEX(products!$A$1:$G$49,MATCH(orders!$D999,products!$A$1:$A$49,0),MATCH(orders!K$1,products!$A$1:$G$1,0))</f>
        <v>0.5</v>
      </c>
      <c r="L999" s="4">
        <f>INDEX(products!$A$1:$G$49,MATCH(orders!$D999,products!$A$1:$A$49,0),MATCH(orders!L$1,products!$A$1:$G$1,0))</f>
        <v>6.75</v>
      </c>
      <c r="M999" s="4">
        <f t="shared" si="15"/>
        <v>27</v>
      </c>
      <c r="N999" t="str" cm="1">
        <f t="array" ref="N999">_xlfn.IFS(I999="Rob","Robusta",I999="Exc","Excelsa",I999="Ara","Arabica",I999="Lib","Liberica")</f>
        <v>Arabica</v>
      </c>
      <c r="O999" t="str" cm="1">
        <f t="array" ref="O999">_xlfn.IFS(J999="M","Medium",J999="L","Large",J999="D","Dark")</f>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_xlfn.XLOOKUP(C1000,customers!$A$1:$A$1001,customers!$B$1:$B$1001,,0)</f>
        <v>Nicolina Jenny</v>
      </c>
      <c r="G1000" s="2" t="str">
        <f>IF(_xlfn.XLOOKUP(C1000,customers!$A$1:$A$1001,customers!$C$1:$C$1001,,0)=0,"",_xlfn.XLOOKUP(C1000,customers!$A$1:$A$1001,customers!$C$1:$C$1001,,0))</f>
        <v>njennyrq@bigcartel.com</v>
      </c>
      <c r="H1000" s="2" t="str">
        <f>_xlfn.XLOOKUP(C1000,customers!$A$1:$A$1001,customers!$G$1:$G$1001,,0)</f>
        <v>United States</v>
      </c>
      <c r="I1000" t="str">
        <f>INDEX(products!$A$1:$G$49,MATCH(orders!$D1000,products!$A$1:$A$49,0),MATCH(orders!I$1,products!$A$1:$G$1,0))</f>
        <v>Ara</v>
      </c>
      <c r="J1000" t="str">
        <f>INDEX(products!$A$1:$G$49,MATCH(orders!$D1000,products!$A$1:$A$49,0),MATCH(orders!J$1,products!$A$1:$G$1,0))</f>
        <v>D</v>
      </c>
      <c r="K1000" s="7">
        <f>INDEX(products!$A$1:$G$49,MATCH(orders!$D1000,products!$A$1:$A$49,0),MATCH(orders!K$1,products!$A$1:$G$1,0))</f>
        <v>1</v>
      </c>
      <c r="L1000" s="4">
        <f>INDEX(products!$A$1:$G$49,MATCH(orders!$D1000,products!$A$1:$A$49,0),MATCH(orders!L$1,products!$A$1:$G$1,0))</f>
        <v>9.9499999999999993</v>
      </c>
      <c r="M1000" s="4">
        <f t="shared" si="15"/>
        <v>9.9499999999999993</v>
      </c>
      <c r="N1000" t="str" cm="1">
        <f t="array" ref="N1000">_xlfn.IFS(I1000="Rob","Robusta",I1000="Exc","Excelsa",I1000="Ara","Arabica",I1000="Lib","Liberica")</f>
        <v>Arabica</v>
      </c>
      <c r="O1000" t="str" cm="1">
        <f t="array" ref="O1000">_xlfn.IFS(J1000="M","Medium",J1000="L","Large",J1000="D","Dark")</f>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_xlfn.XLOOKUP(C1001,customers!$A$1:$A$1001,customers!$B$1:$B$1001,,0)</f>
        <v>Vidovic Antonelli</v>
      </c>
      <c r="G1001" s="2" t="str">
        <f>IF(_xlfn.XLOOKUP(C1001,customers!$A$1:$A$1001,customers!$C$1:$C$1001,,0)=0,"",_xlfn.XLOOKUP(C1001,customers!$A$1:$A$1001,customers!$C$1:$C$1001,,0))</f>
        <v/>
      </c>
      <c r="H1001" s="2" t="str">
        <f>_xlfn.XLOOKUP(C1001,customers!$A$1:$A$1001,customers!$G$1:$G$1001,,0)</f>
        <v>United Kingdom</v>
      </c>
      <c r="I1001" t="str">
        <f>INDEX(products!$A$1:$G$49,MATCH(orders!$D1001,products!$A$1:$A$49,0),MATCH(orders!I$1,products!$A$1:$G$1,0))</f>
        <v>Exc</v>
      </c>
      <c r="J1001" t="str">
        <f>INDEX(products!$A$1:$G$49,MATCH(orders!$D1001,products!$A$1:$A$49,0),MATCH(orders!J$1,products!$A$1:$G$1,0))</f>
        <v>M</v>
      </c>
      <c r="K1001" s="7">
        <f>INDEX(products!$A$1:$G$49,MATCH(orders!$D1001,products!$A$1:$A$49,0),MATCH(orders!K$1,products!$A$1:$G$1,0))</f>
        <v>0.2</v>
      </c>
      <c r="L1001" s="4">
        <f>INDEX(products!$A$1:$G$49,MATCH(orders!$D1001,products!$A$1:$A$49,0),MATCH(orders!L$1,products!$A$1:$G$1,0))</f>
        <v>4.125</v>
      </c>
      <c r="M1001" s="4">
        <f t="shared" si="15"/>
        <v>12.375</v>
      </c>
      <c r="N1001" t="str" cm="1">
        <f t="array" ref="N1001">_xlfn.IFS(I1001="Rob","Robusta",I1001="Exc","Excelsa",I1001="Ara","Arabica",I1001="Lib","Liberica")</f>
        <v>Excelsa</v>
      </c>
      <c r="O1001" t="str" cm="1">
        <f t="array" ref="O1001">_xlfn.IFS(J1001="M","Medium",J1001="L","Large",J1001="D","Dark")</f>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65" workbookViewId="0"/>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workbookViewId="0">
      <selection activeCell="C1" sqref="C1"/>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TotalSales</vt:lpstr>
      <vt:lpstr>CountryBarChart</vt:lpstr>
      <vt:lpstr>Top5Customers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Anar Huseynzade</cp:lastModifiedBy>
  <cp:revision/>
  <dcterms:created xsi:type="dcterms:W3CDTF">2022-11-26T09:51:45Z</dcterms:created>
  <dcterms:modified xsi:type="dcterms:W3CDTF">2026-02-18T22:01:46Z</dcterms:modified>
  <cp:category/>
  <cp:contentStatus/>
</cp:coreProperties>
</file>